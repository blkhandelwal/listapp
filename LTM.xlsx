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1" defaultThemeVersion="124226"/>
  <bookViews>
    <workbookView showHorizontalScroll="0" showVerticalScroll="0" xWindow="-108" yWindow="-108" windowWidth="23256" windowHeight="12456"/>
  </bookViews>
  <sheets>
    <sheet name="S1" sheetId="1" r:id="rId1"/>
    <sheet name="Total" sheetId="2" r:id="rId2"/>
    <sheet name="AC" sheetId="3" r:id="rId3"/>
    <sheet name="Sheet1" sheetId="4" r:id="rId4"/>
  </sheets>
  <externalReferences>
    <externalReference r:id="rId5"/>
    <externalReference r:id="rId6"/>
    <externalReference r:id="rId7"/>
  </externalReferences>
  <definedNames>
    <definedName name="_xlnm._FilterDatabase" localSheetId="0" hidden="1">'S1'!$A$3:$N$1383</definedName>
    <definedName name="_xlnm.Criteria" localSheetId="0">'S1'!$A$3</definedName>
    <definedName name="_xlnm.Print_Area" localSheetId="0">'S1'!$A$1:$N$1383</definedName>
    <definedName name="_xlnm.Print_Titles" localSheetId="0">'S1'!$1:$3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N1153" i="1" l="1"/>
  <c r="N1152" i="1"/>
  <c r="N1151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M1153" i="1"/>
  <c r="L1153" i="1"/>
  <c r="K1153" i="1"/>
  <c r="J1153" i="1"/>
  <c r="I1153" i="1"/>
  <c r="H1153" i="1"/>
  <c r="G1153" i="1"/>
  <c r="F1153" i="1"/>
  <c r="E1153" i="1"/>
  <c r="D1153" i="1"/>
  <c r="C1153" i="1"/>
  <c r="M1152" i="1"/>
  <c r="L1152" i="1"/>
  <c r="K1152" i="1"/>
  <c r="J1152" i="1"/>
  <c r="I1152" i="1"/>
  <c r="H1152" i="1"/>
  <c r="G1152" i="1"/>
  <c r="F1152" i="1"/>
  <c r="E1152" i="1"/>
  <c r="D1152" i="1"/>
  <c r="C1152" i="1"/>
  <c r="M1151" i="1"/>
  <c r="L1151" i="1"/>
  <c r="K1151" i="1"/>
  <c r="J1151" i="1"/>
  <c r="I1151" i="1"/>
  <c r="H1151" i="1"/>
  <c r="G1151" i="1"/>
  <c r="F1151" i="1"/>
  <c r="E1151" i="1"/>
  <c r="D1151" i="1"/>
  <c r="C1151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N99" i="1"/>
  <c r="M99" i="1"/>
  <c r="L99" i="1"/>
  <c r="K99" i="1"/>
  <c r="J99" i="1"/>
  <c r="I99" i="1"/>
  <c r="H99" i="1"/>
  <c r="G99" i="1"/>
  <c r="F99" i="1"/>
  <c r="E99" i="1"/>
  <c r="D99" i="1"/>
  <c r="C99" i="1"/>
  <c r="N98" i="1"/>
  <c r="M98" i="1"/>
  <c r="L98" i="1"/>
  <c r="K98" i="1"/>
  <c r="J98" i="1"/>
  <c r="I98" i="1"/>
  <c r="H98" i="1"/>
  <c r="G98" i="1"/>
  <c r="F98" i="1"/>
  <c r="E98" i="1"/>
  <c r="D98" i="1"/>
  <c r="C98" i="1"/>
  <c r="N97" i="1"/>
  <c r="M97" i="1"/>
  <c r="L97" i="1"/>
  <c r="K97" i="1"/>
  <c r="J97" i="1"/>
  <c r="I97" i="1"/>
  <c r="H97" i="1"/>
  <c r="G97" i="1"/>
  <c r="F97" i="1"/>
  <c r="E97" i="1"/>
  <c r="D97" i="1"/>
  <c r="C97" i="1"/>
  <c r="N96" i="1"/>
  <c r="M96" i="1"/>
  <c r="L96" i="1"/>
  <c r="K96" i="1"/>
  <c r="J96" i="1"/>
  <c r="I96" i="1"/>
  <c r="H96" i="1"/>
  <c r="G96" i="1"/>
  <c r="F96" i="1"/>
  <c r="E96" i="1"/>
  <c r="D96" i="1"/>
  <c r="C96" i="1"/>
  <c r="N95" i="1"/>
  <c r="M95" i="1"/>
  <c r="L95" i="1"/>
  <c r="K95" i="1"/>
  <c r="J95" i="1"/>
  <c r="I95" i="1"/>
  <c r="H95" i="1"/>
  <c r="G95" i="1"/>
  <c r="F95" i="1"/>
  <c r="E95" i="1"/>
  <c r="D95" i="1"/>
  <c r="C95" i="1"/>
  <c r="N94" i="1"/>
  <c r="M94" i="1"/>
  <c r="L94" i="1"/>
  <c r="K94" i="1"/>
  <c r="J94" i="1"/>
  <c r="I94" i="1"/>
  <c r="H94" i="1"/>
  <c r="G94" i="1"/>
  <c r="F94" i="1"/>
  <c r="E94" i="1"/>
  <c r="D94" i="1"/>
  <c r="C94" i="1"/>
  <c r="N93" i="1"/>
  <c r="M93" i="1"/>
  <c r="L93" i="1"/>
  <c r="K93" i="1"/>
  <c r="J93" i="1"/>
  <c r="I93" i="1"/>
  <c r="H93" i="1"/>
  <c r="G93" i="1"/>
  <c r="F93" i="1"/>
  <c r="E93" i="1"/>
  <c r="D93" i="1"/>
  <c r="C93" i="1"/>
  <c r="N92" i="1"/>
  <c r="M92" i="1"/>
  <c r="L92" i="1"/>
  <c r="K92" i="1"/>
  <c r="J92" i="1"/>
  <c r="I92" i="1"/>
  <c r="H92" i="1"/>
  <c r="G92" i="1"/>
  <c r="F92" i="1"/>
  <c r="E92" i="1"/>
  <c r="D92" i="1"/>
  <c r="C92" i="1"/>
  <c r="N91" i="1"/>
  <c r="M91" i="1"/>
  <c r="L91" i="1"/>
  <c r="K91" i="1"/>
  <c r="J91" i="1"/>
  <c r="I91" i="1"/>
  <c r="H91" i="1"/>
  <c r="G91" i="1"/>
  <c r="F91" i="1"/>
  <c r="E91" i="1"/>
  <c r="D91" i="1"/>
  <c r="C91" i="1"/>
  <c r="N90" i="1"/>
  <c r="M90" i="1"/>
  <c r="L90" i="1"/>
  <c r="K90" i="1"/>
  <c r="J90" i="1"/>
  <c r="I90" i="1"/>
  <c r="H90" i="1"/>
  <c r="G90" i="1"/>
  <c r="F90" i="1"/>
  <c r="E90" i="1"/>
  <c r="D90" i="1"/>
  <c r="C90" i="1"/>
  <c r="N89" i="1"/>
  <c r="M89" i="1"/>
  <c r="L89" i="1"/>
  <c r="K89" i="1"/>
  <c r="J89" i="1"/>
  <c r="I89" i="1"/>
  <c r="H89" i="1"/>
  <c r="G89" i="1"/>
  <c r="F89" i="1"/>
  <c r="E89" i="1"/>
  <c r="D89" i="1"/>
  <c r="C89" i="1"/>
  <c r="N88" i="1"/>
  <c r="M88" i="1"/>
  <c r="L88" i="1"/>
  <c r="K88" i="1"/>
  <c r="J88" i="1"/>
  <c r="I88" i="1"/>
  <c r="H88" i="1"/>
  <c r="G88" i="1"/>
  <c r="F88" i="1"/>
  <c r="E88" i="1"/>
  <c r="D88" i="1"/>
  <c r="C88" i="1"/>
  <c r="N87" i="1"/>
  <c r="M87" i="1"/>
  <c r="L87" i="1"/>
  <c r="K87" i="1"/>
  <c r="J87" i="1"/>
  <c r="I87" i="1"/>
  <c r="H87" i="1"/>
  <c r="G87" i="1"/>
  <c r="F87" i="1"/>
  <c r="E87" i="1"/>
  <c r="D87" i="1"/>
  <c r="C87" i="1"/>
  <c r="N86" i="1"/>
  <c r="M86" i="1"/>
  <c r="L86" i="1"/>
  <c r="K86" i="1"/>
  <c r="J86" i="1"/>
  <c r="I86" i="1"/>
  <c r="H86" i="1"/>
  <c r="G86" i="1"/>
  <c r="F86" i="1"/>
  <c r="E86" i="1"/>
  <c r="D86" i="1"/>
  <c r="C86" i="1"/>
  <c r="N85" i="1"/>
  <c r="M85" i="1"/>
  <c r="L85" i="1"/>
  <c r="K85" i="1"/>
  <c r="J85" i="1"/>
  <c r="I85" i="1"/>
  <c r="H85" i="1"/>
  <c r="G85" i="1"/>
  <c r="F85" i="1"/>
  <c r="E85" i="1"/>
  <c r="D85" i="1"/>
  <c r="C85" i="1"/>
  <c r="N84" i="1"/>
  <c r="M84" i="1"/>
  <c r="L84" i="1"/>
  <c r="K84" i="1"/>
  <c r="J84" i="1"/>
  <c r="I84" i="1"/>
  <c r="H84" i="1"/>
  <c r="G84" i="1"/>
  <c r="F84" i="1"/>
  <c r="E84" i="1"/>
  <c r="D84" i="1"/>
  <c r="C84" i="1"/>
  <c r="N83" i="1"/>
  <c r="M83" i="1"/>
  <c r="L83" i="1"/>
  <c r="K83" i="1"/>
  <c r="J83" i="1"/>
  <c r="I83" i="1"/>
  <c r="H83" i="1"/>
  <c r="G83" i="1"/>
  <c r="F83" i="1"/>
  <c r="E83" i="1"/>
  <c r="D83" i="1"/>
  <c r="C83" i="1"/>
  <c r="N82" i="1"/>
  <c r="M82" i="1"/>
  <c r="L82" i="1"/>
  <c r="K82" i="1"/>
  <c r="J82" i="1"/>
  <c r="I82" i="1"/>
  <c r="H82" i="1"/>
  <c r="G82" i="1"/>
  <c r="F82" i="1"/>
  <c r="E82" i="1"/>
  <c r="D82" i="1"/>
  <c r="C82" i="1"/>
  <c r="N81" i="1"/>
  <c r="M81" i="1"/>
  <c r="L81" i="1"/>
  <c r="K81" i="1"/>
  <c r="J81" i="1"/>
  <c r="I81" i="1"/>
  <c r="H81" i="1"/>
  <c r="G81" i="1"/>
  <c r="F81" i="1"/>
  <c r="E81" i="1"/>
  <c r="D81" i="1"/>
  <c r="C81" i="1"/>
  <c r="N80" i="1"/>
  <c r="M80" i="1"/>
  <c r="L80" i="1"/>
  <c r="K80" i="1"/>
  <c r="J80" i="1"/>
  <c r="I80" i="1"/>
  <c r="H80" i="1"/>
  <c r="G80" i="1"/>
  <c r="F80" i="1"/>
  <c r="E80" i="1"/>
  <c r="D80" i="1"/>
  <c r="C80" i="1"/>
  <c r="N79" i="1"/>
  <c r="M79" i="1"/>
  <c r="L79" i="1"/>
  <c r="K79" i="1"/>
  <c r="J79" i="1"/>
  <c r="I79" i="1"/>
  <c r="H79" i="1"/>
  <c r="G79" i="1"/>
  <c r="F79" i="1"/>
  <c r="E79" i="1"/>
  <c r="D79" i="1"/>
  <c r="C79" i="1"/>
  <c r="N78" i="1"/>
  <c r="M78" i="1"/>
  <c r="L78" i="1"/>
  <c r="K78" i="1"/>
  <c r="J78" i="1"/>
  <c r="I78" i="1"/>
  <c r="H78" i="1"/>
  <c r="G78" i="1"/>
  <c r="F78" i="1"/>
  <c r="E78" i="1"/>
  <c r="D78" i="1"/>
  <c r="C78" i="1"/>
  <c r="N77" i="1"/>
  <c r="M77" i="1"/>
  <c r="L77" i="1"/>
  <c r="K77" i="1"/>
  <c r="J77" i="1"/>
  <c r="I77" i="1"/>
  <c r="H77" i="1"/>
  <c r="G77" i="1"/>
  <c r="F77" i="1"/>
  <c r="E77" i="1"/>
  <c r="D77" i="1"/>
  <c r="C77" i="1"/>
  <c r="N76" i="1"/>
  <c r="M76" i="1"/>
  <c r="L76" i="1"/>
  <c r="K76" i="1"/>
  <c r="J76" i="1"/>
  <c r="I76" i="1"/>
  <c r="H76" i="1"/>
  <c r="G76" i="1"/>
  <c r="F76" i="1"/>
  <c r="E76" i="1"/>
  <c r="D76" i="1"/>
  <c r="C76" i="1"/>
  <c r="N75" i="1"/>
  <c r="M75" i="1"/>
  <c r="L75" i="1"/>
  <c r="K75" i="1"/>
  <c r="J75" i="1"/>
  <c r="I75" i="1"/>
  <c r="H75" i="1"/>
  <c r="G75" i="1"/>
  <c r="F75" i="1"/>
  <c r="E75" i="1"/>
  <c r="D75" i="1"/>
  <c r="C75" i="1"/>
  <c r="N74" i="1"/>
  <c r="M74" i="1"/>
  <c r="L74" i="1"/>
  <c r="K74" i="1"/>
  <c r="J74" i="1"/>
  <c r="I74" i="1"/>
  <c r="H74" i="1"/>
  <c r="G74" i="1"/>
  <c r="F74" i="1"/>
  <c r="E74" i="1"/>
  <c r="D74" i="1"/>
  <c r="C74" i="1"/>
  <c r="N73" i="1"/>
  <c r="M73" i="1"/>
  <c r="L73" i="1"/>
  <c r="K73" i="1"/>
  <c r="J73" i="1"/>
  <c r="I73" i="1"/>
  <c r="H73" i="1"/>
  <c r="G73" i="1"/>
  <c r="F73" i="1"/>
  <c r="E73" i="1"/>
  <c r="D73" i="1"/>
  <c r="C73" i="1"/>
  <c r="N72" i="1"/>
  <c r="M72" i="1"/>
  <c r="L72" i="1"/>
  <c r="K72" i="1"/>
  <c r="J72" i="1"/>
  <c r="I72" i="1"/>
  <c r="H72" i="1"/>
  <c r="G72" i="1"/>
  <c r="F72" i="1"/>
  <c r="E72" i="1"/>
  <c r="D72" i="1"/>
  <c r="C72" i="1"/>
  <c r="N71" i="1"/>
  <c r="M71" i="1"/>
  <c r="L71" i="1"/>
  <c r="K71" i="1"/>
  <c r="J71" i="1"/>
  <c r="I71" i="1"/>
  <c r="H71" i="1"/>
  <c r="G71" i="1"/>
  <c r="F71" i="1"/>
  <c r="E71" i="1"/>
  <c r="D71" i="1"/>
  <c r="C71" i="1"/>
  <c r="N70" i="1"/>
  <c r="M70" i="1"/>
  <c r="L70" i="1"/>
  <c r="K70" i="1"/>
  <c r="J70" i="1"/>
  <c r="I70" i="1"/>
  <c r="H70" i="1"/>
  <c r="G70" i="1"/>
  <c r="F70" i="1"/>
  <c r="E70" i="1"/>
  <c r="D70" i="1"/>
  <c r="C70" i="1"/>
  <c r="N69" i="1"/>
  <c r="M69" i="1"/>
  <c r="L69" i="1"/>
  <c r="K69" i="1"/>
  <c r="J69" i="1"/>
  <c r="I69" i="1"/>
  <c r="H69" i="1"/>
  <c r="G69" i="1"/>
  <c r="F69" i="1"/>
  <c r="E69" i="1"/>
  <c r="D69" i="1"/>
  <c r="C69" i="1"/>
  <c r="N68" i="1"/>
  <c r="M68" i="1"/>
  <c r="L68" i="1"/>
  <c r="K68" i="1"/>
  <c r="J68" i="1"/>
  <c r="I68" i="1"/>
  <c r="H68" i="1"/>
  <c r="G68" i="1"/>
  <c r="F68" i="1"/>
  <c r="E68" i="1"/>
  <c r="D68" i="1"/>
  <c r="C68" i="1"/>
  <c r="N67" i="1"/>
  <c r="M67" i="1"/>
  <c r="L67" i="1"/>
  <c r="K67" i="1"/>
  <c r="J67" i="1"/>
  <c r="I67" i="1"/>
  <c r="H67" i="1"/>
  <c r="G67" i="1"/>
  <c r="F67" i="1"/>
  <c r="E67" i="1"/>
  <c r="D67" i="1"/>
  <c r="C67" i="1"/>
  <c r="N66" i="1"/>
  <c r="M66" i="1"/>
  <c r="L66" i="1"/>
  <c r="K66" i="1"/>
  <c r="J66" i="1"/>
  <c r="I66" i="1"/>
  <c r="H66" i="1"/>
  <c r="G66" i="1"/>
  <c r="F66" i="1"/>
  <c r="E66" i="1"/>
  <c r="D66" i="1"/>
  <c r="C66" i="1"/>
  <c r="N65" i="1"/>
  <c r="M65" i="1"/>
  <c r="L65" i="1"/>
  <c r="K65" i="1"/>
  <c r="J65" i="1"/>
  <c r="I65" i="1"/>
  <c r="H65" i="1"/>
  <c r="G65" i="1"/>
  <c r="F65" i="1"/>
  <c r="E65" i="1"/>
  <c r="D65" i="1"/>
  <c r="C65" i="1"/>
  <c r="N64" i="1"/>
  <c r="M64" i="1"/>
  <c r="L64" i="1"/>
  <c r="K64" i="1"/>
  <c r="J64" i="1"/>
  <c r="I64" i="1"/>
  <c r="H64" i="1"/>
  <c r="G64" i="1"/>
  <c r="F64" i="1"/>
  <c r="E64" i="1"/>
  <c r="D64" i="1"/>
  <c r="C64" i="1"/>
  <c r="N63" i="1"/>
  <c r="M63" i="1"/>
  <c r="L63" i="1"/>
  <c r="K63" i="1"/>
  <c r="J63" i="1"/>
  <c r="I63" i="1"/>
  <c r="H63" i="1"/>
  <c r="G63" i="1"/>
  <c r="F63" i="1"/>
  <c r="E63" i="1"/>
  <c r="D63" i="1"/>
  <c r="C63" i="1"/>
  <c r="N62" i="1"/>
  <c r="M62" i="1"/>
  <c r="L62" i="1"/>
  <c r="K62" i="1"/>
  <c r="J62" i="1"/>
  <c r="I62" i="1"/>
  <c r="H62" i="1"/>
  <c r="G62" i="1"/>
  <c r="F62" i="1"/>
  <c r="E62" i="1"/>
  <c r="D62" i="1"/>
  <c r="C62" i="1"/>
  <c r="N61" i="1"/>
  <c r="M61" i="1"/>
  <c r="L61" i="1"/>
  <c r="K61" i="1"/>
  <c r="J61" i="1"/>
  <c r="I61" i="1"/>
  <c r="H61" i="1"/>
  <c r="G61" i="1"/>
  <c r="F61" i="1"/>
  <c r="E61" i="1"/>
  <c r="D61" i="1"/>
  <c r="C61" i="1"/>
  <c r="N60" i="1"/>
  <c r="M60" i="1"/>
  <c r="L60" i="1"/>
  <c r="K60" i="1"/>
  <c r="J60" i="1"/>
  <c r="I60" i="1"/>
  <c r="H60" i="1"/>
  <c r="G60" i="1"/>
  <c r="F60" i="1"/>
  <c r="E60" i="1"/>
  <c r="D60" i="1"/>
  <c r="C60" i="1"/>
  <c r="N59" i="1"/>
  <c r="M59" i="1"/>
  <c r="L59" i="1"/>
  <c r="K59" i="1"/>
  <c r="J59" i="1"/>
  <c r="I59" i="1"/>
  <c r="H59" i="1"/>
  <c r="G59" i="1"/>
  <c r="F59" i="1"/>
  <c r="E59" i="1"/>
  <c r="D59" i="1"/>
  <c r="C59" i="1"/>
  <c r="N58" i="1"/>
  <c r="M58" i="1"/>
  <c r="L58" i="1"/>
  <c r="K58" i="1"/>
  <c r="J58" i="1"/>
  <c r="I58" i="1"/>
  <c r="H58" i="1"/>
  <c r="G58" i="1"/>
  <c r="F58" i="1"/>
  <c r="E58" i="1"/>
  <c r="D58" i="1"/>
  <c r="C58" i="1"/>
  <c r="N57" i="1"/>
  <c r="M57" i="1"/>
  <c r="L57" i="1"/>
  <c r="K57" i="1"/>
  <c r="J57" i="1"/>
  <c r="I57" i="1"/>
  <c r="H57" i="1"/>
  <c r="G57" i="1"/>
  <c r="F57" i="1"/>
  <c r="E57" i="1"/>
  <c r="D57" i="1"/>
  <c r="C57" i="1"/>
  <c r="N56" i="1"/>
  <c r="M56" i="1"/>
  <c r="L56" i="1"/>
  <c r="K56" i="1"/>
  <c r="J56" i="1"/>
  <c r="I56" i="1"/>
  <c r="H56" i="1"/>
  <c r="G56" i="1"/>
  <c r="F56" i="1"/>
  <c r="E56" i="1"/>
  <c r="D56" i="1"/>
  <c r="C56" i="1"/>
  <c r="N55" i="1"/>
  <c r="M55" i="1"/>
  <c r="L55" i="1"/>
  <c r="K55" i="1"/>
  <c r="J55" i="1"/>
  <c r="I55" i="1"/>
  <c r="H55" i="1"/>
  <c r="G55" i="1"/>
  <c r="F55" i="1"/>
  <c r="E55" i="1"/>
  <c r="D55" i="1"/>
  <c r="C55" i="1"/>
  <c r="N54" i="1"/>
  <c r="M54" i="1"/>
  <c r="L54" i="1"/>
  <c r="K54" i="1"/>
  <c r="J54" i="1"/>
  <c r="I54" i="1"/>
  <c r="H54" i="1"/>
  <c r="G54" i="1"/>
  <c r="F54" i="1"/>
  <c r="E54" i="1"/>
  <c r="D54" i="1"/>
  <c r="C54" i="1"/>
  <c r="N53" i="1"/>
  <c r="M53" i="1"/>
  <c r="L53" i="1"/>
  <c r="K53" i="1"/>
  <c r="J53" i="1"/>
  <c r="I53" i="1"/>
  <c r="H53" i="1"/>
  <c r="G53" i="1"/>
  <c r="F53" i="1"/>
  <c r="E53" i="1"/>
  <c r="D53" i="1"/>
  <c r="C53" i="1"/>
  <c r="N52" i="1"/>
  <c r="M52" i="1"/>
  <c r="L52" i="1"/>
  <c r="K52" i="1"/>
  <c r="J52" i="1"/>
  <c r="I52" i="1"/>
  <c r="H52" i="1"/>
  <c r="G52" i="1"/>
  <c r="F52" i="1"/>
  <c r="E52" i="1"/>
  <c r="D52" i="1"/>
  <c r="C52" i="1"/>
  <c r="N51" i="1"/>
  <c r="M51" i="1"/>
  <c r="L51" i="1"/>
  <c r="K51" i="1"/>
  <c r="J51" i="1"/>
  <c r="I51" i="1"/>
  <c r="H51" i="1"/>
  <c r="G51" i="1"/>
  <c r="F51" i="1"/>
  <c r="E51" i="1"/>
  <c r="D51" i="1"/>
  <c r="C51" i="1"/>
  <c r="N50" i="1"/>
  <c r="M50" i="1"/>
  <c r="L50" i="1"/>
  <c r="K50" i="1"/>
  <c r="J50" i="1"/>
  <c r="I50" i="1"/>
  <c r="H50" i="1"/>
  <c r="G50" i="1"/>
  <c r="F50" i="1"/>
  <c r="E50" i="1"/>
  <c r="D50" i="1"/>
  <c r="C50" i="1"/>
  <c r="N49" i="1"/>
  <c r="M49" i="1"/>
  <c r="L49" i="1"/>
  <c r="K49" i="1"/>
  <c r="J49" i="1"/>
  <c r="I49" i="1"/>
  <c r="H49" i="1"/>
  <c r="G49" i="1"/>
  <c r="F49" i="1"/>
  <c r="E49" i="1"/>
  <c r="D49" i="1"/>
  <c r="C49" i="1"/>
  <c r="N48" i="1"/>
  <c r="M48" i="1"/>
  <c r="L48" i="1"/>
  <c r="K48" i="1"/>
  <c r="J48" i="1"/>
  <c r="I48" i="1"/>
  <c r="H48" i="1"/>
  <c r="G48" i="1"/>
  <c r="F48" i="1"/>
  <c r="E48" i="1"/>
  <c r="D48" i="1"/>
  <c r="C48" i="1"/>
  <c r="N47" i="1"/>
  <c r="M47" i="1"/>
  <c r="L47" i="1"/>
  <c r="K47" i="1"/>
  <c r="J47" i="1"/>
  <c r="I47" i="1"/>
  <c r="H47" i="1"/>
  <c r="G47" i="1"/>
  <c r="F47" i="1"/>
  <c r="E47" i="1"/>
  <c r="D47" i="1"/>
  <c r="C47" i="1"/>
  <c r="N46" i="1"/>
  <c r="M46" i="1"/>
  <c r="L46" i="1"/>
  <c r="K46" i="1"/>
  <c r="J46" i="1"/>
  <c r="I46" i="1"/>
  <c r="H46" i="1"/>
  <c r="G46" i="1"/>
  <c r="F46" i="1"/>
  <c r="E46" i="1"/>
  <c r="D46" i="1"/>
  <c r="C46" i="1"/>
  <c r="N45" i="1"/>
  <c r="M45" i="1"/>
  <c r="L45" i="1"/>
  <c r="K45" i="1"/>
  <c r="J45" i="1"/>
  <c r="I45" i="1"/>
  <c r="H45" i="1"/>
  <c r="G45" i="1"/>
  <c r="F45" i="1"/>
  <c r="E45" i="1"/>
  <c r="D45" i="1"/>
  <c r="C45" i="1"/>
  <c r="N44" i="1"/>
  <c r="M44" i="1"/>
  <c r="L44" i="1"/>
  <c r="K44" i="1"/>
  <c r="J44" i="1"/>
  <c r="I44" i="1"/>
  <c r="H44" i="1"/>
  <c r="G44" i="1"/>
  <c r="F44" i="1"/>
  <c r="E44" i="1"/>
  <c r="D44" i="1"/>
  <c r="C44" i="1"/>
  <c r="N43" i="1"/>
  <c r="M43" i="1"/>
  <c r="L43" i="1"/>
  <c r="K43" i="1"/>
  <c r="J43" i="1"/>
  <c r="I43" i="1"/>
  <c r="H43" i="1"/>
  <c r="G43" i="1"/>
  <c r="F43" i="1"/>
  <c r="E43" i="1"/>
  <c r="D43" i="1"/>
  <c r="C43" i="1"/>
  <c r="N42" i="1"/>
  <c r="M42" i="1"/>
  <c r="L42" i="1"/>
  <c r="K42" i="1"/>
  <c r="J42" i="1"/>
  <c r="I42" i="1"/>
  <c r="H42" i="1"/>
  <c r="G42" i="1"/>
  <c r="F42" i="1"/>
  <c r="E42" i="1"/>
  <c r="D42" i="1"/>
  <c r="C42" i="1"/>
  <c r="N41" i="1"/>
  <c r="M41" i="1"/>
  <c r="L41" i="1"/>
  <c r="K41" i="1"/>
  <c r="J41" i="1"/>
  <c r="I41" i="1"/>
  <c r="H41" i="1"/>
  <c r="G41" i="1"/>
  <c r="F41" i="1"/>
  <c r="E41" i="1"/>
  <c r="D41" i="1"/>
  <c r="C41" i="1"/>
  <c r="N40" i="1"/>
  <c r="M40" i="1"/>
  <c r="L40" i="1"/>
  <c r="K40" i="1"/>
  <c r="J40" i="1"/>
  <c r="I40" i="1"/>
  <c r="H40" i="1"/>
  <c r="G40" i="1"/>
  <c r="F40" i="1"/>
  <c r="E40" i="1"/>
  <c r="D40" i="1"/>
  <c r="C40" i="1"/>
  <c r="N39" i="1"/>
  <c r="M39" i="1"/>
  <c r="L39" i="1"/>
  <c r="K39" i="1"/>
  <c r="J39" i="1"/>
  <c r="I39" i="1"/>
  <c r="H39" i="1"/>
  <c r="G39" i="1"/>
  <c r="F39" i="1"/>
  <c r="E39" i="1"/>
  <c r="D39" i="1"/>
  <c r="C39" i="1"/>
  <c r="N38" i="1"/>
  <c r="M38" i="1"/>
  <c r="L38" i="1"/>
  <c r="K38" i="1"/>
  <c r="J38" i="1"/>
  <c r="I38" i="1"/>
  <c r="H38" i="1"/>
  <c r="G38" i="1"/>
  <c r="F38" i="1"/>
  <c r="E38" i="1"/>
  <c r="D38" i="1"/>
  <c r="C38" i="1"/>
  <c r="N37" i="1"/>
  <c r="M37" i="1"/>
  <c r="L37" i="1"/>
  <c r="K37" i="1"/>
  <c r="J37" i="1"/>
  <c r="I37" i="1"/>
  <c r="H37" i="1"/>
  <c r="G37" i="1"/>
  <c r="F37" i="1"/>
  <c r="E37" i="1"/>
  <c r="D37" i="1"/>
  <c r="C37" i="1"/>
  <c r="N36" i="1"/>
  <c r="M36" i="1"/>
  <c r="L36" i="1"/>
  <c r="K36" i="1"/>
  <c r="J36" i="1"/>
  <c r="I36" i="1"/>
  <c r="H36" i="1"/>
  <c r="G36" i="1"/>
  <c r="F36" i="1"/>
  <c r="E36" i="1"/>
  <c r="D36" i="1"/>
  <c r="C36" i="1"/>
  <c r="N35" i="1"/>
  <c r="M35" i="1"/>
  <c r="L35" i="1"/>
  <c r="K35" i="1"/>
  <c r="J35" i="1"/>
  <c r="I35" i="1"/>
  <c r="H35" i="1"/>
  <c r="G35" i="1"/>
  <c r="F35" i="1"/>
  <c r="E35" i="1"/>
  <c r="D35" i="1"/>
  <c r="C35" i="1"/>
  <c r="N34" i="1"/>
  <c r="M34" i="1"/>
  <c r="L34" i="1"/>
  <c r="K34" i="1"/>
  <c r="J34" i="1"/>
  <c r="I34" i="1"/>
  <c r="H34" i="1"/>
  <c r="G34" i="1"/>
  <c r="F34" i="1"/>
  <c r="E34" i="1"/>
  <c r="D34" i="1"/>
  <c r="C34" i="1"/>
  <c r="N33" i="1"/>
  <c r="M33" i="1"/>
  <c r="L33" i="1"/>
  <c r="K33" i="1"/>
  <c r="J33" i="1"/>
  <c r="I33" i="1"/>
  <c r="H33" i="1"/>
  <c r="G33" i="1"/>
  <c r="F33" i="1"/>
  <c r="E33" i="1"/>
  <c r="D33" i="1"/>
  <c r="C33" i="1"/>
  <c r="N32" i="1"/>
  <c r="M32" i="1"/>
  <c r="L32" i="1"/>
  <c r="K32" i="1"/>
  <c r="J32" i="1"/>
  <c r="I32" i="1"/>
  <c r="H32" i="1"/>
  <c r="G32" i="1"/>
  <c r="F32" i="1"/>
  <c r="E32" i="1"/>
  <c r="D32" i="1"/>
  <c r="C32" i="1"/>
  <c r="N31" i="1"/>
  <c r="M31" i="1"/>
  <c r="L31" i="1"/>
  <c r="K31" i="1"/>
  <c r="J31" i="1"/>
  <c r="I31" i="1"/>
  <c r="H31" i="1"/>
  <c r="G31" i="1"/>
  <c r="F31" i="1"/>
  <c r="E31" i="1"/>
  <c r="D31" i="1"/>
  <c r="C31" i="1"/>
  <c r="N30" i="1"/>
  <c r="M30" i="1"/>
  <c r="L30" i="1"/>
  <c r="K30" i="1"/>
  <c r="J30" i="1"/>
  <c r="I30" i="1"/>
  <c r="H30" i="1"/>
  <c r="G30" i="1"/>
  <c r="F30" i="1"/>
  <c r="E30" i="1"/>
  <c r="D30" i="1"/>
  <c r="C30" i="1"/>
  <c r="N29" i="1"/>
  <c r="M29" i="1"/>
  <c r="L29" i="1"/>
  <c r="K29" i="1"/>
  <c r="J29" i="1"/>
  <c r="I29" i="1"/>
  <c r="H29" i="1"/>
  <c r="G29" i="1"/>
  <c r="F29" i="1"/>
  <c r="E29" i="1"/>
  <c r="D29" i="1"/>
  <c r="C29" i="1"/>
  <c r="N28" i="1"/>
  <c r="M28" i="1"/>
  <c r="L28" i="1"/>
  <c r="K28" i="1"/>
  <c r="J28" i="1"/>
  <c r="I28" i="1"/>
  <c r="H28" i="1"/>
  <c r="G28" i="1"/>
  <c r="F28" i="1"/>
  <c r="E28" i="1"/>
  <c r="D28" i="1"/>
  <c r="C28" i="1"/>
  <c r="N27" i="1"/>
  <c r="M27" i="1"/>
  <c r="L27" i="1"/>
  <c r="K27" i="1"/>
  <c r="J27" i="1"/>
  <c r="I27" i="1"/>
  <c r="H27" i="1"/>
  <c r="G27" i="1"/>
  <c r="F27" i="1"/>
  <c r="E27" i="1"/>
  <c r="D27" i="1"/>
  <c r="C27" i="1"/>
  <c r="N26" i="1"/>
  <c r="M26" i="1"/>
  <c r="L26" i="1"/>
  <c r="K26" i="1"/>
  <c r="J26" i="1"/>
  <c r="I26" i="1"/>
  <c r="H26" i="1"/>
  <c r="G26" i="1"/>
  <c r="F26" i="1"/>
  <c r="E26" i="1"/>
  <c r="D26" i="1"/>
  <c r="C26" i="1"/>
  <c r="N25" i="1"/>
  <c r="M25" i="1"/>
  <c r="L25" i="1"/>
  <c r="K25" i="1"/>
  <c r="J25" i="1"/>
  <c r="I25" i="1"/>
  <c r="H25" i="1"/>
  <c r="G25" i="1"/>
  <c r="F25" i="1"/>
  <c r="E25" i="1"/>
  <c r="D25" i="1"/>
  <c r="C25" i="1"/>
  <c r="N24" i="1"/>
  <c r="M24" i="1"/>
  <c r="L24" i="1"/>
  <c r="K24" i="1"/>
  <c r="J24" i="1"/>
  <c r="I24" i="1"/>
  <c r="H24" i="1"/>
  <c r="G24" i="1"/>
  <c r="F24" i="1"/>
  <c r="E24" i="1"/>
  <c r="D24" i="1"/>
  <c r="C24" i="1"/>
  <c r="N23" i="1"/>
  <c r="M23" i="1"/>
  <c r="L23" i="1"/>
  <c r="K23" i="1"/>
  <c r="J23" i="1"/>
  <c r="I23" i="1"/>
  <c r="H23" i="1"/>
  <c r="G23" i="1"/>
  <c r="F23" i="1"/>
  <c r="E23" i="1"/>
  <c r="D23" i="1"/>
  <c r="C23" i="1"/>
  <c r="N22" i="1"/>
  <c r="M22" i="1"/>
  <c r="L22" i="1"/>
  <c r="K22" i="1"/>
  <c r="J22" i="1"/>
  <c r="I22" i="1"/>
  <c r="H22" i="1"/>
  <c r="G22" i="1"/>
  <c r="F22" i="1"/>
  <c r="E22" i="1"/>
  <c r="D22" i="1"/>
  <c r="C22" i="1"/>
  <c r="N21" i="1"/>
  <c r="M21" i="1"/>
  <c r="L21" i="1"/>
  <c r="K21" i="1"/>
  <c r="J21" i="1"/>
  <c r="I21" i="1"/>
  <c r="H21" i="1"/>
  <c r="G21" i="1"/>
  <c r="F21" i="1"/>
  <c r="E21" i="1"/>
  <c r="D21" i="1"/>
  <c r="C21" i="1"/>
  <c r="N20" i="1"/>
  <c r="M20" i="1"/>
  <c r="L20" i="1"/>
  <c r="K20" i="1"/>
  <c r="J20" i="1"/>
  <c r="I20" i="1"/>
  <c r="H20" i="1"/>
  <c r="G20" i="1"/>
  <c r="F20" i="1"/>
  <c r="E20" i="1"/>
  <c r="D20" i="1"/>
  <c r="C20" i="1"/>
  <c r="N19" i="1"/>
  <c r="M19" i="1"/>
  <c r="L19" i="1"/>
  <c r="K19" i="1"/>
  <c r="J19" i="1"/>
  <c r="I19" i="1"/>
  <c r="H19" i="1"/>
  <c r="G19" i="1"/>
  <c r="F19" i="1"/>
  <c r="E19" i="1"/>
  <c r="D19" i="1"/>
  <c r="C19" i="1"/>
  <c r="N18" i="1"/>
  <c r="M18" i="1"/>
  <c r="L18" i="1"/>
  <c r="K18" i="1"/>
  <c r="J18" i="1"/>
  <c r="I18" i="1"/>
  <c r="H18" i="1"/>
  <c r="G18" i="1"/>
  <c r="F18" i="1"/>
  <c r="E18" i="1"/>
  <c r="D18" i="1"/>
  <c r="C18" i="1"/>
  <c r="N17" i="1"/>
  <c r="M17" i="1"/>
  <c r="L17" i="1"/>
  <c r="K17" i="1"/>
  <c r="J17" i="1"/>
  <c r="I17" i="1"/>
  <c r="H17" i="1"/>
  <c r="G17" i="1"/>
  <c r="F17" i="1"/>
  <c r="E17" i="1"/>
  <c r="D17" i="1"/>
  <c r="C17" i="1"/>
  <c r="N16" i="1"/>
  <c r="M16" i="1"/>
  <c r="L16" i="1"/>
  <c r="K16" i="1"/>
  <c r="J16" i="1"/>
  <c r="I16" i="1"/>
  <c r="H16" i="1"/>
  <c r="G16" i="1"/>
  <c r="F16" i="1"/>
  <c r="E16" i="1"/>
  <c r="D16" i="1"/>
  <c r="C16" i="1"/>
  <c r="N15" i="1"/>
  <c r="M15" i="1"/>
  <c r="L15" i="1"/>
  <c r="K15" i="1"/>
  <c r="J15" i="1"/>
  <c r="I15" i="1"/>
  <c r="H15" i="1"/>
  <c r="G15" i="1"/>
  <c r="F15" i="1"/>
  <c r="E15" i="1"/>
  <c r="D15" i="1"/>
  <c r="C15" i="1"/>
  <c r="N14" i="1"/>
  <c r="M14" i="1"/>
  <c r="L14" i="1"/>
  <c r="K14" i="1"/>
  <c r="J14" i="1"/>
  <c r="I14" i="1"/>
  <c r="H14" i="1"/>
  <c r="G14" i="1"/>
  <c r="F14" i="1"/>
  <c r="E14" i="1"/>
  <c r="D14" i="1"/>
  <c r="C14" i="1"/>
  <c r="N13" i="1"/>
  <c r="M13" i="1"/>
  <c r="L13" i="1"/>
  <c r="K13" i="1"/>
  <c r="J13" i="1"/>
  <c r="I13" i="1"/>
  <c r="H13" i="1"/>
  <c r="G13" i="1"/>
  <c r="F13" i="1"/>
  <c r="E13" i="1"/>
  <c r="D13" i="1"/>
  <c r="C13" i="1"/>
  <c r="N12" i="1"/>
  <c r="M12" i="1"/>
  <c r="L12" i="1"/>
  <c r="K12" i="1"/>
  <c r="J12" i="1"/>
  <c r="I12" i="1"/>
  <c r="H12" i="1"/>
  <c r="G12" i="1"/>
  <c r="F12" i="1"/>
  <c r="E12" i="1"/>
  <c r="D12" i="1"/>
  <c r="C12" i="1"/>
  <c r="N11" i="1"/>
  <c r="M11" i="1"/>
  <c r="L11" i="1"/>
  <c r="K11" i="1"/>
  <c r="J11" i="1"/>
  <c r="I11" i="1"/>
  <c r="H11" i="1"/>
  <c r="G11" i="1"/>
  <c r="F11" i="1"/>
  <c r="E11" i="1"/>
  <c r="D11" i="1"/>
  <c r="C11" i="1"/>
  <c r="N10" i="1"/>
  <c r="M10" i="1"/>
  <c r="L10" i="1"/>
  <c r="K10" i="1"/>
  <c r="J10" i="1"/>
  <c r="I10" i="1"/>
  <c r="H10" i="1"/>
  <c r="G10" i="1"/>
  <c r="F10" i="1"/>
  <c r="E10" i="1"/>
  <c r="D10" i="1"/>
  <c r="C10" i="1"/>
  <c r="N9" i="1"/>
  <c r="M9" i="1"/>
  <c r="L9" i="1"/>
  <c r="K9" i="1"/>
  <c r="J9" i="1"/>
  <c r="I9" i="1"/>
  <c r="H9" i="1"/>
  <c r="G9" i="1"/>
  <c r="F9" i="1"/>
  <c r="E9" i="1"/>
  <c r="D9" i="1"/>
  <c r="C9" i="1"/>
  <c r="N8" i="1"/>
  <c r="M8" i="1"/>
  <c r="L8" i="1"/>
  <c r="K8" i="1"/>
  <c r="J8" i="1"/>
  <c r="I8" i="1"/>
  <c r="H8" i="1"/>
  <c r="G8" i="1"/>
  <c r="F8" i="1"/>
  <c r="E8" i="1"/>
  <c r="D8" i="1"/>
  <c r="C8" i="1"/>
  <c r="N7" i="1"/>
  <c r="M7" i="1"/>
  <c r="L7" i="1"/>
  <c r="K7" i="1"/>
  <c r="J7" i="1"/>
  <c r="I7" i="1"/>
  <c r="H7" i="1"/>
  <c r="G7" i="1"/>
  <c r="F7" i="1"/>
  <c r="E7" i="1"/>
  <c r="D7" i="1"/>
  <c r="C7" i="1"/>
  <c r="N6" i="1"/>
  <c r="M6" i="1"/>
  <c r="L6" i="1"/>
  <c r="K6" i="1"/>
  <c r="J6" i="1"/>
  <c r="I6" i="1"/>
  <c r="H6" i="1"/>
  <c r="G6" i="1"/>
  <c r="F6" i="1"/>
  <c r="E6" i="1"/>
  <c r="D6" i="1"/>
  <c r="C6" i="1"/>
  <c r="N5" i="1"/>
  <c r="M5" i="1"/>
  <c r="L5" i="1"/>
  <c r="J5" i="1"/>
  <c r="I5" i="1"/>
  <c r="H5" i="1"/>
  <c r="F5" i="1"/>
  <c r="E5" i="1"/>
  <c r="D5" i="1"/>
  <c r="C5" i="1"/>
  <c r="G5" i="1"/>
  <c r="A2" i="1"/>
  <c r="I1380" i="1" l="1"/>
  <c r="J1380" i="1"/>
  <c r="N1380" i="1"/>
  <c r="F1380" i="1"/>
  <c r="K1380" i="1"/>
  <c r="E1380" i="1"/>
  <c r="G1380" i="1"/>
  <c r="C1380" i="1"/>
  <c r="H1380" i="1"/>
  <c r="L1380" i="1"/>
  <c r="A5" i="2"/>
  <c r="C5" i="2" s="1"/>
  <c r="A6" i="2"/>
  <c r="B6" i="2" s="1"/>
  <c r="A7" i="2"/>
  <c r="A8" i="2"/>
  <c r="A9" i="2"/>
  <c r="C9" i="2" s="1"/>
  <c r="A10" i="2"/>
  <c r="B10" i="2" s="1"/>
  <c r="A11" i="2"/>
  <c r="A12" i="2"/>
  <c r="A13" i="2"/>
  <c r="C13" i="2" s="1"/>
  <c r="A4" i="2"/>
  <c r="J4" i="2" s="1"/>
  <c r="B7" i="2"/>
  <c r="C7" i="2"/>
  <c r="D7" i="2"/>
  <c r="E7" i="2"/>
  <c r="F7" i="2"/>
  <c r="G7" i="2"/>
  <c r="H7" i="2"/>
  <c r="J7" i="2"/>
  <c r="K7" i="2"/>
  <c r="B8" i="2"/>
  <c r="C8" i="2"/>
  <c r="D8" i="2"/>
  <c r="E8" i="2"/>
  <c r="F8" i="2"/>
  <c r="G8" i="2"/>
  <c r="H8" i="2"/>
  <c r="J8" i="2"/>
  <c r="K8" i="2"/>
  <c r="B11" i="2"/>
  <c r="C11" i="2"/>
  <c r="D11" i="2"/>
  <c r="E11" i="2"/>
  <c r="F11" i="2"/>
  <c r="G11" i="2"/>
  <c r="H11" i="2"/>
  <c r="J11" i="2"/>
  <c r="K11" i="2"/>
  <c r="B12" i="2"/>
  <c r="C12" i="2"/>
  <c r="D12" i="2"/>
  <c r="E12" i="2"/>
  <c r="F12" i="2"/>
  <c r="G12" i="2"/>
  <c r="H12" i="2"/>
  <c r="J12" i="2"/>
  <c r="K12" i="2"/>
  <c r="C6" i="2" l="1"/>
  <c r="C10" i="2"/>
  <c r="D10" i="2"/>
  <c r="D6" i="2"/>
  <c r="D13" i="2"/>
  <c r="G10" i="2"/>
  <c r="D9" i="2"/>
  <c r="G6" i="2"/>
  <c r="D5" i="2"/>
  <c r="H13" i="2"/>
  <c r="H10" i="2"/>
  <c r="H9" i="2"/>
  <c r="H6" i="2"/>
  <c r="H5" i="2"/>
  <c r="E13" i="2"/>
  <c r="I11" i="2"/>
  <c r="J9" i="2"/>
  <c r="E9" i="2"/>
  <c r="I7" i="2"/>
  <c r="J5" i="2"/>
  <c r="E5" i="2"/>
  <c r="K13" i="2"/>
  <c r="F13" i="2"/>
  <c r="B13" i="2"/>
  <c r="J10" i="2"/>
  <c r="E10" i="2"/>
  <c r="K9" i="2"/>
  <c r="F9" i="2"/>
  <c r="B9" i="2"/>
  <c r="J6" i="2"/>
  <c r="E6" i="2"/>
  <c r="K5" i="2"/>
  <c r="F5" i="2"/>
  <c r="B5" i="2"/>
  <c r="J13" i="2"/>
  <c r="G13" i="2"/>
  <c r="I12" i="2"/>
  <c r="K10" i="2"/>
  <c r="F10" i="2"/>
  <c r="G9" i="2"/>
  <c r="I8" i="2"/>
  <c r="K6" i="2"/>
  <c r="F6" i="2"/>
  <c r="G5" i="2"/>
  <c r="C4" i="2"/>
  <c r="G4" i="2"/>
  <c r="B4" i="2"/>
  <c r="F4" i="2"/>
  <c r="K4" i="2"/>
  <c r="D4" i="2"/>
  <c r="H4" i="2"/>
  <c r="E4" i="2"/>
  <c r="F2" i="2"/>
  <c r="C14" i="2" l="1"/>
  <c r="H14" i="2"/>
  <c r="I13" i="2"/>
  <c r="I10" i="2"/>
  <c r="I9" i="2"/>
  <c r="I5" i="2"/>
  <c r="I6" i="2"/>
  <c r="E14" i="2"/>
  <c r="I4" i="2"/>
  <c r="D14" i="2"/>
  <c r="J14" i="2"/>
  <c r="K14" i="2"/>
  <c r="G14" i="2"/>
  <c r="F14" i="2"/>
  <c r="I14" i="2" l="1"/>
  <c r="A1" i="1" l="1"/>
  <c r="E1" i="2" s="1"/>
  <c r="D1380" i="1" l="1"/>
</calcChain>
</file>

<file path=xl/sharedStrings.xml><?xml version="1.0" encoding="utf-8"?>
<sst xmlns="http://schemas.openxmlformats.org/spreadsheetml/2006/main" count="395" uniqueCount="145">
  <si>
    <t>LIST</t>
  </si>
  <si>
    <t>dqy ;ksx</t>
  </si>
  <si>
    <t>g- ys[kkdkj</t>
  </si>
  <si>
    <t>g- dSf'k;j</t>
  </si>
  <si>
    <t>g- lfpo</t>
  </si>
  <si>
    <t>g- v/;{k</t>
  </si>
  <si>
    <t>A/c no.</t>
  </si>
  <si>
    <t>Name</t>
  </si>
  <si>
    <t>Kist</t>
  </si>
  <si>
    <t>K.P.</t>
  </si>
  <si>
    <t>Loan</t>
  </si>
  <si>
    <t>L.P.</t>
  </si>
  <si>
    <t>Inter</t>
  </si>
  <si>
    <t>Other</t>
  </si>
  <si>
    <t>Total</t>
  </si>
  <si>
    <t>L.Balance</t>
  </si>
  <si>
    <t>Nest Lo.</t>
  </si>
  <si>
    <t>Discount</t>
  </si>
  <si>
    <t>Khandelwal Software</t>
  </si>
  <si>
    <t>Kandelwal Software</t>
  </si>
  <si>
    <t>phone</t>
  </si>
  <si>
    <t>Loan T</t>
  </si>
  <si>
    <r>
      <t>import</t>
    </r>
    <r>
      <rPr>
        <sz val="8"/>
        <color rgb="FFD3AF86"/>
        <rFont val="Consolas"/>
        <family val="3"/>
      </rPr>
      <t xml:space="preserve"> </t>
    </r>
    <r>
      <rPr>
        <sz val="8"/>
        <color rgb="FFF06431"/>
        <rFont val="Consolas"/>
        <family val="3"/>
      </rPr>
      <t>streamlit</t>
    </r>
    <r>
      <rPr>
        <sz val="8"/>
        <color rgb="FFD3AF86"/>
        <rFont val="Consolas"/>
        <family val="3"/>
      </rPr>
      <t xml:space="preserve"> </t>
    </r>
    <r>
      <rPr>
        <sz val="8"/>
        <color rgb="FF98676A"/>
        <rFont val="Consolas"/>
        <family val="3"/>
      </rPr>
      <t>as</t>
    </r>
    <r>
      <rPr>
        <sz val="8"/>
        <color rgb="FFD3AF86"/>
        <rFont val="Consolas"/>
        <family val="3"/>
      </rPr>
      <t xml:space="preserve"> </t>
    </r>
    <r>
      <rPr>
        <sz val="8"/>
        <color rgb="FFF06431"/>
        <rFont val="Consolas"/>
        <family val="3"/>
      </rPr>
      <t>st</t>
    </r>
  </si>
  <si>
    <r>
      <t>import</t>
    </r>
    <r>
      <rPr>
        <sz val="8"/>
        <color rgb="FFD3AF86"/>
        <rFont val="Consolas"/>
        <family val="3"/>
      </rPr>
      <t xml:space="preserve"> </t>
    </r>
    <r>
      <rPr>
        <sz val="8"/>
        <color rgb="FFF06431"/>
        <rFont val="Consolas"/>
        <family val="3"/>
      </rPr>
      <t>pandas</t>
    </r>
    <r>
      <rPr>
        <sz val="8"/>
        <color rgb="FFD3AF86"/>
        <rFont val="Consolas"/>
        <family val="3"/>
      </rPr>
      <t xml:space="preserve"> </t>
    </r>
    <r>
      <rPr>
        <sz val="8"/>
        <color rgb="FF98676A"/>
        <rFont val="Consolas"/>
        <family val="3"/>
      </rPr>
      <t>as</t>
    </r>
    <r>
      <rPr>
        <sz val="8"/>
        <color rgb="FFD3AF86"/>
        <rFont val="Consolas"/>
        <family val="3"/>
      </rPr>
      <t xml:space="preserve"> </t>
    </r>
    <r>
      <rPr>
        <sz val="8"/>
        <color rgb="FFF06431"/>
        <rFont val="Consolas"/>
        <family val="3"/>
      </rPr>
      <t>pd</t>
    </r>
  </si>
  <si>
    <r>
      <t>st</t>
    </r>
    <r>
      <rPr>
        <sz val="8"/>
        <color rgb="FFD3AF86"/>
        <rFont val="Consolas"/>
        <family val="3"/>
      </rPr>
      <t>.</t>
    </r>
    <r>
      <rPr>
        <sz val="8"/>
        <color rgb="FF8AB1B0"/>
        <rFont val="Consolas"/>
        <family val="3"/>
      </rPr>
      <t>set_page_config</t>
    </r>
    <r>
      <rPr>
        <sz val="8"/>
        <color rgb="FFD3AF86"/>
        <rFont val="Consolas"/>
        <family val="3"/>
      </rPr>
      <t>(</t>
    </r>
    <r>
      <rPr>
        <sz val="8"/>
        <color rgb="FFDC3958"/>
        <rFont val="Consolas"/>
        <family val="3"/>
      </rPr>
      <t>layout</t>
    </r>
    <r>
      <rPr>
        <sz val="8"/>
        <color rgb="FFD3AF86"/>
        <rFont val="Consolas"/>
        <family val="3"/>
      </rPr>
      <t>="</t>
    </r>
    <r>
      <rPr>
        <sz val="8"/>
        <color rgb="FF889B4A"/>
        <rFont val="Consolas"/>
        <family val="3"/>
      </rPr>
      <t>wide</t>
    </r>
    <r>
      <rPr>
        <sz val="8"/>
        <color rgb="FFD3AF86"/>
        <rFont val="Consolas"/>
        <family val="3"/>
      </rPr>
      <t>")</t>
    </r>
  </si>
  <si>
    <r>
      <t>st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markdown</t>
    </r>
    <r>
      <rPr>
        <sz val="8"/>
        <color rgb="FFD3AF86"/>
        <rFont val="Consolas"/>
        <family val="3"/>
      </rPr>
      <t>("</t>
    </r>
    <r>
      <rPr>
        <sz val="8"/>
        <color rgb="FF889B4A"/>
        <rFont val="Consolas"/>
        <family val="3"/>
      </rPr>
      <t>Balai Svyam Seva Sasthan       Surpura</t>
    </r>
    <r>
      <rPr>
        <sz val="8"/>
        <color rgb="FFD3AF86"/>
        <rFont val="Consolas"/>
        <family val="3"/>
      </rPr>
      <t>")  </t>
    </r>
    <r>
      <rPr>
        <sz val="8"/>
        <color rgb="FFA57A4C"/>
        <rFont val="Consolas"/>
        <family val="3"/>
      </rPr>
      <t># ← Yahan se 📊 hata diya</t>
    </r>
  </si>
  <si>
    <r>
      <t>def</t>
    </r>
    <r>
      <rPr>
        <sz val="8"/>
        <color rgb="FFD3AF86"/>
        <rFont val="Consolas"/>
        <family val="3"/>
      </rPr>
      <t xml:space="preserve"> </t>
    </r>
    <r>
      <rPr>
        <sz val="8"/>
        <color rgb="FF8AB1B0"/>
        <rFont val="Consolas"/>
        <family val="3"/>
      </rPr>
      <t>load_data</t>
    </r>
    <r>
      <rPr>
        <sz val="8"/>
        <color rgb="FFD3AF86"/>
        <rFont val="Consolas"/>
        <family val="3"/>
      </rPr>
      <t>():</t>
    </r>
  </si>
  <si>
    <r>
      <t xml:space="preserve">    </t>
    </r>
    <r>
      <rPr>
        <sz val="8"/>
        <color rgb="FFA57A4C"/>
        <rFont val="Consolas"/>
        <family val="3"/>
      </rPr>
      <t># encoding fix aur khali rows hatana</t>
    </r>
  </si>
  <si>
    <r>
      <t xml:space="preserve">    </t>
    </r>
    <r>
      <rPr>
        <sz val="8"/>
        <color rgb="FFDC3958"/>
        <rFont val="Consolas"/>
        <family val="3"/>
      </rPr>
      <t>df</t>
    </r>
    <r>
      <rPr>
        <sz val="8"/>
        <color rgb="FFD3AF86"/>
        <rFont val="Consolas"/>
        <family val="3"/>
      </rPr>
      <t xml:space="preserve"> = </t>
    </r>
    <r>
      <rPr>
        <sz val="8"/>
        <color rgb="FFF06431"/>
        <rFont val="Consolas"/>
        <family val="3"/>
      </rPr>
      <t>pd</t>
    </r>
    <r>
      <rPr>
        <sz val="8"/>
        <color rgb="FFD3AF86"/>
        <rFont val="Consolas"/>
        <family val="3"/>
      </rPr>
      <t>.</t>
    </r>
    <r>
      <rPr>
        <sz val="8"/>
        <color rgb="FF8AB1B0"/>
        <rFont val="Consolas"/>
        <family val="3"/>
      </rPr>
      <t>read_csv</t>
    </r>
    <r>
      <rPr>
        <sz val="8"/>
        <color rgb="FFD3AF86"/>
        <rFont val="Consolas"/>
        <family val="3"/>
      </rPr>
      <t>(</t>
    </r>
    <r>
      <rPr>
        <sz val="8"/>
        <color rgb="FF98676A"/>
        <rFont val="Consolas"/>
        <family val="3"/>
      </rPr>
      <t>r</t>
    </r>
    <r>
      <rPr>
        <sz val="8"/>
        <color rgb="FFD3AF86"/>
        <rFont val="Consolas"/>
        <family val="3"/>
      </rPr>
      <t>"</t>
    </r>
    <r>
      <rPr>
        <sz val="8"/>
        <color rgb="FF7E602C"/>
        <rFont val="Consolas"/>
        <family val="3"/>
      </rPr>
      <t>e:\python\LTM.csv</t>
    </r>
    <r>
      <rPr>
        <sz val="8"/>
        <color rgb="FFD3AF86"/>
        <rFont val="Consolas"/>
        <family val="3"/>
      </rPr>
      <t xml:space="preserve">", </t>
    </r>
    <r>
      <rPr>
        <sz val="8"/>
        <color rgb="FFDC3958"/>
        <rFont val="Consolas"/>
        <family val="3"/>
      </rPr>
      <t>header</t>
    </r>
    <r>
      <rPr>
        <sz val="8"/>
        <color rgb="FFD3AF86"/>
        <rFont val="Consolas"/>
        <family val="3"/>
      </rPr>
      <t>=</t>
    </r>
    <r>
      <rPr>
        <sz val="8"/>
        <color rgb="FFF79A32"/>
        <rFont val="Consolas"/>
        <family val="3"/>
      </rPr>
      <t>2</t>
    </r>
    <r>
      <rPr>
        <sz val="8"/>
        <color rgb="FFD3AF86"/>
        <rFont val="Consolas"/>
        <family val="3"/>
      </rPr>
      <t xml:space="preserve">, </t>
    </r>
    <r>
      <rPr>
        <sz val="8"/>
        <color rgb="FFDC3958"/>
        <rFont val="Consolas"/>
        <family val="3"/>
      </rPr>
      <t>encoding</t>
    </r>
    <r>
      <rPr>
        <sz val="8"/>
        <color rgb="FFD3AF86"/>
        <rFont val="Consolas"/>
        <family val="3"/>
      </rPr>
      <t>='</t>
    </r>
    <r>
      <rPr>
        <sz val="8"/>
        <color rgb="FF889B4A"/>
        <rFont val="Consolas"/>
        <family val="3"/>
      </rPr>
      <t>latin-1</t>
    </r>
    <r>
      <rPr>
        <sz val="8"/>
        <color rgb="FFD3AF86"/>
        <rFont val="Consolas"/>
        <family val="3"/>
      </rPr>
      <t>').</t>
    </r>
    <r>
      <rPr>
        <sz val="8"/>
        <color rgb="FF8AB1B0"/>
        <rFont val="Consolas"/>
        <family val="3"/>
      </rPr>
      <t>dropna</t>
    </r>
    <r>
      <rPr>
        <sz val="8"/>
        <color rgb="FFD3AF86"/>
        <rFont val="Consolas"/>
        <family val="3"/>
      </rPr>
      <t>(</t>
    </r>
    <r>
      <rPr>
        <sz val="8"/>
        <color rgb="FFDC3958"/>
        <rFont val="Consolas"/>
        <family val="3"/>
      </rPr>
      <t>how</t>
    </r>
    <r>
      <rPr>
        <sz val="8"/>
        <color rgb="FFD3AF86"/>
        <rFont val="Consolas"/>
        <family val="3"/>
      </rPr>
      <t>='</t>
    </r>
    <r>
      <rPr>
        <sz val="8"/>
        <color rgb="FF889B4A"/>
        <rFont val="Consolas"/>
        <family val="3"/>
      </rPr>
      <t>all</t>
    </r>
    <r>
      <rPr>
        <sz val="8"/>
        <color rgb="FFD3AF86"/>
        <rFont val="Consolas"/>
        <family val="3"/>
      </rPr>
      <t>')</t>
    </r>
  </si>
  <si>
    <r>
      <t xml:space="preserve">    </t>
    </r>
    <r>
      <rPr>
        <sz val="8"/>
        <color rgb="FFDC3958"/>
        <rFont val="Consolas"/>
        <family val="3"/>
      </rPr>
      <t>df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columns</t>
    </r>
    <r>
      <rPr>
        <sz val="8"/>
        <color rgb="FFD3AF86"/>
        <rFont val="Consolas"/>
        <family val="3"/>
      </rPr>
      <t xml:space="preserve"> = </t>
    </r>
    <r>
      <rPr>
        <sz val="8"/>
        <color rgb="FFDC3958"/>
        <rFont val="Consolas"/>
        <family val="3"/>
      </rPr>
      <t>df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columns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str</t>
    </r>
    <r>
      <rPr>
        <sz val="8"/>
        <color rgb="FFD3AF86"/>
        <rFont val="Consolas"/>
        <family val="3"/>
      </rPr>
      <t>.</t>
    </r>
    <r>
      <rPr>
        <sz val="8"/>
        <color rgb="FF8AB1B0"/>
        <rFont val="Consolas"/>
        <family val="3"/>
      </rPr>
      <t>strip</t>
    </r>
    <r>
      <rPr>
        <sz val="8"/>
        <color rgb="FFD3AF86"/>
        <rFont val="Consolas"/>
        <family val="3"/>
      </rPr>
      <t>()</t>
    </r>
  </si>
  <si>
    <t xml:space="preserve">    </t>
  </si>
  <si>
    <r>
      <t xml:space="preserve">    </t>
    </r>
    <r>
      <rPr>
        <sz val="8"/>
        <color rgb="FF98676A"/>
        <rFont val="Consolas"/>
        <family val="3"/>
      </rPr>
      <t>if</t>
    </r>
    <r>
      <rPr>
        <sz val="8"/>
        <color rgb="FFD3AF86"/>
        <rFont val="Consolas"/>
        <family val="3"/>
      </rPr>
      <t xml:space="preserve"> '</t>
    </r>
    <r>
      <rPr>
        <sz val="8"/>
        <color rgb="FF889B4A"/>
        <rFont val="Consolas"/>
        <family val="3"/>
      </rPr>
      <t>phone</t>
    </r>
    <r>
      <rPr>
        <sz val="8"/>
        <color rgb="FFD3AF86"/>
        <rFont val="Consolas"/>
        <family val="3"/>
      </rPr>
      <t xml:space="preserve">' </t>
    </r>
    <r>
      <rPr>
        <sz val="8"/>
        <color rgb="FF7E602C"/>
        <rFont val="Consolas"/>
        <family val="3"/>
      </rPr>
      <t>in</t>
    </r>
    <r>
      <rPr>
        <sz val="8"/>
        <color rgb="FFD3AF86"/>
        <rFont val="Consolas"/>
        <family val="3"/>
      </rPr>
      <t xml:space="preserve"> </t>
    </r>
    <r>
      <rPr>
        <sz val="8"/>
        <color rgb="FFDC3958"/>
        <rFont val="Consolas"/>
        <family val="3"/>
      </rPr>
      <t>df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columns</t>
    </r>
    <r>
      <rPr>
        <sz val="8"/>
        <color rgb="FFD3AF86"/>
        <rFont val="Consolas"/>
        <family val="3"/>
      </rPr>
      <t>:</t>
    </r>
  </si>
  <si>
    <r>
      <t xml:space="preserve">        </t>
    </r>
    <r>
      <rPr>
        <sz val="8"/>
        <color rgb="FFDC3958"/>
        <rFont val="Consolas"/>
        <family val="3"/>
      </rPr>
      <t>df</t>
    </r>
    <r>
      <rPr>
        <sz val="8"/>
        <color rgb="FFD3AF86"/>
        <rFont val="Consolas"/>
        <family val="3"/>
      </rPr>
      <t>['</t>
    </r>
    <r>
      <rPr>
        <sz val="8"/>
        <color rgb="FF889B4A"/>
        <rFont val="Consolas"/>
        <family val="3"/>
      </rPr>
      <t>phone</t>
    </r>
    <r>
      <rPr>
        <sz val="8"/>
        <color rgb="FFD3AF86"/>
        <rFont val="Consolas"/>
        <family val="3"/>
      </rPr>
      <t xml:space="preserve">'] = </t>
    </r>
    <r>
      <rPr>
        <sz val="8"/>
        <color rgb="FFDC3958"/>
        <rFont val="Consolas"/>
        <family val="3"/>
      </rPr>
      <t>df</t>
    </r>
    <r>
      <rPr>
        <sz val="8"/>
        <color rgb="FFD3AF86"/>
        <rFont val="Consolas"/>
        <family val="3"/>
      </rPr>
      <t>['</t>
    </r>
    <r>
      <rPr>
        <sz val="8"/>
        <color rgb="FF889B4A"/>
        <rFont val="Consolas"/>
        <family val="3"/>
      </rPr>
      <t>phone</t>
    </r>
    <r>
      <rPr>
        <sz val="8"/>
        <color rgb="FFD3AF86"/>
        <rFont val="Consolas"/>
        <family val="3"/>
      </rPr>
      <t>'].</t>
    </r>
    <r>
      <rPr>
        <sz val="8"/>
        <color rgb="FF8AB1B0"/>
        <rFont val="Consolas"/>
        <family val="3"/>
      </rPr>
      <t>astype</t>
    </r>
    <r>
      <rPr>
        <sz val="8"/>
        <color rgb="FFD3AF86"/>
        <rFont val="Consolas"/>
        <family val="3"/>
      </rPr>
      <t>(</t>
    </r>
    <r>
      <rPr>
        <sz val="8"/>
        <color rgb="FFF06431"/>
        <rFont val="Consolas"/>
        <family val="3"/>
      </rPr>
      <t>str</t>
    </r>
    <r>
      <rPr>
        <sz val="8"/>
        <color rgb="FFD3AF86"/>
        <rFont val="Consolas"/>
        <family val="3"/>
      </rPr>
      <t>).</t>
    </r>
    <r>
      <rPr>
        <sz val="8"/>
        <color rgb="FFDC3958"/>
        <rFont val="Consolas"/>
        <family val="3"/>
      </rPr>
      <t>str</t>
    </r>
    <r>
      <rPr>
        <sz val="8"/>
        <color rgb="FFD3AF86"/>
        <rFont val="Consolas"/>
        <family val="3"/>
      </rPr>
      <t>.</t>
    </r>
    <r>
      <rPr>
        <sz val="8"/>
        <color rgb="FF8AB1B0"/>
        <rFont val="Consolas"/>
        <family val="3"/>
      </rPr>
      <t>replace</t>
    </r>
    <r>
      <rPr>
        <sz val="8"/>
        <color rgb="FFD3AF86"/>
        <rFont val="Consolas"/>
        <family val="3"/>
      </rPr>
      <t>(</t>
    </r>
    <r>
      <rPr>
        <sz val="8"/>
        <color rgb="FF98676A"/>
        <rFont val="Consolas"/>
        <family val="3"/>
      </rPr>
      <t>r</t>
    </r>
    <r>
      <rPr>
        <sz val="8"/>
        <color rgb="FFD3AF86"/>
        <rFont val="Consolas"/>
        <family val="3"/>
      </rPr>
      <t>'</t>
    </r>
    <r>
      <rPr>
        <sz val="8"/>
        <color rgb="FF7E602C"/>
        <rFont val="Consolas"/>
        <family val="3"/>
      </rPr>
      <t>\.0$</t>
    </r>
    <r>
      <rPr>
        <sz val="8"/>
        <color rgb="FFD3AF86"/>
        <rFont val="Consolas"/>
        <family val="3"/>
      </rPr>
      <t xml:space="preserve">', '', </t>
    </r>
    <r>
      <rPr>
        <sz val="8"/>
        <color rgb="FFDC3958"/>
        <rFont val="Consolas"/>
        <family val="3"/>
      </rPr>
      <t>regex</t>
    </r>
    <r>
      <rPr>
        <sz val="8"/>
        <color rgb="FFD3AF86"/>
        <rFont val="Consolas"/>
        <family val="3"/>
      </rPr>
      <t>=</t>
    </r>
    <r>
      <rPr>
        <sz val="8"/>
        <color rgb="FFF79A32"/>
        <rFont val="Consolas"/>
        <family val="3"/>
      </rPr>
      <t>True</t>
    </r>
    <r>
      <rPr>
        <sz val="8"/>
        <color rgb="FFD3AF86"/>
        <rFont val="Consolas"/>
        <family val="3"/>
      </rPr>
      <t>).</t>
    </r>
    <r>
      <rPr>
        <sz val="8"/>
        <color rgb="FFDC3958"/>
        <rFont val="Consolas"/>
        <family val="3"/>
      </rPr>
      <t>str</t>
    </r>
    <r>
      <rPr>
        <sz val="8"/>
        <color rgb="FFD3AF86"/>
        <rFont val="Consolas"/>
        <family val="3"/>
      </rPr>
      <t>.</t>
    </r>
    <r>
      <rPr>
        <sz val="8"/>
        <color rgb="FF8AB1B0"/>
        <rFont val="Consolas"/>
        <family val="3"/>
      </rPr>
      <t>strip</t>
    </r>
    <r>
      <rPr>
        <sz val="8"/>
        <color rgb="FFD3AF86"/>
        <rFont val="Consolas"/>
        <family val="3"/>
      </rPr>
      <t>()</t>
    </r>
  </si>
  <si>
    <r>
      <t xml:space="preserve">    </t>
    </r>
    <r>
      <rPr>
        <sz val="8"/>
        <color rgb="FFA57A4C"/>
        <rFont val="Consolas"/>
        <family val="3"/>
      </rPr>
      <t># Sabhi 'None' ya 'NaN' values ko khali string se badal dena</t>
    </r>
  </si>
  <si>
    <r>
      <t xml:space="preserve">    </t>
    </r>
    <r>
      <rPr>
        <sz val="8"/>
        <color rgb="FFDC3958"/>
        <rFont val="Consolas"/>
        <family val="3"/>
      </rPr>
      <t>df</t>
    </r>
    <r>
      <rPr>
        <sz val="8"/>
        <color rgb="FFD3AF86"/>
        <rFont val="Consolas"/>
        <family val="3"/>
      </rPr>
      <t xml:space="preserve"> = </t>
    </r>
    <r>
      <rPr>
        <sz val="8"/>
        <color rgb="FFDC3958"/>
        <rFont val="Consolas"/>
        <family val="3"/>
      </rPr>
      <t>df</t>
    </r>
    <r>
      <rPr>
        <sz val="8"/>
        <color rgb="FFD3AF86"/>
        <rFont val="Consolas"/>
        <family val="3"/>
      </rPr>
      <t>.</t>
    </r>
    <r>
      <rPr>
        <sz val="8"/>
        <color rgb="FF8AB1B0"/>
        <rFont val="Consolas"/>
        <family val="3"/>
      </rPr>
      <t>fillna</t>
    </r>
    <r>
      <rPr>
        <sz val="8"/>
        <color rgb="FFD3AF86"/>
        <rFont val="Consolas"/>
        <family val="3"/>
      </rPr>
      <t>('')</t>
    </r>
  </si>
  <si>
    <r>
      <t xml:space="preserve">    </t>
    </r>
    <r>
      <rPr>
        <sz val="8"/>
        <color rgb="FF98676A"/>
        <rFont val="Consolas"/>
        <family val="3"/>
      </rPr>
      <t>return</t>
    </r>
    <r>
      <rPr>
        <sz val="8"/>
        <color rgb="FFD3AF86"/>
        <rFont val="Consolas"/>
        <family val="3"/>
      </rPr>
      <t xml:space="preserve"> </t>
    </r>
    <r>
      <rPr>
        <sz val="8"/>
        <color rgb="FFDC3958"/>
        <rFont val="Consolas"/>
        <family val="3"/>
      </rPr>
      <t>df</t>
    </r>
  </si>
  <si>
    <t># FUNCTION TO HIGHLIGHT TOTAL ROW IN RED</t>
  </si>
  <si>
    <r>
      <t>def</t>
    </r>
    <r>
      <rPr>
        <sz val="8"/>
        <color rgb="FFD3AF86"/>
        <rFont val="Consolas"/>
        <family val="3"/>
      </rPr>
      <t xml:space="preserve"> </t>
    </r>
    <r>
      <rPr>
        <sz val="8"/>
        <color rgb="FF8AB1B0"/>
        <rFont val="Consolas"/>
        <family val="3"/>
      </rPr>
      <t>highlight_total_row</t>
    </r>
    <r>
      <rPr>
        <sz val="8"/>
        <color rgb="FFD3AF86"/>
        <rFont val="Consolas"/>
        <family val="3"/>
      </rPr>
      <t>(</t>
    </r>
    <r>
      <rPr>
        <sz val="8"/>
        <color rgb="FFDC3958"/>
        <rFont val="Consolas"/>
        <family val="3"/>
      </rPr>
      <t>row</t>
    </r>
    <r>
      <rPr>
        <sz val="8"/>
        <color rgb="FFD3AF86"/>
        <rFont val="Consolas"/>
        <family val="3"/>
      </rPr>
      <t>):</t>
    </r>
  </si>
  <si>
    <r>
      <t xml:space="preserve">    </t>
    </r>
    <r>
      <rPr>
        <sz val="8"/>
        <color rgb="FF98676A"/>
        <rFont val="Consolas"/>
        <family val="3"/>
      </rPr>
      <t>if</t>
    </r>
    <r>
      <rPr>
        <sz val="8"/>
        <color rgb="FFD3AF86"/>
        <rFont val="Consolas"/>
        <family val="3"/>
      </rPr>
      <t xml:space="preserve"> </t>
    </r>
    <r>
      <rPr>
        <sz val="8"/>
        <color rgb="FFDC3958"/>
        <rFont val="Consolas"/>
        <family val="3"/>
      </rPr>
      <t>row</t>
    </r>
    <r>
      <rPr>
        <sz val="8"/>
        <color rgb="FFD3AF86"/>
        <rFont val="Consolas"/>
        <family val="3"/>
      </rPr>
      <t>.get('</t>
    </r>
    <r>
      <rPr>
        <sz val="8"/>
        <color rgb="FF889B4A"/>
        <rFont val="Consolas"/>
        <family val="3"/>
      </rPr>
      <t>Name</t>
    </r>
    <r>
      <rPr>
        <sz val="8"/>
        <color rgb="FFD3AF86"/>
        <rFont val="Consolas"/>
        <family val="3"/>
      </rPr>
      <t>') == '</t>
    </r>
    <r>
      <rPr>
        <sz val="8"/>
        <color rgb="FF889B4A"/>
        <rFont val="Consolas"/>
        <family val="3"/>
      </rPr>
      <t>TOTAL</t>
    </r>
    <r>
      <rPr>
        <sz val="8"/>
        <color rgb="FFD3AF86"/>
        <rFont val="Consolas"/>
        <family val="3"/>
      </rPr>
      <t>':</t>
    </r>
  </si>
  <si>
    <r>
      <t xml:space="preserve">        </t>
    </r>
    <r>
      <rPr>
        <sz val="8"/>
        <color rgb="FF98676A"/>
        <rFont val="Consolas"/>
        <family val="3"/>
      </rPr>
      <t>return</t>
    </r>
    <r>
      <rPr>
        <sz val="8"/>
        <color rgb="FFD3AF86"/>
        <rFont val="Consolas"/>
        <family val="3"/>
      </rPr>
      <t xml:space="preserve"> ['</t>
    </r>
    <r>
      <rPr>
        <sz val="8"/>
        <color rgb="FF889B4A"/>
        <rFont val="Consolas"/>
        <family val="3"/>
      </rPr>
      <t>background-color: #ffcccc; color: #cc0000; font-weight: bold</t>
    </r>
    <r>
      <rPr>
        <sz val="8"/>
        <color rgb="FFD3AF86"/>
        <rFont val="Consolas"/>
        <family val="3"/>
      </rPr>
      <t xml:space="preserve">'] * </t>
    </r>
    <r>
      <rPr>
        <sz val="8"/>
        <color rgb="FF8AB1B0"/>
        <rFont val="Consolas"/>
        <family val="3"/>
      </rPr>
      <t>len</t>
    </r>
    <r>
      <rPr>
        <sz val="8"/>
        <color rgb="FFD3AF86"/>
        <rFont val="Consolas"/>
        <family val="3"/>
      </rPr>
      <t>(</t>
    </r>
    <r>
      <rPr>
        <sz val="8"/>
        <color rgb="FFDC3958"/>
        <rFont val="Consolas"/>
        <family val="3"/>
      </rPr>
      <t>row</t>
    </r>
    <r>
      <rPr>
        <sz val="8"/>
        <color rgb="FFD3AF86"/>
        <rFont val="Consolas"/>
        <family val="3"/>
      </rPr>
      <t>)</t>
    </r>
  </si>
  <si>
    <r>
      <t xml:space="preserve">    </t>
    </r>
    <r>
      <rPr>
        <sz val="8"/>
        <color rgb="FF98676A"/>
        <rFont val="Consolas"/>
        <family val="3"/>
      </rPr>
      <t>else</t>
    </r>
    <r>
      <rPr>
        <sz val="8"/>
        <color rgb="FFD3AF86"/>
        <rFont val="Consolas"/>
        <family val="3"/>
      </rPr>
      <t>:</t>
    </r>
  </si>
  <si>
    <r>
      <t xml:space="preserve">        </t>
    </r>
    <r>
      <rPr>
        <sz val="8"/>
        <color rgb="FF98676A"/>
        <rFont val="Consolas"/>
        <family val="3"/>
      </rPr>
      <t>return</t>
    </r>
    <r>
      <rPr>
        <sz val="8"/>
        <color rgb="FFD3AF86"/>
        <rFont val="Consolas"/>
        <family val="3"/>
      </rPr>
      <t xml:space="preserve"> [''] * </t>
    </r>
    <r>
      <rPr>
        <sz val="8"/>
        <color rgb="FF8AB1B0"/>
        <rFont val="Consolas"/>
        <family val="3"/>
      </rPr>
      <t>len</t>
    </r>
    <r>
      <rPr>
        <sz val="8"/>
        <color rgb="FFD3AF86"/>
        <rFont val="Consolas"/>
        <family val="3"/>
      </rPr>
      <t>(</t>
    </r>
    <r>
      <rPr>
        <sz val="8"/>
        <color rgb="FFDC3958"/>
        <rFont val="Consolas"/>
        <family val="3"/>
      </rPr>
      <t>row</t>
    </r>
    <r>
      <rPr>
        <sz val="8"/>
        <color rgb="FFD3AF86"/>
        <rFont val="Consolas"/>
        <family val="3"/>
      </rPr>
      <t>)</t>
    </r>
  </si>
  <si>
    <r>
      <t>try</t>
    </r>
    <r>
      <rPr>
        <sz val="8"/>
        <color rgb="FFD3AF86"/>
        <rFont val="Consolas"/>
        <family val="3"/>
      </rPr>
      <t>:</t>
    </r>
  </si>
  <si>
    <r>
      <t xml:space="preserve">    </t>
    </r>
    <r>
      <rPr>
        <sz val="8"/>
        <color rgb="FFDC3958"/>
        <rFont val="Consolas"/>
        <family val="3"/>
      </rPr>
      <t>df</t>
    </r>
    <r>
      <rPr>
        <sz val="8"/>
        <color rgb="FFD3AF86"/>
        <rFont val="Consolas"/>
        <family val="3"/>
      </rPr>
      <t xml:space="preserve"> = </t>
    </r>
    <r>
      <rPr>
        <sz val="8"/>
        <color rgb="FF8AB1B0"/>
        <rFont val="Consolas"/>
        <family val="3"/>
      </rPr>
      <t>load_data</t>
    </r>
    <r>
      <rPr>
        <sz val="8"/>
        <color rgb="FFD3AF86"/>
        <rFont val="Consolas"/>
        <family val="3"/>
      </rPr>
      <t>()</t>
    </r>
  </si>
  <si>
    <r>
      <t xml:space="preserve">    </t>
    </r>
    <r>
      <rPr>
        <sz val="8"/>
        <color rgb="FFDC3958"/>
        <rFont val="Consolas"/>
        <family val="3"/>
      </rPr>
      <t>val</t>
    </r>
    <r>
      <rPr>
        <sz val="8"/>
        <color rgb="FFD3AF86"/>
        <rFont val="Consolas"/>
        <family val="3"/>
      </rPr>
      <t xml:space="preserve"> = </t>
    </r>
    <r>
      <rPr>
        <sz val="8"/>
        <color rgb="FFF06431"/>
        <rFont val="Consolas"/>
        <family val="3"/>
      </rPr>
      <t>st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text_input</t>
    </r>
    <r>
      <rPr>
        <sz val="8"/>
        <color rgb="FFD3AF86"/>
        <rFont val="Consolas"/>
        <family val="3"/>
      </rPr>
      <t>("</t>
    </r>
    <r>
      <rPr>
        <sz val="8"/>
        <color rgb="FF889B4A"/>
        <rFont val="Consolas"/>
        <family val="3"/>
      </rPr>
      <t>Mobile Number Enter Karein:</t>
    </r>
    <r>
      <rPr>
        <sz val="8"/>
        <color rgb="FFD3AF86"/>
        <rFont val="Consolas"/>
        <family val="3"/>
      </rPr>
      <t>")</t>
    </r>
  </si>
  <si>
    <r>
      <t xml:space="preserve">    </t>
    </r>
    <r>
      <rPr>
        <sz val="8"/>
        <color rgb="FF98676A"/>
        <rFont val="Consolas"/>
        <family val="3"/>
      </rPr>
      <t>if</t>
    </r>
    <r>
      <rPr>
        <sz val="8"/>
        <color rgb="FFD3AF86"/>
        <rFont val="Consolas"/>
        <family val="3"/>
      </rPr>
      <t xml:space="preserve"> </t>
    </r>
    <r>
      <rPr>
        <sz val="8"/>
        <color rgb="FFDC3958"/>
        <rFont val="Consolas"/>
        <family val="3"/>
      </rPr>
      <t>val</t>
    </r>
    <r>
      <rPr>
        <sz val="8"/>
        <color rgb="FFD3AF86"/>
        <rFont val="Consolas"/>
        <family val="3"/>
      </rPr>
      <t>:</t>
    </r>
  </si>
  <si>
    <r>
      <t xml:space="preserve">        </t>
    </r>
    <r>
      <rPr>
        <sz val="8"/>
        <color rgb="FF98676A"/>
        <rFont val="Consolas"/>
        <family val="3"/>
      </rPr>
      <t>if</t>
    </r>
    <r>
      <rPr>
        <sz val="8"/>
        <color rgb="FFD3AF86"/>
        <rFont val="Consolas"/>
        <family val="3"/>
      </rPr>
      <t xml:space="preserve"> '</t>
    </r>
    <r>
      <rPr>
        <sz val="8"/>
        <color rgb="FF889B4A"/>
        <rFont val="Consolas"/>
        <family val="3"/>
      </rPr>
      <t>phone</t>
    </r>
    <r>
      <rPr>
        <sz val="8"/>
        <color rgb="FFD3AF86"/>
        <rFont val="Consolas"/>
        <family val="3"/>
      </rPr>
      <t xml:space="preserve">' </t>
    </r>
    <r>
      <rPr>
        <sz val="8"/>
        <color rgb="FF7E602C"/>
        <rFont val="Consolas"/>
        <family val="3"/>
      </rPr>
      <t>not</t>
    </r>
    <r>
      <rPr>
        <sz val="8"/>
        <color rgb="FFD3AF86"/>
        <rFont val="Consolas"/>
        <family val="3"/>
      </rPr>
      <t xml:space="preserve"> </t>
    </r>
    <r>
      <rPr>
        <sz val="8"/>
        <color rgb="FF7E602C"/>
        <rFont val="Consolas"/>
        <family val="3"/>
      </rPr>
      <t>in</t>
    </r>
    <r>
      <rPr>
        <sz val="8"/>
        <color rgb="FFD3AF86"/>
        <rFont val="Consolas"/>
        <family val="3"/>
      </rPr>
      <t xml:space="preserve"> </t>
    </r>
    <r>
      <rPr>
        <sz val="8"/>
        <color rgb="FFDC3958"/>
        <rFont val="Consolas"/>
        <family val="3"/>
      </rPr>
      <t>df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columns</t>
    </r>
    <r>
      <rPr>
        <sz val="8"/>
        <color rgb="FFD3AF86"/>
        <rFont val="Consolas"/>
        <family val="3"/>
      </rPr>
      <t>:</t>
    </r>
  </si>
  <si>
    <r>
      <t xml:space="preserve">            </t>
    </r>
    <r>
      <rPr>
        <sz val="8"/>
        <color rgb="FFF06431"/>
        <rFont val="Consolas"/>
        <family val="3"/>
      </rPr>
      <t>st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error</t>
    </r>
    <r>
      <rPr>
        <sz val="8"/>
        <color rgb="FFD3AF86"/>
        <rFont val="Consolas"/>
        <family val="3"/>
      </rPr>
      <t>("</t>
    </r>
    <r>
      <rPr>
        <sz val="8"/>
        <color rgb="FF889B4A"/>
        <rFont val="Consolas"/>
        <family val="3"/>
      </rPr>
      <t>Phone column nahi mila!</t>
    </r>
    <r>
      <rPr>
        <sz val="8"/>
        <color rgb="FFD3AF86"/>
        <rFont val="Consolas"/>
        <family val="3"/>
      </rPr>
      <t>")</t>
    </r>
  </si>
  <si>
    <r>
      <t xml:space="preserve">            </t>
    </r>
    <r>
      <rPr>
        <sz val="8"/>
        <color rgb="FFF06431"/>
        <rFont val="Consolas"/>
        <family val="3"/>
      </rPr>
      <t>st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write</t>
    </r>
    <r>
      <rPr>
        <sz val="8"/>
        <color rgb="FFD3AF86"/>
        <rFont val="Consolas"/>
        <family val="3"/>
      </rPr>
      <t>("</t>
    </r>
    <r>
      <rPr>
        <sz val="8"/>
        <color rgb="FF889B4A"/>
        <rFont val="Consolas"/>
        <family val="3"/>
      </rPr>
      <t>Available columns:</t>
    </r>
    <r>
      <rPr>
        <sz val="8"/>
        <color rgb="FFD3AF86"/>
        <rFont val="Consolas"/>
        <family val="3"/>
      </rPr>
      <t xml:space="preserve">", </t>
    </r>
    <r>
      <rPr>
        <sz val="8"/>
        <color rgb="FFDC3958"/>
        <rFont val="Consolas"/>
        <family val="3"/>
      </rPr>
      <t>df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columns</t>
    </r>
    <r>
      <rPr>
        <sz val="8"/>
        <color rgb="FFD3AF86"/>
        <rFont val="Consolas"/>
        <family val="3"/>
      </rPr>
      <t>.</t>
    </r>
    <r>
      <rPr>
        <sz val="8"/>
        <color rgb="FF8AB1B0"/>
        <rFont val="Consolas"/>
        <family val="3"/>
      </rPr>
      <t>tolist</t>
    </r>
    <r>
      <rPr>
        <sz val="8"/>
        <color rgb="FFD3AF86"/>
        <rFont val="Consolas"/>
        <family val="3"/>
      </rPr>
      <t>())</t>
    </r>
  </si>
  <si>
    <r>
      <t xml:space="preserve">        </t>
    </r>
    <r>
      <rPr>
        <sz val="8"/>
        <color rgb="FF98676A"/>
        <rFont val="Consolas"/>
        <family val="3"/>
      </rPr>
      <t>else</t>
    </r>
    <r>
      <rPr>
        <sz val="8"/>
        <color rgb="FFD3AF86"/>
        <rFont val="Consolas"/>
        <family val="3"/>
      </rPr>
      <t>:</t>
    </r>
  </si>
  <si>
    <r>
      <t xml:space="preserve">            </t>
    </r>
    <r>
      <rPr>
        <sz val="8"/>
        <color rgb="FFDC3958"/>
        <rFont val="Consolas"/>
        <family val="3"/>
      </rPr>
      <t>res</t>
    </r>
    <r>
      <rPr>
        <sz val="8"/>
        <color rgb="FFD3AF86"/>
        <rFont val="Consolas"/>
        <family val="3"/>
      </rPr>
      <t xml:space="preserve"> = </t>
    </r>
    <r>
      <rPr>
        <sz val="8"/>
        <color rgb="FFDC3958"/>
        <rFont val="Consolas"/>
        <family val="3"/>
      </rPr>
      <t>df</t>
    </r>
    <r>
      <rPr>
        <sz val="8"/>
        <color rgb="FFD3AF86"/>
        <rFont val="Consolas"/>
        <family val="3"/>
      </rPr>
      <t>[</t>
    </r>
    <r>
      <rPr>
        <sz val="8"/>
        <color rgb="FFDC3958"/>
        <rFont val="Consolas"/>
        <family val="3"/>
      </rPr>
      <t>df</t>
    </r>
    <r>
      <rPr>
        <sz val="8"/>
        <color rgb="FFD3AF86"/>
        <rFont val="Consolas"/>
        <family val="3"/>
      </rPr>
      <t>['</t>
    </r>
    <r>
      <rPr>
        <sz val="8"/>
        <color rgb="FF889B4A"/>
        <rFont val="Consolas"/>
        <family val="3"/>
      </rPr>
      <t>phone</t>
    </r>
    <r>
      <rPr>
        <sz val="8"/>
        <color rgb="FFD3AF86"/>
        <rFont val="Consolas"/>
        <family val="3"/>
      </rPr>
      <t>'].</t>
    </r>
    <r>
      <rPr>
        <sz val="8"/>
        <color rgb="FF8AB1B0"/>
        <rFont val="Consolas"/>
        <family val="3"/>
      </rPr>
      <t>astype</t>
    </r>
    <r>
      <rPr>
        <sz val="8"/>
        <color rgb="FFD3AF86"/>
        <rFont val="Consolas"/>
        <family val="3"/>
      </rPr>
      <t>(</t>
    </r>
    <r>
      <rPr>
        <sz val="8"/>
        <color rgb="FFF06431"/>
        <rFont val="Consolas"/>
        <family val="3"/>
      </rPr>
      <t>str</t>
    </r>
    <r>
      <rPr>
        <sz val="8"/>
        <color rgb="FFD3AF86"/>
        <rFont val="Consolas"/>
        <family val="3"/>
      </rPr>
      <t>).</t>
    </r>
    <r>
      <rPr>
        <sz val="8"/>
        <color rgb="FFDC3958"/>
        <rFont val="Consolas"/>
        <family val="3"/>
      </rPr>
      <t>str</t>
    </r>
    <r>
      <rPr>
        <sz val="8"/>
        <color rgb="FFD3AF86"/>
        <rFont val="Consolas"/>
        <family val="3"/>
      </rPr>
      <t>.</t>
    </r>
    <r>
      <rPr>
        <sz val="8"/>
        <color rgb="FF8AB1B0"/>
        <rFont val="Consolas"/>
        <family val="3"/>
      </rPr>
      <t>contains</t>
    </r>
    <r>
      <rPr>
        <sz val="8"/>
        <color rgb="FFD3AF86"/>
        <rFont val="Consolas"/>
        <family val="3"/>
      </rPr>
      <t>(</t>
    </r>
    <r>
      <rPr>
        <sz val="8"/>
        <color rgb="FFF06431"/>
        <rFont val="Consolas"/>
        <family val="3"/>
      </rPr>
      <t>str</t>
    </r>
    <r>
      <rPr>
        <sz val="8"/>
        <color rgb="FFD3AF86"/>
        <rFont val="Consolas"/>
        <family val="3"/>
      </rPr>
      <t>(</t>
    </r>
    <r>
      <rPr>
        <sz val="8"/>
        <color rgb="FFDC3958"/>
        <rFont val="Consolas"/>
        <family val="3"/>
      </rPr>
      <t>val</t>
    </r>
    <r>
      <rPr>
        <sz val="8"/>
        <color rgb="FFD3AF86"/>
        <rFont val="Consolas"/>
        <family val="3"/>
      </rPr>
      <t xml:space="preserve">), </t>
    </r>
    <r>
      <rPr>
        <sz val="8"/>
        <color rgb="FFDC3958"/>
        <rFont val="Consolas"/>
        <family val="3"/>
      </rPr>
      <t>na</t>
    </r>
    <r>
      <rPr>
        <sz val="8"/>
        <color rgb="FFD3AF86"/>
        <rFont val="Consolas"/>
        <family val="3"/>
      </rPr>
      <t>=</t>
    </r>
    <r>
      <rPr>
        <sz val="8"/>
        <color rgb="FFF79A32"/>
        <rFont val="Consolas"/>
        <family val="3"/>
      </rPr>
      <t>False</t>
    </r>
    <r>
      <rPr>
        <sz val="8"/>
        <color rgb="FFD3AF86"/>
        <rFont val="Consolas"/>
        <family val="3"/>
      </rPr>
      <t xml:space="preserve">, </t>
    </r>
    <r>
      <rPr>
        <sz val="8"/>
        <color rgb="FFDC3958"/>
        <rFont val="Consolas"/>
        <family val="3"/>
      </rPr>
      <t>regex</t>
    </r>
    <r>
      <rPr>
        <sz val="8"/>
        <color rgb="FFD3AF86"/>
        <rFont val="Consolas"/>
        <family val="3"/>
      </rPr>
      <t>=</t>
    </r>
    <r>
      <rPr>
        <sz val="8"/>
        <color rgb="FFF79A32"/>
        <rFont val="Consolas"/>
        <family val="3"/>
      </rPr>
      <t>False</t>
    </r>
    <r>
      <rPr>
        <sz val="8"/>
        <color rgb="FFD3AF86"/>
        <rFont val="Consolas"/>
        <family val="3"/>
      </rPr>
      <t>)].</t>
    </r>
    <r>
      <rPr>
        <sz val="8"/>
        <color rgb="FF8AB1B0"/>
        <rFont val="Consolas"/>
        <family val="3"/>
      </rPr>
      <t>copy</t>
    </r>
    <r>
      <rPr>
        <sz val="8"/>
        <color rgb="FFD3AF86"/>
        <rFont val="Consolas"/>
        <family val="3"/>
      </rPr>
      <t>()</t>
    </r>
  </si>
  <si>
    <t xml:space="preserve">            </t>
  </si>
  <si>
    <r>
      <t xml:space="preserve">            </t>
    </r>
    <r>
      <rPr>
        <sz val="8"/>
        <color rgb="FF98676A"/>
        <rFont val="Consolas"/>
        <family val="3"/>
      </rPr>
      <t>if</t>
    </r>
    <r>
      <rPr>
        <sz val="8"/>
        <color rgb="FFD3AF86"/>
        <rFont val="Consolas"/>
        <family val="3"/>
      </rPr>
      <t xml:space="preserve"> not </t>
    </r>
    <r>
      <rPr>
        <sz val="8"/>
        <color rgb="FFDC3958"/>
        <rFont val="Consolas"/>
        <family val="3"/>
      </rPr>
      <t>res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empty</t>
    </r>
    <r>
      <rPr>
        <sz val="8"/>
        <color rgb="FFD3AF86"/>
        <rFont val="Consolas"/>
        <family val="3"/>
      </rPr>
      <t>:</t>
    </r>
  </si>
  <si>
    <r>
      <t xml:space="preserve">                </t>
    </r>
    <r>
      <rPr>
        <sz val="8"/>
        <color rgb="FFDC3958"/>
        <rFont val="Consolas"/>
        <family val="3"/>
      </rPr>
      <t>num_cols</t>
    </r>
    <r>
      <rPr>
        <sz val="8"/>
        <color rgb="FFD3AF86"/>
        <rFont val="Consolas"/>
        <family val="3"/>
      </rPr>
      <t xml:space="preserve"> = ['</t>
    </r>
    <r>
      <rPr>
        <sz val="8"/>
        <color rgb="FF889B4A"/>
        <rFont val="Consolas"/>
        <family val="3"/>
      </rPr>
      <t>Nest Lo.</t>
    </r>
    <r>
      <rPr>
        <sz val="8"/>
        <color rgb="FFD3AF86"/>
        <rFont val="Consolas"/>
        <family val="3"/>
      </rPr>
      <t>', '</t>
    </r>
    <r>
      <rPr>
        <sz val="8"/>
        <color rgb="FF889B4A"/>
        <rFont val="Consolas"/>
        <family val="3"/>
      </rPr>
      <t>Discount</t>
    </r>
    <r>
      <rPr>
        <sz val="8"/>
        <color rgb="FFD3AF86"/>
        <rFont val="Consolas"/>
        <family val="3"/>
      </rPr>
      <t>', '</t>
    </r>
    <r>
      <rPr>
        <sz val="8"/>
        <color rgb="FF889B4A"/>
        <rFont val="Consolas"/>
        <family val="3"/>
      </rPr>
      <t>Kist</t>
    </r>
    <r>
      <rPr>
        <sz val="8"/>
        <color rgb="FFD3AF86"/>
        <rFont val="Consolas"/>
        <family val="3"/>
      </rPr>
      <t>', '</t>
    </r>
    <r>
      <rPr>
        <sz val="8"/>
        <color rgb="FF889B4A"/>
        <rFont val="Consolas"/>
        <family val="3"/>
      </rPr>
      <t>K.P.</t>
    </r>
    <r>
      <rPr>
        <sz val="8"/>
        <color rgb="FFD3AF86"/>
        <rFont val="Consolas"/>
        <family val="3"/>
      </rPr>
      <t>', '</t>
    </r>
    <r>
      <rPr>
        <sz val="8"/>
        <color rgb="FF889B4A"/>
        <rFont val="Consolas"/>
        <family val="3"/>
      </rPr>
      <t>Loan</t>
    </r>
    <r>
      <rPr>
        <sz val="8"/>
        <color rgb="FFD3AF86"/>
        <rFont val="Consolas"/>
        <family val="3"/>
      </rPr>
      <t>', '</t>
    </r>
    <r>
      <rPr>
        <sz val="8"/>
        <color rgb="FF889B4A"/>
        <rFont val="Consolas"/>
        <family val="3"/>
      </rPr>
      <t>L.P.</t>
    </r>
    <r>
      <rPr>
        <sz val="8"/>
        <color rgb="FFD3AF86"/>
        <rFont val="Consolas"/>
        <family val="3"/>
      </rPr>
      <t>', '</t>
    </r>
    <r>
      <rPr>
        <sz val="8"/>
        <color rgb="FF889B4A"/>
        <rFont val="Consolas"/>
        <family val="3"/>
      </rPr>
      <t>Inter</t>
    </r>
    <r>
      <rPr>
        <sz val="8"/>
        <color rgb="FFD3AF86"/>
        <rFont val="Consolas"/>
        <family val="3"/>
      </rPr>
      <t>', '</t>
    </r>
    <r>
      <rPr>
        <sz val="8"/>
        <color rgb="FF889B4A"/>
        <rFont val="Consolas"/>
        <family val="3"/>
      </rPr>
      <t>Other</t>
    </r>
    <r>
      <rPr>
        <sz val="8"/>
        <color rgb="FFD3AF86"/>
        <rFont val="Consolas"/>
        <family val="3"/>
      </rPr>
      <t>', '</t>
    </r>
    <r>
      <rPr>
        <sz val="8"/>
        <color rgb="FF889B4A"/>
        <rFont val="Consolas"/>
        <family val="3"/>
      </rPr>
      <t>Total</t>
    </r>
    <r>
      <rPr>
        <sz val="8"/>
        <color rgb="FFD3AF86"/>
        <rFont val="Consolas"/>
        <family val="3"/>
      </rPr>
      <t>', '</t>
    </r>
    <r>
      <rPr>
        <sz val="8"/>
        <color rgb="FF889B4A"/>
        <rFont val="Consolas"/>
        <family val="3"/>
      </rPr>
      <t>L.Balance</t>
    </r>
    <r>
      <rPr>
        <sz val="8"/>
        <color rgb="FFD3AF86"/>
        <rFont val="Consolas"/>
        <family val="3"/>
      </rPr>
      <t>']</t>
    </r>
  </si>
  <si>
    <r>
      <t xml:space="preserve">                </t>
    </r>
    <r>
      <rPr>
        <sz val="8"/>
        <color rgb="FFDC3958"/>
        <rFont val="Consolas"/>
        <family val="3"/>
      </rPr>
      <t>existing_num_cols</t>
    </r>
    <r>
      <rPr>
        <sz val="8"/>
        <color rgb="FFD3AF86"/>
        <rFont val="Consolas"/>
        <family val="3"/>
      </rPr>
      <t xml:space="preserve"> = [</t>
    </r>
    <r>
      <rPr>
        <sz val="8"/>
        <color rgb="FFDC3958"/>
        <rFont val="Consolas"/>
        <family val="3"/>
      </rPr>
      <t>col</t>
    </r>
    <r>
      <rPr>
        <sz val="8"/>
        <color rgb="FFD3AF86"/>
        <rFont val="Consolas"/>
        <family val="3"/>
      </rPr>
      <t xml:space="preserve"> </t>
    </r>
    <r>
      <rPr>
        <sz val="8"/>
        <color rgb="FF98676A"/>
        <rFont val="Consolas"/>
        <family val="3"/>
      </rPr>
      <t>for</t>
    </r>
    <r>
      <rPr>
        <sz val="8"/>
        <color rgb="FFD3AF86"/>
        <rFont val="Consolas"/>
        <family val="3"/>
      </rPr>
      <t xml:space="preserve"> </t>
    </r>
    <r>
      <rPr>
        <sz val="8"/>
        <color rgb="FFDC3958"/>
        <rFont val="Consolas"/>
        <family val="3"/>
      </rPr>
      <t>col</t>
    </r>
    <r>
      <rPr>
        <sz val="8"/>
        <color rgb="FFD3AF86"/>
        <rFont val="Consolas"/>
        <family val="3"/>
      </rPr>
      <t xml:space="preserve"> </t>
    </r>
    <r>
      <rPr>
        <sz val="8"/>
        <color rgb="FF98676A"/>
        <rFont val="Consolas"/>
        <family val="3"/>
      </rPr>
      <t>in</t>
    </r>
    <r>
      <rPr>
        <sz val="8"/>
        <color rgb="FFD3AF86"/>
        <rFont val="Consolas"/>
        <family val="3"/>
      </rPr>
      <t xml:space="preserve"> </t>
    </r>
    <r>
      <rPr>
        <sz val="8"/>
        <color rgb="FFDC3958"/>
        <rFont val="Consolas"/>
        <family val="3"/>
      </rPr>
      <t>num_cols</t>
    </r>
    <r>
      <rPr>
        <sz val="8"/>
        <color rgb="FFD3AF86"/>
        <rFont val="Consolas"/>
        <family val="3"/>
      </rPr>
      <t xml:space="preserve"> </t>
    </r>
    <r>
      <rPr>
        <sz val="8"/>
        <color rgb="FF98676A"/>
        <rFont val="Consolas"/>
        <family val="3"/>
      </rPr>
      <t>if</t>
    </r>
    <r>
      <rPr>
        <sz val="8"/>
        <color rgb="FFD3AF86"/>
        <rFont val="Consolas"/>
        <family val="3"/>
      </rPr>
      <t xml:space="preserve"> </t>
    </r>
    <r>
      <rPr>
        <sz val="8"/>
        <color rgb="FFDC3958"/>
        <rFont val="Consolas"/>
        <family val="3"/>
      </rPr>
      <t>col</t>
    </r>
    <r>
      <rPr>
        <sz val="8"/>
        <color rgb="FFD3AF86"/>
        <rFont val="Consolas"/>
        <family val="3"/>
      </rPr>
      <t xml:space="preserve"> </t>
    </r>
    <r>
      <rPr>
        <sz val="8"/>
        <color rgb="FF7E602C"/>
        <rFont val="Consolas"/>
        <family val="3"/>
      </rPr>
      <t>in</t>
    </r>
    <r>
      <rPr>
        <sz val="8"/>
        <color rgb="FFD3AF86"/>
        <rFont val="Consolas"/>
        <family val="3"/>
      </rPr>
      <t xml:space="preserve"> </t>
    </r>
    <r>
      <rPr>
        <sz val="8"/>
        <color rgb="FFDC3958"/>
        <rFont val="Consolas"/>
        <family val="3"/>
      </rPr>
      <t>df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columns</t>
    </r>
    <r>
      <rPr>
        <sz val="8"/>
        <color rgb="FFD3AF86"/>
        <rFont val="Consolas"/>
        <family val="3"/>
      </rPr>
      <t>]</t>
    </r>
  </si>
  <si>
    <t xml:space="preserve">                </t>
  </si>
  <si>
    <r>
      <t xml:space="preserve">                </t>
    </r>
    <r>
      <rPr>
        <sz val="8"/>
        <color rgb="FFDC3958"/>
        <rFont val="Consolas"/>
        <family val="3"/>
      </rPr>
      <t>sums</t>
    </r>
    <r>
      <rPr>
        <sz val="8"/>
        <color rgb="FFD3AF86"/>
        <rFont val="Consolas"/>
        <family val="3"/>
      </rPr>
      <t xml:space="preserve"> = {}</t>
    </r>
  </si>
  <si>
    <r>
      <t xml:space="preserve">                </t>
    </r>
    <r>
      <rPr>
        <sz val="8"/>
        <color rgb="FF98676A"/>
        <rFont val="Consolas"/>
        <family val="3"/>
      </rPr>
      <t>for</t>
    </r>
    <r>
      <rPr>
        <sz val="8"/>
        <color rgb="FFD3AF86"/>
        <rFont val="Consolas"/>
        <family val="3"/>
      </rPr>
      <t xml:space="preserve"> </t>
    </r>
    <r>
      <rPr>
        <sz val="8"/>
        <color rgb="FFDC3958"/>
        <rFont val="Consolas"/>
        <family val="3"/>
      </rPr>
      <t>col</t>
    </r>
    <r>
      <rPr>
        <sz val="8"/>
        <color rgb="FFD3AF86"/>
        <rFont val="Consolas"/>
        <family val="3"/>
      </rPr>
      <t xml:space="preserve"> </t>
    </r>
    <r>
      <rPr>
        <sz val="8"/>
        <color rgb="FF7E602C"/>
        <rFont val="Consolas"/>
        <family val="3"/>
      </rPr>
      <t>in</t>
    </r>
    <r>
      <rPr>
        <sz val="8"/>
        <color rgb="FFD3AF86"/>
        <rFont val="Consolas"/>
        <family val="3"/>
      </rPr>
      <t xml:space="preserve"> </t>
    </r>
    <r>
      <rPr>
        <sz val="8"/>
        <color rgb="FFDC3958"/>
        <rFont val="Consolas"/>
        <family val="3"/>
      </rPr>
      <t>res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columns</t>
    </r>
    <r>
      <rPr>
        <sz val="8"/>
        <color rgb="FFD3AF86"/>
        <rFont val="Consolas"/>
        <family val="3"/>
      </rPr>
      <t>:</t>
    </r>
  </si>
  <si>
    <r>
      <t xml:space="preserve">                    </t>
    </r>
    <r>
      <rPr>
        <sz val="8"/>
        <color rgb="FF98676A"/>
        <rFont val="Consolas"/>
        <family val="3"/>
      </rPr>
      <t>if</t>
    </r>
    <r>
      <rPr>
        <sz val="8"/>
        <color rgb="FFD3AF86"/>
        <rFont val="Consolas"/>
        <family val="3"/>
      </rPr>
      <t xml:space="preserve"> </t>
    </r>
    <r>
      <rPr>
        <sz val="8"/>
        <color rgb="FFDC3958"/>
        <rFont val="Consolas"/>
        <family val="3"/>
      </rPr>
      <t>col</t>
    </r>
    <r>
      <rPr>
        <sz val="8"/>
        <color rgb="FFD3AF86"/>
        <rFont val="Consolas"/>
        <family val="3"/>
      </rPr>
      <t xml:space="preserve"> in </t>
    </r>
    <r>
      <rPr>
        <sz val="8"/>
        <color rgb="FFDC3958"/>
        <rFont val="Consolas"/>
        <family val="3"/>
      </rPr>
      <t>existing_num_cols</t>
    </r>
    <r>
      <rPr>
        <sz val="8"/>
        <color rgb="FFD3AF86"/>
        <rFont val="Consolas"/>
        <family val="3"/>
      </rPr>
      <t>:</t>
    </r>
  </si>
  <si>
    <r>
      <t xml:space="preserve">                        </t>
    </r>
    <r>
      <rPr>
        <sz val="8"/>
        <color rgb="FFDC3958"/>
        <rFont val="Consolas"/>
        <family val="3"/>
      </rPr>
      <t>clean_col</t>
    </r>
    <r>
      <rPr>
        <sz val="8"/>
        <color rgb="FFD3AF86"/>
        <rFont val="Consolas"/>
        <family val="3"/>
      </rPr>
      <t xml:space="preserve"> = </t>
    </r>
    <r>
      <rPr>
        <sz val="8"/>
        <color rgb="FFDC3958"/>
        <rFont val="Consolas"/>
        <family val="3"/>
      </rPr>
      <t>res</t>
    </r>
    <r>
      <rPr>
        <sz val="8"/>
        <color rgb="FFD3AF86"/>
        <rFont val="Consolas"/>
        <family val="3"/>
      </rPr>
      <t>[</t>
    </r>
    <r>
      <rPr>
        <sz val="8"/>
        <color rgb="FFDC3958"/>
        <rFont val="Consolas"/>
        <family val="3"/>
      </rPr>
      <t>col</t>
    </r>
    <r>
      <rPr>
        <sz val="8"/>
        <color rgb="FFD3AF86"/>
        <rFont val="Consolas"/>
        <family val="3"/>
      </rPr>
      <t>].</t>
    </r>
    <r>
      <rPr>
        <sz val="8"/>
        <color rgb="FF8AB1B0"/>
        <rFont val="Consolas"/>
        <family val="3"/>
      </rPr>
      <t>astype</t>
    </r>
    <r>
      <rPr>
        <sz val="8"/>
        <color rgb="FFD3AF86"/>
        <rFont val="Consolas"/>
        <family val="3"/>
      </rPr>
      <t>(</t>
    </r>
    <r>
      <rPr>
        <sz val="8"/>
        <color rgb="FFF06431"/>
        <rFont val="Consolas"/>
        <family val="3"/>
      </rPr>
      <t>str</t>
    </r>
    <r>
      <rPr>
        <sz val="8"/>
        <color rgb="FFD3AF86"/>
        <rFont val="Consolas"/>
        <family val="3"/>
      </rPr>
      <t>).</t>
    </r>
    <r>
      <rPr>
        <sz val="8"/>
        <color rgb="FFDC3958"/>
        <rFont val="Consolas"/>
        <family val="3"/>
      </rPr>
      <t>str</t>
    </r>
    <r>
      <rPr>
        <sz val="8"/>
        <color rgb="FFD3AF86"/>
        <rFont val="Consolas"/>
        <family val="3"/>
      </rPr>
      <t>.</t>
    </r>
    <r>
      <rPr>
        <sz val="8"/>
        <color rgb="FF8AB1B0"/>
        <rFont val="Consolas"/>
        <family val="3"/>
      </rPr>
      <t>replace</t>
    </r>
    <r>
      <rPr>
        <sz val="8"/>
        <color rgb="FFD3AF86"/>
        <rFont val="Consolas"/>
        <family val="3"/>
      </rPr>
      <t>('</t>
    </r>
    <r>
      <rPr>
        <sz val="8"/>
        <color rgb="FF889B4A"/>
        <rFont val="Consolas"/>
        <family val="3"/>
      </rPr>
      <t>,</t>
    </r>
    <r>
      <rPr>
        <sz val="8"/>
        <color rgb="FFD3AF86"/>
        <rFont val="Consolas"/>
        <family val="3"/>
      </rPr>
      <t>', '').</t>
    </r>
    <r>
      <rPr>
        <sz val="8"/>
        <color rgb="FF8AB1B0"/>
        <rFont val="Consolas"/>
        <family val="3"/>
      </rPr>
      <t>replace</t>
    </r>
    <r>
      <rPr>
        <sz val="8"/>
        <color rgb="FFD3AF86"/>
        <rFont val="Consolas"/>
        <family val="3"/>
      </rPr>
      <t>('', '</t>
    </r>
    <r>
      <rPr>
        <sz val="8"/>
        <color rgb="FF889B4A"/>
        <rFont val="Consolas"/>
        <family val="3"/>
      </rPr>
      <t>0</t>
    </r>
    <r>
      <rPr>
        <sz val="8"/>
        <color rgb="FFD3AF86"/>
        <rFont val="Consolas"/>
        <family val="3"/>
      </rPr>
      <t>')</t>
    </r>
  </si>
  <si>
    <r>
      <t xml:space="preserve">                        </t>
    </r>
    <r>
      <rPr>
        <sz val="8"/>
        <color rgb="FFDC3958"/>
        <rFont val="Consolas"/>
        <family val="3"/>
      </rPr>
      <t>sums</t>
    </r>
    <r>
      <rPr>
        <sz val="8"/>
        <color rgb="FFD3AF86"/>
        <rFont val="Consolas"/>
        <family val="3"/>
      </rPr>
      <t>[</t>
    </r>
    <r>
      <rPr>
        <sz val="8"/>
        <color rgb="FFDC3958"/>
        <rFont val="Consolas"/>
        <family val="3"/>
      </rPr>
      <t>col</t>
    </r>
    <r>
      <rPr>
        <sz val="8"/>
        <color rgb="FFD3AF86"/>
        <rFont val="Consolas"/>
        <family val="3"/>
      </rPr>
      <t xml:space="preserve">] = </t>
    </r>
    <r>
      <rPr>
        <sz val="8"/>
        <color rgb="FFF06431"/>
        <rFont val="Consolas"/>
        <family val="3"/>
      </rPr>
      <t>pd</t>
    </r>
    <r>
      <rPr>
        <sz val="8"/>
        <color rgb="FFD3AF86"/>
        <rFont val="Consolas"/>
        <family val="3"/>
      </rPr>
      <t>.</t>
    </r>
    <r>
      <rPr>
        <sz val="8"/>
        <color rgb="FF8AB1B0"/>
        <rFont val="Consolas"/>
        <family val="3"/>
      </rPr>
      <t>to_numeric</t>
    </r>
    <r>
      <rPr>
        <sz val="8"/>
        <color rgb="FFD3AF86"/>
        <rFont val="Consolas"/>
        <family val="3"/>
      </rPr>
      <t>(</t>
    </r>
    <r>
      <rPr>
        <sz val="8"/>
        <color rgb="FFDC3958"/>
        <rFont val="Consolas"/>
        <family val="3"/>
      </rPr>
      <t>clean_col</t>
    </r>
    <r>
      <rPr>
        <sz val="8"/>
        <color rgb="FFD3AF86"/>
        <rFont val="Consolas"/>
        <family val="3"/>
      </rPr>
      <t xml:space="preserve">, </t>
    </r>
    <r>
      <rPr>
        <sz val="8"/>
        <color rgb="FFDC3958"/>
        <rFont val="Consolas"/>
        <family val="3"/>
      </rPr>
      <t>errors</t>
    </r>
    <r>
      <rPr>
        <sz val="8"/>
        <color rgb="FFD3AF86"/>
        <rFont val="Consolas"/>
        <family val="3"/>
      </rPr>
      <t>='</t>
    </r>
    <r>
      <rPr>
        <sz val="8"/>
        <color rgb="FF889B4A"/>
        <rFont val="Consolas"/>
        <family val="3"/>
      </rPr>
      <t>coerce</t>
    </r>
    <r>
      <rPr>
        <sz val="8"/>
        <color rgb="FFD3AF86"/>
        <rFont val="Consolas"/>
        <family val="3"/>
      </rPr>
      <t>').</t>
    </r>
    <r>
      <rPr>
        <sz val="8"/>
        <color rgb="FF8AB1B0"/>
        <rFont val="Consolas"/>
        <family val="3"/>
      </rPr>
      <t>sum</t>
    </r>
    <r>
      <rPr>
        <sz val="8"/>
        <color rgb="FFD3AF86"/>
        <rFont val="Consolas"/>
        <family val="3"/>
      </rPr>
      <t>()</t>
    </r>
  </si>
  <si>
    <r>
      <t xml:space="preserve">                    </t>
    </r>
    <r>
      <rPr>
        <sz val="8"/>
        <color rgb="FF98676A"/>
        <rFont val="Consolas"/>
        <family val="3"/>
      </rPr>
      <t>else</t>
    </r>
    <r>
      <rPr>
        <sz val="8"/>
        <color rgb="FFD3AF86"/>
        <rFont val="Consolas"/>
        <family val="3"/>
      </rPr>
      <t>:</t>
    </r>
  </si>
  <si>
    <r>
      <t xml:space="preserve">                        </t>
    </r>
    <r>
      <rPr>
        <sz val="8"/>
        <color rgb="FFDC3958"/>
        <rFont val="Consolas"/>
        <family val="3"/>
      </rPr>
      <t>sums</t>
    </r>
    <r>
      <rPr>
        <sz val="8"/>
        <color rgb="FFD3AF86"/>
        <rFont val="Consolas"/>
        <family val="3"/>
      </rPr>
      <t>[</t>
    </r>
    <r>
      <rPr>
        <sz val="8"/>
        <color rgb="FFDC3958"/>
        <rFont val="Consolas"/>
        <family val="3"/>
      </rPr>
      <t>col</t>
    </r>
    <r>
      <rPr>
        <sz val="8"/>
        <color rgb="FFD3AF86"/>
        <rFont val="Consolas"/>
        <family val="3"/>
      </rPr>
      <t>] = ""</t>
    </r>
  </si>
  <si>
    <r>
      <t xml:space="preserve">                </t>
    </r>
    <r>
      <rPr>
        <sz val="8"/>
        <color rgb="FFA57A4C"/>
        <rFont val="Consolas"/>
        <family val="3"/>
      </rPr>
      <t># TOTAL AMOUNT CALCULATION</t>
    </r>
  </si>
  <si>
    <r>
      <t xml:space="preserve">                </t>
    </r>
    <r>
      <rPr>
        <sz val="8"/>
        <color rgb="FFDC3958"/>
        <rFont val="Consolas"/>
        <family val="3"/>
      </rPr>
      <t>total_amount</t>
    </r>
    <r>
      <rPr>
        <sz val="8"/>
        <color rgb="FFD3AF86"/>
        <rFont val="Consolas"/>
        <family val="3"/>
      </rPr>
      <t xml:space="preserve"> = </t>
    </r>
    <r>
      <rPr>
        <sz val="8"/>
        <color rgb="FFF79A32"/>
        <rFont val="Consolas"/>
        <family val="3"/>
      </rPr>
      <t>0</t>
    </r>
  </si>
  <si>
    <r>
      <t xml:space="preserve">                </t>
    </r>
    <r>
      <rPr>
        <sz val="8"/>
        <color rgb="FF98676A"/>
        <rFont val="Consolas"/>
        <family val="3"/>
      </rPr>
      <t>if</t>
    </r>
    <r>
      <rPr>
        <sz val="8"/>
        <color rgb="FFD3AF86"/>
        <rFont val="Consolas"/>
        <family val="3"/>
      </rPr>
      <t xml:space="preserve"> '</t>
    </r>
    <r>
      <rPr>
        <sz val="8"/>
        <color rgb="FF889B4A"/>
        <rFont val="Consolas"/>
        <family val="3"/>
      </rPr>
      <t>Total</t>
    </r>
    <r>
      <rPr>
        <sz val="8"/>
        <color rgb="FFD3AF86"/>
        <rFont val="Consolas"/>
        <family val="3"/>
      </rPr>
      <t xml:space="preserve">' </t>
    </r>
    <r>
      <rPr>
        <sz val="8"/>
        <color rgb="FF7E602C"/>
        <rFont val="Consolas"/>
        <family val="3"/>
      </rPr>
      <t>in</t>
    </r>
    <r>
      <rPr>
        <sz val="8"/>
        <color rgb="FFD3AF86"/>
        <rFont val="Consolas"/>
        <family val="3"/>
      </rPr>
      <t xml:space="preserve"> </t>
    </r>
    <r>
      <rPr>
        <sz val="8"/>
        <color rgb="FFDC3958"/>
        <rFont val="Consolas"/>
        <family val="3"/>
      </rPr>
      <t>res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columns</t>
    </r>
    <r>
      <rPr>
        <sz val="8"/>
        <color rgb="FFD3AF86"/>
        <rFont val="Consolas"/>
        <family val="3"/>
      </rPr>
      <t>:</t>
    </r>
  </si>
  <si>
    <r>
      <t xml:space="preserve">                    </t>
    </r>
    <r>
      <rPr>
        <sz val="8"/>
        <color rgb="FFDC3958"/>
        <rFont val="Consolas"/>
        <family val="3"/>
      </rPr>
      <t>total_clean</t>
    </r>
    <r>
      <rPr>
        <sz val="8"/>
        <color rgb="FFD3AF86"/>
        <rFont val="Consolas"/>
        <family val="3"/>
      </rPr>
      <t xml:space="preserve"> = </t>
    </r>
    <r>
      <rPr>
        <sz val="8"/>
        <color rgb="FFDC3958"/>
        <rFont val="Consolas"/>
        <family val="3"/>
      </rPr>
      <t>res</t>
    </r>
    <r>
      <rPr>
        <sz val="8"/>
        <color rgb="FFD3AF86"/>
        <rFont val="Consolas"/>
        <family val="3"/>
      </rPr>
      <t>['</t>
    </r>
    <r>
      <rPr>
        <sz val="8"/>
        <color rgb="FF889B4A"/>
        <rFont val="Consolas"/>
        <family val="3"/>
      </rPr>
      <t>Total</t>
    </r>
    <r>
      <rPr>
        <sz val="8"/>
        <color rgb="FFD3AF86"/>
        <rFont val="Consolas"/>
        <family val="3"/>
      </rPr>
      <t>'].</t>
    </r>
    <r>
      <rPr>
        <sz val="8"/>
        <color rgb="FF8AB1B0"/>
        <rFont val="Consolas"/>
        <family val="3"/>
      </rPr>
      <t>astype</t>
    </r>
    <r>
      <rPr>
        <sz val="8"/>
        <color rgb="FFD3AF86"/>
        <rFont val="Consolas"/>
        <family val="3"/>
      </rPr>
      <t>(</t>
    </r>
    <r>
      <rPr>
        <sz val="8"/>
        <color rgb="FFF06431"/>
        <rFont val="Consolas"/>
        <family val="3"/>
      </rPr>
      <t>str</t>
    </r>
    <r>
      <rPr>
        <sz val="8"/>
        <color rgb="FFD3AF86"/>
        <rFont val="Consolas"/>
        <family val="3"/>
      </rPr>
      <t>).</t>
    </r>
    <r>
      <rPr>
        <sz val="8"/>
        <color rgb="FFDC3958"/>
        <rFont val="Consolas"/>
        <family val="3"/>
      </rPr>
      <t>str</t>
    </r>
    <r>
      <rPr>
        <sz val="8"/>
        <color rgb="FFD3AF86"/>
        <rFont val="Consolas"/>
        <family val="3"/>
      </rPr>
      <t>.</t>
    </r>
    <r>
      <rPr>
        <sz val="8"/>
        <color rgb="FF8AB1B0"/>
        <rFont val="Consolas"/>
        <family val="3"/>
      </rPr>
      <t>replace</t>
    </r>
    <r>
      <rPr>
        <sz val="8"/>
        <color rgb="FFD3AF86"/>
        <rFont val="Consolas"/>
        <family val="3"/>
      </rPr>
      <t>('</t>
    </r>
    <r>
      <rPr>
        <sz val="8"/>
        <color rgb="FF889B4A"/>
        <rFont val="Consolas"/>
        <family val="3"/>
      </rPr>
      <t>,</t>
    </r>
    <r>
      <rPr>
        <sz val="8"/>
        <color rgb="FFD3AF86"/>
        <rFont val="Consolas"/>
        <family val="3"/>
      </rPr>
      <t>', '').</t>
    </r>
    <r>
      <rPr>
        <sz val="8"/>
        <color rgb="FF8AB1B0"/>
        <rFont val="Consolas"/>
        <family val="3"/>
      </rPr>
      <t>replace</t>
    </r>
    <r>
      <rPr>
        <sz val="8"/>
        <color rgb="FFD3AF86"/>
        <rFont val="Consolas"/>
        <family val="3"/>
      </rPr>
      <t>('', '</t>
    </r>
    <r>
      <rPr>
        <sz val="8"/>
        <color rgb="FF889B4A"/>
        <rFont val="Consolas"/>
        <family val="3"/>
      </rPr>
      <t>0</t>
    </r>
    <r>
      <rPr>
        <sz val="8"/>
        <color rgb="FFD3AF86"/>
        <rFont val="Consolas"/>
        <family val="3"/>
      </rPr>
      <t>')</t>
    </r>
  </si>
  <si>
    <r>
      <t xml:space="preserve">                    </t>
    </r>
    <r>
      <rPr>
        <sz val="8"/>
        <color rgb="FFDC3958"/>
        <rFont val="Consolas"/>
        <family val="3"/>
      </rPr>
      <t>total_amount</t>
    </r>
    <r>
      <rPr>
        <sz val="8"/>
        <color rgb="FFD3AF86"/>
        <rFont val="Consolas"/>
        <family val="3"/>
      </rPr>
      <t xml:space="preserve"> = </t>
    </r>
    <r>
      <rPr>
        <sz val="8"/>
        <color rgb="FFF06431"/>
        <rFont val="Consolas"/>
        <family val="3"/>
      </rPr>
      <t>pd</t>
    </r>
    <r>
      <rPr>
        <sz val="8"/>
        <color rgb="FFD3AF86"/>
        <rFont val="Consolas"/>
        <family val="3"/>
      </rPr>
      <t>.</t>
    </r>
    <r>
      <rPr>
        <sz val="8"/>
        <color rgb="FF8AB1B0"/>
        <rFont val="Consolas"/>
        <family val="3"/>
      </rPr>
      <t>to_numeric</t>
    </r>
    <r>
      <rPr>
        <sz val="8"/>
        <color rgb="FFD3AF86"/>
        <rFont val="Consolas"/>
        <family val="3"/>
      </rPr>
      <t>(</t>
    </r>
    <r>
      <rPr>
        <sz val="8"/>
        <color rgb="FFDC3958"/>
        <rFont val="Consolas"/>
        <family val="3"/>
      </rPr>
      <t>total_clean</t>
    </r>
    <r>
      <rPr>
        <sz val="8"/>
        <color rgb="FFD3AF86"/>
        <rFont val="Consolas"/>
        <family val="3"/>
      </rPr>
      <t xml:space="preserve">, </t>
    </r>
    <r>
      <rPr>
        <sz val="8"/>
        <color rgb="FFDC3958"/>
        <rFont val="Consolas"/>
        <family val="3"/>
      </rPr>
      <t>errors</t>
    </r>
    <r>
      <rPr>
        <sz val="8"/>
        <color rgb="FFD3AF86"/>
        <rFont val="Consolas"/>
        <family val="3"/>
      </rPr>
      <t>='</t>
    </r>
    <r>
      <rPr>
        <sz val="8"/>
        <color rgb="FF889B4A"/>
        <rFont val="Consolas"/>
        <family val="3"/>
      </rPr>
      <t>coerce</t>
    </r>
    <r>
      <rPr>
        <sz val="8"/>
        <color rgb="FFD3AF86"/>
        <rFont val="Consolas"/>
        <family val="3"/>
      </rPr>
      <t>').</t>
    </r>
    <r>
      <rPr>
        <sz val="8"/>
        <color rgb="FF8AB1B0"/>
        <rFont val="Consolas"/>
        <family val="3"/>
      </rPr>
      <t>sum</t>
    </r>
    <r>
      <rPr>
        <sz val="8"/>
        <color rgb="FFD3AF86"/>
        <rFont val="Consolas"/>
        <family val="3"/>
      </rPr>
      <t>()</t>
    </r>
  </si>
  <si>
    <r>
      <t xml:space="preserve">                </t>
    </r>
    <r>
      <rPr>
        <sz val="8"/>
        <color rgb="FFDC3958"/>
        <rFont val="Consolas"/>
        <family val="3"/>
      </rPr>
      <t>sums</t>
    </r>
    <r>
      <rPr>
        <sz val="8"/>
        <color rgb="FFD3AF86"/>
        <rFont val="Consolas"/>
        <family val="3"/>
      </rPr>
      <t>['</t>
    </r>
    <r>
      <rPr>
        <sz val="8"/>
        <color rgb="FF889B4A"/>
        <rFont val="Consolas"/>
        <family val="3"/>
      </rPr>
      <t>Name</t>
    </r>
    <r>
      <rPr>
        <sz val="8"/>
        <color rgb="FFD3AF86"/>
        <rFont val="Consolas"/>
        <family val="3"/>
      </rPr>
      <t>'] = "</t>
    </r>
    <r>
      <rPr>
        <sz val="8"/>
        <color rgb="FF889B4A"/>
        <rFont val="Consolas"/>
        <family val="3"/>
      </rPr>
      <t>TOTAL</t>
    </r>
    <r>
      <rPr>
        <sz val="8"/>
        <color rgb="FFD3AF86"/>
        <rFont val="Consolas"/>
        <family val="3"/>
      </rPr>
      <t>"</t>
    </r>
  </si>
  <si>
    <r>
      <t xml:space="preserve">                </t>
    </r>
    <r>
      <rPr>
        <sz val="8"/>
        <color rgb="FFDC3958"/>
        <rFont val="Consolas"/>
        <family val="3"/>
      </rPr>
      <t>total_row</t>
    </r>
    <r>
      <rPr>
        <sz val="8"/>
        <color rgb="FFD3AF86"/>
        <rFont val="Consolas"/>
        <family val="3"/>
      </rPr>
      <t xml:space="preserve"> = </t>
    </r>
    <r>
      <rPr>
        <sz val="8"/>
        <color rgb="FFF06431"/>
        <rFont val="Consolas"/>
        <family val="3"/>
      </rPr>
      <t>pd</t>
    </r>
    <r>
      <rPr>
        <sz val="8"/>
        <color rgb="FFD3AF86"/>
        <rFont val="Consolas"/>
        <family val="3"/>
      </rPr>
      <t>.</t>
    </r>
    <r>
      <rPr>
        <sz val="8"/>
        <color rgb="FFF06431"/>
        <rFont val="Consolas"/>
        <family val="3"/>
      </rPr>
      <t>DataFrame</t>
    </r>
    <r>
      <rPr>
        <sz val="8"/>
        <color rgb="FFD3AF86"/>
        <rFont val="Consolas"/>
        <family val="3"/>
      </rPr>
      <t>([</t>
    </r>
    <r>
      <rPr>
        <sz val="8"/>
        <color rgb="FFDC3958"/>
        <rFont val="Consolas"/>
        <family val="3"/>
      </rPr>
      <t>sums</t>
    </r>
    <r>
      <rPr>
        <sz val="8"/>
        <color rgb="FFD3AF86"/>
        <rFont val="Consolas"/>
        <family val="3"/>
      </rPr>
      <t>])</t>
    </r>
  </si>
  <si>
    <r>
      <t xml:space="preserve">                </t>
    </r>
    <r>
      <rPr>
        <sz val="8"/>
        <color rgb="FFDC3958"/>
        <rFont val="Consolas"/>
        <family val="3"/>
      </rPr>
      <t>final</t>
    </r>
    <r>
      <rPr>
        <sz val="8"/>
        <color rgb="FFD3AF86"/>
        <rFont val="Consolas"/>
        <family val="3"/>
      </rPr>
      <t xml:space="preserve"> = </t>
    </r>
    <r>
      <rPr>
        <sz val="8"/>
        <color rgb="FFF06431"/>
        <rFont val="Consolas"/>
        <family val="3"/>
      </rPr>
      <t>pd</t>
    </r>
    <r>
      <rPr>
        <sz val="8"/>
        <color rgb="FFD3AF86"/>
        <rFont val="Consolas"/>
        <family val="3"/>
      </rPr>
      <t>.</t>
    </r>
    <r>
      <rPr>
        <sz val="8"/>
        <color rgb="FF8AB1B0"/>
        <rFont val="Consolas"/>
        <family val="3"/>
      </rPr>
      <t>concat</t>
    </r>
    <r>
      <rPr>
        <sz val="8"/>
        <color rgb="FFD3AF86"/>
        <rFont val="Consolas"/>
        <family val="3"/>
      </rPr>
      <t>([</t>
    </r>
    <r>
      <rPr>
        <sz val="8"/>
        <color rgb="FFDC3958"/>
        <rFont val="Consolas"/>
        <family val="3"/>
      </rPr>
      <t>res</t>
    </r>
    <r>
      <rPr>
        <sz val="8"/>
        <color rgb="FFD3AF86"/>
        <rFont val="Consolas"/>
        <family val="3"/>
      </rPr>
      <t xml:space="preserve">, </t>
    </r>
    <r>
      <rPr>
        <sz val="8"/>
        <color rgb="FFDC3958"/>
        <rFont val="Consolas"/>
        <family val="3"/>
      </rPr>
      <t>total_row</t>
    </r>
    <r>
      <rPr>
        <sz val="8"/>
        <color rgb="FFD3AF86"/>
        <rFont val="Consolas"/>
        <family val="3"/>
      </rPr>
      <t xml:space="preserve">], </t>
    </r>
    <r>
      <rPr>
        <sz val="8"/>
        <color rgb="FFDC3958"/>
        <rFont val="Consolas"/>
        <family val="3"/>
      </rPr>
      <t>ignore_index</t>
    </r>
    <r>
      <rPr>
        <sz val="8"/>
        <color rgb="FFD3AF86"/>
        <rFont val="Consolas"/>
        <family val="3"/>
      </rPr>
      <t>=</t>
    </r>
    <r>
      <rPr>
        <sz val="8"/>
        <color rgb="FFF79A32"/>
        <rFont val="Consolas"/>
        <family val="3"/>
      </rPr>
      <t>True</t>
    </r>
    <r>
      <rPr>
        <sz val="8"/>
        <color rgb="FFD3AF86"/>
        <rFont val="Consolas"/>
        <family val="3"/>
      </rPr>
      <t>)</t>
    </r>
  </si>
  <si>
    <r>
      <t xml:space="preserve">                </t>
    </r>
    <r>
      <rPr>
        <sz val="8"/>
        <color rgb="FFDC3958"/>
        <rFont val="Consolas"/>
        <family val="3"/>
      </rPr>
      <t>final</t>
    </r>
    <r>
      <rPr>
        <sz val="8"/>
        <color rgb="FFD3AF86"/>
        <rFont val="Consolas"/>
        <family val="3"/>
      </rPr>
      <t xml:space="preserve"> = </t>
    </r>
    <r>
      <rPr>
        <sz val="8"/>
        <color rgb="FFDC3958"/>
        <rFont val="Consolas"/>
        <family val="3"/>
      </rPr>
      <t>final</t>
    </r>
    <r>
      <rPr>
        <sz val="8"/>
        <color rgb="FFD3AF86"/>
        <rFont val="Consolas"/>
        <family val="3"/>
      </rPr>
      <t>.</t>
    </r>
    <r>
      <rPr>
        <sz val="8"/>
        <color rgb="FF8AB1B0"/>
        <rFont val="Consolas"/>
        <family val="3"/>
      </rPr>
      <t>fillna</t>
    </r>
    <r>
      <rPr>
        <sz val="8"/>
        <color rgb="FFD3AF86"/>
        <rFont val="Consolas"/>
        <family val="3"/>
      </rPr>
      <t>('')</t>
    </r>
  </si>
  <si>
    <r>
      <t xml:space="preserve">                </t>
    </r>
    <r>
      <rPr>
        <sz val="8"/>
        <color rgb="FFDC3958"/>
        <rFont val="Consolas"/>
        <family val="3"/>
      </rPr>
      <t>final</t>
    </r>
    <r>
      <rPr>
        <sz val="8"/>
        <color rgb="FFD3AF86"/>
        <rFont val="Consolas"/>
        <family val="3"/>
      </rPr>
      <t xml:space="preserve"> = </t>
    </r>
    <r>
      <rPr>
        <sz val="8"/>
        <color rgb="FFDC3958"/>
        <rFont val="Consolas"/>
        <family val="3"/>
      </rPr>
      <t>final</t>
    </r>
    <r>
      <rPr>
        <sz val="8"/>
        <color rgb="FFD3AF86"/>
        <rFont val="Consolas"/>
        <family val="3"/>
      </rPr>
      <t>.</t>
    </r>
    <r>
      <rPr>
        <sz val="8"/>
        <color rgb="FF8AB1B0"/>
        <rFont val="Consolas"/>
        <family val="3"/>
      </rPr>
      <t>replace</t>
    </r>
    <r>
      <rPr>
        <sz val="8"/>
        <color rgb="FFD3AF86"/>
        <rFont val="Consolas"/>
        <family val="3"/>
      </rPr>
      <t>({</t>
    </r>
    <r>
      <rPr>
        <sz val="8"/>
        <color rgb="FFF79A32"/>
        <rFont val="Consolas"/>
        <family val="3"/>
      </rPr>
      <t>0</t>
    </r>
    <r>
      <rPr>
        <sz val="8"/>
        <color rgb="FFD3AF86"/>
        <rFont val="Consolas"/>
        <family val="3"/>
      </rPr>
      <t>: '', '</t>
    </r>
    <r>
      <rPr>
        <sz val="8"/>
        <color rgb="FF889B4A"/>
        <rFont val="Consolas"/>
        <family val="3"/>
      </rPr>
      <t>0</t>
    </r>
    <r>
      <rPr>
        <sz val="8"/>
        <color rgb="FFD3AF86"/>
        <rFont val="Consolas"/>
        <family val="3"/>
      </rPr>
      <t>': '', '</t>
    </r>
    <r>
      <rPr>
        <sz val="8"/>
        <color rgb="FF889B4A"/>
        <rFont val="Consolas"/>
        <family val="3"/>
      </rPr>
      <t>0.0</t>
    </r>
    <r>
      <rPr>
        <sz val="8"/>
        <color rgb="FFD3AF86"/>
        <rFont val="Consolas"/>
        <family val="3"/>
      </rPr>
      <t xml:space="preserve">': '', </t>
    </r>
    <r>
      <rPr>
        <sz val="8"/>
        <color rgb="FFF79A32"/>
        <rFont val="Consolas"/>
        <family val="3"/>
      </rPr>
      <t>0.0</t>
    </r>
    <r>
      <rPr>
        <sz val="8"/>
        <color rgb="FFD3AF86"/>
        <rFont val="Consolas"/>
        <family val="3"/>
      </rPr>
      <t>: ''})</t>
    </r>
  </si>
  <si>
    <r>
      <t xml:space="preserve">                </t>
    </r>
    <r>
      <rPr>
        <sz val="8"/>
        <color rgb="FFF06431"/>
        <rFont val="Consolas"/>
        <family val="3"/>
      </rPr>
      <t>st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success</t>
    </r>
    <r>
      <rPr>
        <sz val="8"/>
        <color rgb="FFD3AF86"/>
        <rFont val="Consolas"/>
        <family val="3"/>
      </rPr>
      <t>(</t>
    </r>
    <r>
      <rPr>
        <sz val="8"/>
        <color rgb="FF98676A"/>
        <rFont val="Consolas"/>
        <family val="3"/>
      </rPr>
      <t>f</t>
    </r>
    <r>
      <rPr>
        <sz val="8"/>
        <color rgb="FF889B4A"/>
        <rFont val="Consolas"/>
        <family val="3"/>
      </rPr>
      <t xml:space="preserve">"✅ </t>
    </r>
    <r>
      <rPr>
        <sz val="8"/>
        <color rgb="FFF79A32"/>
        <rFont val="Consolas"/>
        <family val="3"/>
      </rPr>
      <t>{</t>
    </r>
    <r>
      <rPr>
        <sz val="8"/>
        <color rgb="FF7E602C"/>
        <rFont val="Consolas"/>
        <family val="3"/>
      </rPr>
      <t>len</t>
    </r>
    <r>
      <rPr>
        <sz val="8"/>
        <color rgb="FFD3AF86"/>
        <rFont val="Consolas"/>
        <family val="3"/>
      </rPr>
      <t>(</t>
    </r>
    <r>
      <rPr>
        <sz val="8"/>
        <color rgb="FFDC3958"/>
        <rFont val="Consolas"/>
        <family val="3"/>
      </rPr>
      <t>res</t>
    </r>
    <r>
      <rPr>
        <sz val="8"/>
        <color rgb="FFD3AF86"/>
        <rFont val="Consolas"/>
        <family val="3"/>
      </rPr>
      <t>)</t>
    </r>
    <r>
      <rPr>
        <sz val="8"/>
        <color rgb="FFF79A32"/>
        <rFont val="Consolas"/>
        <family val="3"/>
      </rPr>
      <t>}</t>
    </r>
    <r>
      <rPr>
        <sz val="8"/>
        <color rgb="FF889B4A"/>
        <rFont val="Consolas"/>
        <family val="3"/>
      </rPr>
      <t xml:space="preserve"> records mile | 💰 Total Amount: ₹</t>
    </r>
    <r>
      <rPr>
        <sz val="8"/>
        <color rgb="FFF79A32"/>
        <rFont val="Consolas"/>
        <family val="3"/>
      </rPr>
      <t>{</t>
    </r>
    <r>
      <rPr>
        <sz val="8"/>
        <color rgb="FFDC3958"/>
        <rFont val="Consolas"/>
        <family val="3"/>
      </rPr>
      <t>total_amount</t>
    </r>
    <r>
      <rPr>
        <sz val="8"/>
        <color rgb="FF98676A"/>
        <rFont val="Consolas"/>
        <family val="3"/>
      </rPr>
      <t>:,.2f</t>
    </r>
    <r>
      <rPr>
        <sz val="8"/>
        <color rgb="FFF79A32"/>
        <rFont val="Consolas"/>
        <family val="3"/>
      </rPr>
      <t>}</t>
    </r>
    <r>
      <rPr>
        <sz val="8"/>
        <color rgb="FF889B4A"/>
        <rFont val="Consolas"/>
        <family val="3"/>
      </rPr>
      <t>"</t>
    </r>
    <r>
      <rPr>
        <sz val="8"/>
        <color rgb="FFD3AF86"/>
        <rFont val="Consolas"/>
        <family val="3"/>
      </rPr>
      <t>)</t>
    </r>
  </si>
  <si>
    <r>
      <t xml:space="preserve">                </t>
    </r>
    <r>
      <rPr>
        <sz val="8"/>
        <color rgb="FFDC3958"/>
        <rFont val="Consolas"/>
        <family val="3"/>
      </rPr>
      <t>styled_final</t>
    </r>
    <r>
      <rPr>
        <sz val="8"/>
        <color rgb="FFD3AF86"/>
        <rFont val="Consolas"/>
        <family val="3"/>
      </rPr>
      <t xml:space="preserve"> = </t>
    </r>
    <r>
      <rPr>
        <sz val="8"/>
        <color rgb="FFDC3958"/>
        <rFont val="Consolas"/>
        <family val="3"/>
      </rPr>
      <t>final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style</t>
    </r>
    <r>
      <rPr>
        <sz val="8"/>
        <color rgb="FFD3AF86"/>
        <rFont val="Consolas"/>
        <family val="3"/>
      </rPr>
      <t>.</t>
    </r>
    <r>
      <rPr>
        <sz val="8"/>
        <color rgb="FF8AB1B0"/>
        <rFont val="Consolas"/>
        <family val="3"/>
      </rPr>
      <t>apply</t>
    </r>
    <r>
      <rPr>
        <sz val="8"/>
        <color rgb="FFD3AF86"/>
        <rFont val="Consolas"/>
        <family val="3"/>
      </rPr>
      <t>(</t>
    </r>
    <r>
      <rPr>
        <sz val="8"/>
        <color rgb="FF8AB1B0"/>
        <rFont val="Consolas"/>
        <family val="3"/>
      </rPr>
      <t>highlight_total_row</t>
    </r>
    <r>
      <rPr>
        <sz val="8"/>
        <color rgb="FFD3AF86"/>
        <rFont val="Consolas"/>
        <family val="3"/>
      </rPr>
      <t xml:space="preserve">, </t>
    </r>
    <r>
      <rPr>
        <sz val="8"/>
        <color rgb="FFDC3958"/>
        <rFont val="Consolas"/>
        <family val="3"/>
      </rPr>
      <t>axis</t>
    </r>
    <r>
      <rPr>
        <sz val="8"/>
        <color rgb="FFD3AF86"/>
        <rFont val="Consolas"/>
        <family val="3"/>
      </rPr>
      <t>=</t>
    </r>
    <r>
      <rPr>
        <sz val="8"/>
        <color rgb="FFF79A32"/>
        <rFont val="Consolas"/>
        <family val="3"/>
      </rPr>
      <t>1</t>
    </r>
    <r>
      <rPr>
        <sz val="8"/>
        <color rgb="FFD3AF86"/>
        <rFont val="Consolas"/>
        <family val="3"/>
      </rPr>
      <t>)</t>
    </r>
  </si>
  <si>
    <r>
      <t xml:space="preserve">                </t>
    </r>
    <r>
      <rPr>
        <sz val="8"/>
        <color rgb="FFF06431"/>
        <rFont val="Consolas"/>
        <family val="3"/>
      </rPr>
      <t>st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dataframe</t>
    </r>
    <r>
      <rPr>
        <sz val="8"/>
        <color rgb="FFD3AF86"/>
        <rFont val="Consolas"/>
        <family val="3"/>
      </rPr>
      <t>(</t>
    </r>
    <r>
      <rPr>
        <sz val="8"/>
        <color rgb="FFDC3958"/>
        <rFont val="Consolas"/>
        <family val="3"/>
      </rPr>
      <t>styled_final</t>
    </r>
    <r>
      <rPr>
        <sz val="8"/>
        <color rgb="FFD3AF86"/>
        <rFont val="Consolas"/>
        <family val="3"/>
      </rPr>
      <t xml:space="preserve">, </t>
    </r>
    <r>
      <rPr>
        <sz val="8"/>
        <color rgb="FFDC3958"/>
        <rFont val="Consolas"/>
        <family val="3"/>
      </rPr>
      <t>use_container_width</t>
    </r>
    <r>
      <rPr>
        <sz val="8"/>
        <color rgb="FFD3AF86"/>
        <rFont val="Consolas"/>
        <family val="3"/>
      </rPr>
      <t>=</t>
    </r>
    <r>
      <rPr>
        <sz val="8"/>
        <color rgb="FFF79A32"/>
        <rFont val="Consolas"/>
        <family val="3"/>
      </rPr>
      <t>True</t>
    </r>
    <r>
      <rPr>
        <sz val="8"/>
        <color rgb="FFD3AF86"/>
        <rFont val="Consolas"/>
        <family val="3"/>
      </rPr>
      <t xml:space="preserve">, </t>
    </r>
    <r>
      <rPr>
        <sz val="8"/>
        <color rgb="FFDC3958"/>
        <rFont val="Consolas"/>
        <family val="3"/>
      </rPr>
      <t>hide_index</t>
    </r>
    <r>
      <rPr>
        <sz val="8"/>
        <color rgb="FFD3AF86"/>
        <rFont val="Consolas"/>
        <family val="3"/>
      </rPr>
      <t>=</t>
    </r>
    <r>
      <rPr>
        <sz val="8"/>
        <color rgb="FFF79A32"/>
        <rFont val="Consolas"/>
        <family val="3"/>
      </rPr>
      <t>True</t>
    </r>
    <r>
      <rPr>
        <sz val="8"/>
        <color rgb="FFD3AF86"/>
        <rFont val="Consolas"/>
        <family val="3"/>
      </rPr>
      <t>)</t>
    </r>
  </si>
  <si>
    <r>
      <t xml:space="preserve">            </t>
    </r>
    <r>
      <rPr>
        <sz val="8"/>
        <color rgb="FF98676A"/>
        <rFont val="Consolas"/>
        <family val="3"/>
      </rPr>
      <t>else</t>
    </r>
    <r>
      <rPr>
        <sz val="8"/>
        <color rgb="FFD3AF86"/>
        <rFont val="Consolas"/>
        <family val="3"/>
      </rPr>
      <t>:</t>
    </r>
  </si>
  <si>
    <r>
      <t xml:space="preserve">                </t>
    </r>
    <r>
      <rPr>
        <sz val="8"/>
        <color rgb="FFF06431"/>
        <rFont val="Consolas"/>
        <family val="3"/>
      </rPr>
      <t>st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warning</t>
    </r>
    <r>
      <rPr>
        <sz val="8"/>
        <color rgb="FFD3AF86"/>
        <rFont val="Consolas"/>
        <family val="3"/>
      </rPr>
      <t>(</t>
    </r>
    <r>
      <rPr>
        <sz val="8"/>
        <color rgb="FF98676A"/>
        <rFont val="Consolas"/>
        <family val="3"/>
      </rPr>
      <t>f</t>
    </r>
    <r>
      <rPr>
        <sz val="8"/>
        <color rgb="FF889B4A"/>
        <rFont val="Consolas"/>
        <family val="3"/>
      </rPr>
      <t>"❌ Number '</t>
    </r>
    <r>
      <rPr>
        <sz val="8"/>
        <color rgb="FFF79A32"/>
        <rFont val="Consolas"/>
        <family val="3"/>
      </rPr>
      <t>{</t>
    </r>
    <r>
      <rPr>
        <sz val="8"/>
        <color rgb="FFDC3958"/>
        <rFont val="Consolas"/>
        <family val="3"/>
      </rPr>
      <t>val</t>
    </r>
    <r>
      <rPr>
        <sz val="8"/>
        <color rgb="FFF79A32"/>
        <rFont val="Consolas"/>
        <family val="3"/>
      </rPr>
      <t>}</t>
    </r>
    <r>
      <rPr>
        <sz val="8"/>
        <color rgb="FF889B4A"/>
        <rFont val="Consolas"/>
        <family val="3"/>
      </rPr>
      <t>' nahi mila!"</t>
    </r>
    <r>
      <rPr>
        <sz val="8"/>
        <color rgb="FFD3AF86"/>
        <rFont val="Consolas"/>
        <family val="3"/>
      </rPr>
      <t>)          </t>
    </r>
  </si>
  <si>
    <r>
      <t>except</t>
    </r>
    <r>
      <rPr>
        <sz val="8"/>
        <color rgb="FFD3AF86"/>
        <rFont val="Consolas"/>
        <family val="3"/>
      </rPr>
      <t xml:space="preserve"> </t>
    </r>
    <r>
      <rPr>
        <sz val="8"/>
        <color rgb="FFF06431"/>
        <rFont val="Consolas"/>
        <family val="3"/>
      </rPr>
      <t>Exception</t>
    </r>
    <r>
      <rPr>
        <sz val="8"/>
        <color rgb="FFD3AF86"/>
        <rFont val="Consolas"/>
        <family val="3"/>
      </rPr>
      <t xml:space="preserve"> </t>
    </r>
    <r>
      <rPr>
        <sz val="8"/>
        <color rgb="FF98676A"/>
        <rFont val="Consolas"/>
        <family val="3"/>
      </rPr>
      <t>as</t>
    </r>
    <r>
      <rPr>
        <sz val="8"/>
        <color rgb="FFD3AF86"/>
        <rFont val="Consolas"/>
        <family val="3"/>
      </rPr>
      <t xml:space="preserve"> </t>
    </r>
    <r>
      <rPr>
        <sz val="8"/>
        <color rgb="FFDC3958"/>
        <rFont val="Consolas"/>
        <family val="3"/>
      </rPr>
      <t>e</t>
    </r>
    <r>
      <rPr>
        <sz val="8"/>
        <color rgb="FFD3AF86"/>
        <rFont val="Consolas"/>
        <family val="3"/>
      </rPr>
      <t>:</t>
    </r>
  </si>
  <si>
    <r>
      <t xml:space="preserve">    </t>
    </r>
    <r>
      <rPr>
        <sz val="8"/>
        <color rgb="FFF06431"/>
        <rFont val="Consolas"/>
        <family val="3"/>
      </rPr>
      <t>st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error</t>
    </r>
    <r>
      <rPr>
        <sz val="8"/>
        <color rgb="FFD3AF86"/>
        <rFont val="Consolas"/>
        <family val="3"/>
      </rPr>
      <t>(</t>
    </r>
    <r>
      <rPr>
        <sz val="8"/>
        <color rgb="FF98676A"/>
        <rFont val="Consolas"/>
        <family val="3"/>
      </rPr>
      <t>f</t>
    </r>
    <r>
      <rPr>
        <sz val="8"/>
        <color rgb="FF889B4A"/>
        <rFont val="Consolas"/>
        <family val="3"/>
      </rPr>
      <t xml:space="preserve">"Error: </t>
    </r>
    <r>
      <rPr>
        <sz val="8"/>
        <color rgb="FFF79A32"/>
        <rFont val="Consolas"/>
        <family val="3"/>
      </rPr>
      <t>{</t>
    </r>
    <r>
      <rPr>
        <sz val="8"/>
        <color rgb="FFDC3958"/>
        <rFont val="Consolas"/>
        <family val="3"/>
      </rPr>
      <t>e</t>
    </r>
    <r>
      <rPr>
        <sz val="8"/>
        <color rgb="FFF79A32"/>
        <rFont val="Consolas"/>
        <family val="3"/>
      </rPr>
      <t>}</t>
    </r>
    <r>
      <rPr>
        <sz val="8"/>
        <color rgb="FF889B4A"/>
        <rFont val="Consolas"/>
        <family val="3"/>
      </rPr>
      <t>"</t>
    </r>
    <r>
      <rPr>
        <sz val="8"/>
        <color rgb="FFD3AF86"/>
        <rFont val="Consolas"/>
        <family val="3"/>
      </rPr>
      <t>)</t>
    </r>
  </si>
  <si>
    <r>
      <t xml:space="preserve">    </t>
    </r>
    <r>
      <rPr>
        <sz val="8"/>
        <color rgb="FFA57A4C"/>
        <rFont val="Consolas"/>
        <family val="3"/>
      </rPr>
      <t># --- NYA CODE: A2 cell se date nikalne ke liye ---</t>
    </r>
  </si>
  <si>
    <r>
      <t xml:space="preserve">    </t>
    </r>
    <r>
      <rPr>
        <sz val="8"/>
        <color rgb="FFA57A4C"/>
        <rFont val="Consolas"/>
        <family val="3"/>
      </rPr>
      <t># Header=None rakhkar pehle 2 rows padhenge taaki A2 cell ka data mil sake</t>
    </r>
  </si>
  <si>
    <r>
      <t xml:space="preserve">    </t>
    </r>
    <r>
      <rPr>
        <sz val="8"/>
        <color rgb="FFDC3958"/>
        <rFont val="Consolas"/>
        <family val="3"/>
      </rPr>
      <t>raw_df</t>
    </r>
    <r>
      <rPr>
        <sz val="8"/>
        <color rgb="FFD3AF86"/>
        <rFont val="Consolas"/>
        <family val="3"/>
      </rPr>
      <t xml:space="preserve"> = </t>
    </r>
    <r>
      <rPr>
        <sz val="8"/>
        <color rgb="FFF06431"/>
        <rFont val="Consolas"/>
        <family val="3"/>
      </rPr>
      <t>pd</t>
    </r>
    <r>
      <rPr>
        <sz val="8"/>
        <color rgb="FFD3AF86"/>
        <rFont val="Consolas"/>
        <family val="3"/>
      </rPr>
      <t>.</t>
    </r>
    <r>
      <rPr>
        <sz val="8"/>
        <color rgb="FF8AB1B0"/>
        <rFont val="Consolas"/>
        <family val="3"/>
      </rPr>
      <t>read_csv</t>
    </r>
    <r>
      <rPr>
        <sz val="8"/>
        <color rgb="FFD3AF86"/>
        <rFont val="Consolas"/>
        <family val="3"/>
      </rPr>
      <t>(</t>
    </r>
    <r>
      <rPr>
        <sz val="8"/>
        <color rgb="FF98676A"/>
        <rFont val="Consolas"/>
        <family val="3"/>
      </rPr>
      <t>r</t>
    </r>
    <r>
      <rPr>
        <sz val="8"/>
        <color rgb="FFD3AF86"/>
        <rFont val="Consolas"/>
        <family val="3"/>
      </rPr>
      <t>"</t>
    </r>
    <r>
      <rPr>
        <sz val="8"/>
        <color rgb="FF7E602C"/>
        <rFont val="Consolas"/>
        <family val="3"/>
      </rPr>
      <t>e:\python\LTM.csv</t>
    </r>
    <r>
      <rPr>
        <sz val="8"/>
        <color rgb="FFD3AF86"/>
        <rFont val="Consolas"/>
        <family val="3"/>
      </rPr>
      <t xml:space="preserve">", </t>
    </r>
    <r>
      <rPr>
        <sz val="8"/>
        <color rgb="FFDC3958"/>
        <rFont val="Consolas"/>
        <family val="3"/>
      </rPr>
      <t>header</t>
    </r>
    <r>
      <rPr>
        <sz val="8"/>
        <color rgb="FFD3AF86"/>
        <rFont val="Consolas"/>
        <family val="3"/>
      </rPr>
      <t>=</t>
    </r>
    <r>
      <rPr>
        <sz val="8"/>
        <color rgb="FFF79A32"/>
        <rFont val="Consolas"/>
        <family val="3"/>
      </rPr>
      <t>None</t>
    </r>
    <r>
      <rPr>
        <sz val="8"/>
        <color rgb="FFD3AF86"/>
        <rFont val="Consolas"/>
        <family val="3"/>
      </rPr>
      <t xml:space="preserve">, </t>
    </r>
    <r>
      <rPr>
        <sz val="8"/>
        <color rgb="FFDC3958"/>
        <rFont val="Consolas"/>
        <family val="3"/>
      </rPr>
      <t>nrows</t>
    </r>
    <r>
      <rPr>
        <sz val="8"/>
        <color rgb="FFD3AF86"/>
        <rFont val="Consolas"/>
        <family val="3"/>
      </rPr>
      <t>=</t>
    </r>
    <r>
      <rPr>
        <sz val="8"/>
        <color rgb="FFF79A32"/>
        <rFont val="Consolas"/>
        <family val="3"/>
      </rPr>
      <t>2</t>
    </r>
    <r>
      <rPr>
        <sz val="8"/>
        <color rgb="FFD3AF86"/>
        <rFont val="Consolas"/>
        <family val="3"/>
      </rPr>
      <t xml:space="preserve">, </t>
    </r>
    <r>
      <rPr>
        <sz val="8"/>
        <color rgb="FFDC3958"/>
        <rFont val="Consolas"/>
        <family val="3"/>
      </rPr>
      <t>encoding</t>
    </r>
    <r>
      <rPr>
        <sz val="8"/>
        <color rgb="FFD3AF86"/>
        <rFont val="Consolas"/>
        <family val="3"/>
      </rPr>
      <t>='</t>
    </r>
    <r>
      <rPr>
        <sz val="8"/>
        <color rgb="FF889B4A"/>
        <rFont val="Consolas"/>
        <family val="3"/>
      </rPr>
      <t>latin-1</t>
    </r>
    <r>
      <rPr>
        <sz val="8"/>
        <color rgb="FFD3AF86"/>
        <rFont val="Consolas"/>
        <family val="3"/>
      </rPr>
      <t>')</t>
    </r>
  </si>
  <si>
    <r>
      <t xml:space="preserve">    </t>
    </r>
    <r>
      <rPr>
        <sz val="8"/>
        <color rgb="FF98676A"/>
        <rFont val="Consolas"/>
        <family val="3"/>
      </rPr>
      <t>try</t>
    </r>
    <r>
      <rPr>
        <sz val="8"/>
        <color rgb="FFD3AF86"/>
        <rFont val="Consolas"/>
        <family val="3"/>
      </rPr>
      <t>:</t>
    </r>
  </si>
  <si>
    <r>
      <t xml:space="preserve">        </t>
    </r>
    <r>
      <rPr>
        <sz val="8"/>
        <color rgb="FFA57A4C"/>
        <rFont val="Consolas"/>
        <family val="3"/>
      </rPr>
      <t># Excel ka A2 cell = Row Index 1 (2nd row) aur Column Index 0 (A column)</t>
    </r>
  </si>
  <si>
    <r>
      <t xml:space="preserve">        </t>
    </r>
    <r>
      <rPr>
        <sz val="8"/>
        <color rgb="FFDC3958"/>
        <rFont val="Consolas"/>
        <family val="3"/>
      </rPr>
      <t>extracted_date</t>
    </r>
    <r>
      <rPr>
        <sz val="8"/>
        <color rgb="FFD3AF86"/>
        <rFont val="Consolas"/>
        <family val="3"/>
      </rPr>
      <t xml:space="preserve"> = </t>
    </r>
    <r>
      <rPr>
        <sz val="8"/>
        <color rgb="FFDC3958"/>
        <rFont val="Consolas"/>
        <family val="3"/>
      </rPr>
      <t>raw_df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iloc</t>
    </r>
    <r>
      <rPr>
        <sz val="8"/>
        <color rgb="FFD3AF86"/>
        <rFont val="Consolas"/>
        <family val="3"/>
      </rPr>
      <t>[</t>
    </r>
    <r>
      <rPr>
        <sz val="8"/>
        <color rgb="FFF79A32"/>
        <rFont val="Consolas"/>
        <family val="3"/>
      </rPr>
      <t>1</t>
    </r>
    <r>
      <rPr>
        <sz val="8"/>
        <color rgb="FFD3AF86"/>
        <rFont val="Consolas"/>
        <family val="3"/>
      </rPr>
      <t xml:space="preserve">, </t>
    </r>
    <r>
      <rPr>
        <sz val="8"/>
        <color rgb="FFF79A32"/>
        <rFont val="Consolas"/>
        <family val="3"/>
      </rPr>
      <t>0</t>
    </r>
    <r>
      <rPr>
        <sz val="8"/>
        <color rgb="FFD3AF86"/>
        <rFont val="Consolas"/>
        <family val="3"/>
      </rPr>
      <t xml:space="preserve">] </t>
    </r>
  </si>
  <si>
    <r>
      <t xml:space="preserve">    </t>
    </r>
    <r>
      <rPr>
        <sz val="8"/>
        <color rgb="FF98676A"/>
        <rFont val="Consolas"/>
        <family val="3"/>
      </rPr>
      <t>except</t>
    </r>
    <r>
      <rPr>
        <sz val="8"/>
        <color rgb="FFD3AF86"/>
        <rFont val="Consolas"/>
        <family val="3"/>
      </rPr>
      <t xml:space="preserve"> </t>
    </r>
    <r>
      <rPr>
        <sz val="8"/>
        <color rgb="FFF06431"/>
        <rFont val="Consolas"/>
        <family val="3"/>
      </rPr>
      <t>Exception</t>
    </r>
    <r>
      <rPr>
        <sz val="8"/>
        <color rgb="FFD3AF86"/>
        <rFont val="Consolas"/>
        <family val="3"/>
      </rPr>
      <t>:</t>
    </r>
  </si>
  <si>
    <r>
      <t xml:space="preserve">        </t>
    </r>
    <r>
      <rPr>
        <sz val="8"/>
        <color rgb="FFDC3958"/>
        <rFont val="Consolas"/>
        <family val="3"/>
      </rPr>
      <t>extracted_date</t>
    </r>
    <r>
      <rPr>
        <sz val="8"/>
        <color rgb="FFD3AF86"/>
        <rFont val="Consolas"/>
        <family val="3"/>
      </rPr>
      <t xml:space="preserve"> = ""</t>
    </r>
  </si>
  <si>
    <r>
      <t xml:space="preserve">    </t>
    </r>
    <r>
      <rPr>
        <sz val="8"/>
        <color rgb="FFA57A4C"/>
        <rFont val="Consolas"/>
        <family val="3"/>
      </rPr>
      <t># ------------------------------------------------</t>
    </r>
  </si>
  <si>
    <r>
      <t xml:space="preserve">    </t>
    </r>
    <r>
      <rPr>
        <sz val="8"/>
        <color rgb="FFA57A4C"/>
        <rFont val="Consolas"/>
        <family val="3"/>
      </rPr>
      <t># Encoding fix aur khali rows hatana (Header=2 se data start ho raha hai)</t>
    </r>
  </si>
  <si>
    <r>
      <t xml:space="preserve">    </t>
    </r>
    <r>
      <rPr>
        <sz val="8"/>
        <color rgb="FFA57A4C"/>
        <rFont val="Consolas"/>
        <family val="3"/>
      </rPr>
      <t># Dataframe aur Date dono ek sath return honge</t>
    </r>
  </si>
  <si>
    <r>
      <t xml:space="preserve">    </t>
    </r>
    <r>
      <rPr>
        <sz val="8"/>
        <color rgb="FF98676A"/>
        <rFont val="Consolas"/>
        <family val="3"/>
      </rPr>
      <t>return</t>
    </r>
    <r>
      <rPr>
        <sz val="8"/>
        <color rgb="FFD3AF86"/>
        <rFont val="Consolas"/>
        <family val="3"/>
      </rPr>
      <t xml:space="preserve"> </t>
    </r>
    <r>
      <rPr>
        <sz val="8"/>
        <color rgb="FFDC3958"/>
        <rFont val="Consolas"/>
        <family val="3"/>
      </rPr>
      <t>df</t>
    </r>
    <r>
      <rPr>
        <sz val="8"/>
        <color rgb="FFD3AF86"/>
        <rFont val="Consolas"/>
        <family val="3"/>
      </rPr>
      <t xml:space="preserve">, </t>
    </r>
    <r>
      <rPr>
        <sz val="8"/>
        <color rgb="FFDC3958"/>
        <rFont val="Consolas"/>
        <family val="3"/>
      </rPr>
      <t>extracted_date</t>
    </r>
  </si>
  <si>
    <r>
      <t xml:space="preserve">    </t>
    </r>
    <r>
      <rPr>
        <sz val="8"/>
        <color rgb="FFA57A4C"/>
        <rFont val="Consolas"/>
        <family val="3"/>
      </rPr>
      <t># load_data se dono cheezein le rahe hain</t>
    </r>
  </si>
  <si>
    <r>
      <t xml:space="preserve">    </t>
    </r>
    <r>
      <rPr>
        <sz val="8"/>
        <color rgb="FFDC3958"/>
        <rFont val="Consolas"/>
        <family val="3"/>
      </rPr>
      <t>df</t>
    </r>
    <r>
      <rPr>
        <sz val="8"/>
        <color rgb="FFD3AF86"/>
        <rFont val="Consolas"/>
        <family val="3"/>
      </rPr>
      <t xml:space="preserve">, </t>
    </r>
    <r>
      <rPr>
        <sz val="8"/>
        <color rgb="FFDC3958"/>
        <rFont val="Consolas"/>
        <family val="3"/>
      </rPr>
      <t>file_date</t>
    </r>
    <r>
      <rPr>
        <sz val="8"/>
        <color rgb="FFD3AF86"/>
        <rFont val="Consolas"/>
        <family val="3"/>
      </rPr>
      <t xml:space="preserve"> = </t>
    </r>
    <r>
      <rPr>
        <sz val="8"/>
        <color rgb="FF8AB1B0"/>
        <rFont val="Consolas"/>
        <family val="3"/>
      </rPr>
      <t>load_data</t>
    </r>
    <r>
      <rPr>
        <sz val="8"/>
        <color rgb="FFD3AF86"/>
        <rFont val="Consolas"/>
        <family val="3"/>
      </rPr>
      <t>()</t>
    </r>
  </si>
  <si>
    <r>
      <t xml:space="preserve">    </t>
    </r>
    <r>
      <rPr>
        <sz val="8"/>
        <color rgb="FFA57A4C"/>
        <rFont val="Consolas"/>
        <family val="3"/>
      </rPr>
      <t># --- NYA CODE: Input Box ke upar right side me Date lagane ke liye ---</t>
    </r>
  </si>
  <si>
    <r>
      <t xml:space="preserve">    </t>
    </r>
    <r>
      <rPr>
        <sz val="8"/>
        <color rgb="FFDC3958"/>
        <rFont val="Consolas"/>
        <family val="3"/>
      </rPr>
      <t>col1</t>
    </r>
    <r>
      <rPr>
        <sz val="8"/>
        <color rgb="FFD3AF86"/>
        <rFont val="Consolas"/>
        <family val="3"/>
      </rPr>
      <t xml:space="preserve">, </t>
    </r>
    <r>
      <rPr>
        <sz val="8"/>
        <color rgb="FFDC3958"/>
        <rFont val="Consolas"/>
        <family val="3"/>
      </rPr>
      <t>col2</t>
    </r>
    <r>
      <rPr>
        <sz val="8"/>
        <color rgb="FFD3AF86"/>
        <rFont val="Consolas"/>
        <family val="3"/>
      </rPr>
      <t xml:space="preserve"> = </t>
    </r>
    <r>
      <rPr>
        <sz val="8"/>
        <color rgb="FFF06431"/>
        <rFont val="Consolas"/>
        <family val="3"/>
      </rPr>
      <t>st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columns</t>
    </r>
    <r>
      <rPr>
        <sz val="8"/>
        <color rgb="FFD3AF86"/>
        <rFont val="Consolas"/>
        <family val="3"/>
      </rPr>
      <t>([</t>
    </r>
    <r>
      <rPr>
        <sz val="8"/>
        <color rgb="FFF79A32"/>
        <rFont val="Consolas"/>
        <family val="3"/>
      </rPr>
      <t>3</t>
    </r>
    <r>
      <rPr>
        <sz val="8"/>
        <color rgb="FFD3AF86"/>
        <rFont val="Consolas"/>
        <family val="3"/>
      </rPr>
      <t xml:space="preserve">, </t>
    </r>
    <r>
      <rPr>
        <sz val="8"/>
        <color rgb="FFF79A32"/>
        <rFont val="Consolas"/>
        <family val="3"/>
      </rPr>
      <t>1</t>
    </r>
    <r>
      <rPr>
        <sz val="8"/>
        <color rgb="FFD3AF86"/>
        <rFont val="Consolas"/>
        <family val="3"/>
      </rPr>
      <t xml:space="preserve">]) </t>
    </r>
    <r>
      <rPr>
        <sz val="8"/>
        <color rgb="FFA57A4C"/>
        <rFont val="Consolas"/>
        <family val="3"/>
      </rPr>
      <t># Screen ko 75% aur 25% ke ratio me baanta</t>
    </r>
  </si>
  <si>
    <r>
      <t xml:space="preserve">    </t>
    </r>
    <r>
      <rPr>
        <sz val="8"/>
        <color rgb="FF98676A"/>
        <rFont val="Consolas"/>
        <family val="3"/>
      </rPr>
      <t>with</t>
    </r>
    <r>
      <rPr>
        <sz val="8"/>
        <color rgb="FFD3AF86"/>
        <rFont val="Consolas"/>
        <family val="3"/>
      </rPr>
      <t xml:space="preserve"> </t>
    </r>
    <r>
      <rPr>
        <sz val="8"/>
        <color rgb="FFDC3958"/>
        <rFont val="Consolas"/>
        <family val="3"/>
      </rPr>
      <t>col1</t>
    </r>
    <r>
      <rPr>
        <sz val="8"/>
        <color rgb="FFD3AF86"/>
        <rFont val="Consolas"/>
        <family val="3"/>
      </rPr>
      <t>:</t>
    </r>
  </si>
  <si>
    <r>
      <t xml:space="preserve">        </t>
    </r>
    <r>
      <rPr>
        <sz val="8"/>
        <color rgb="FFDC3958"/>
        <rFont val="Consolas"/>
        <family val="3"/>
      </rPr>
      <t>val</t>
    </r>
    <r>
      <rPr>
        <sz val="8"/>
        <color rgb="FFD3AF86"/>
        <rFont val="Consolas"/>
        <family val="3"/>
      </rPr>
      <t xml:space="preserve"> = </t>
    </r>
    <r>
      <rPr>
        <sz val="8"/>
        <color rgb="FFF06431"/>
        <rFont val="Consolas"/>
        <family val="3"/>
      </rPr>
      <t>st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text_input</t>
    </r>
    <r>
      <rPr>
        <sz val="8"/>
        <color rgb="FFD3AF86"/>
        <rFont val="Consolas"/>
        <family val="3"/>
      </rPr>
      <t>("</t>
    </r>
    <r>
      <rPr>
        <sz val="8"/>
        <color rgb="FF889B4A"/>
        <rFont val="Consolas"/>
        <family val="3"/>
      </rPr>
      <t>Mobile Number Enter Karein:</t>
    </r>
    <r>
      <rPr>
        <sz val="8"/>
        <color rgb="FFD3AF86"/>
        <rFont val="Consolas"/>
        <family val="3"/>
      </rPr>
      <t>")</t>
    </r>
  </si>
  <si>
    <t xml:space="preserve">        </t>
  </si>
  <si>
    <r>
      <t xml:space="preserve">    </t>
    </r>
    <r>
      <rPr>
        <sz val="8"/>
        <color rgb="FF98676A"/>
        <rFont val="Consolas"/>
        <family val="3"/>
      </rPr>
      <t>with</t>
    </r>
    <r>
      <rPr>
        <sz val="8"/>
        <color rgb="FFD3AF86"/>
        <rFont val="Consolas"/>
        <family val="3"/>
      </rPr>
      <t xml:space="preserve"> </t>
    </r>
    <r>
      <rPr>
        <sz val="8"/>
        <color rgb="FFDC3958"/>
        <rFont val="Consolas"/>
        <family val="3"/>
      </rPr>
      <t>col2</t>
    </r>
    <r>
      <rPr>
        <sz val="8"/>
        <color rgb="FFD3AF86"/>
        <rFont val="Consolas"/>
        <family val="3"/>
      </rPr>
      <t>:</t>
    </r>
  </si>
  <si>
    <r>
      <t xml:space="preserve">        </t>
    </r>
    <r>
      <rPr>
        <sz val="8"/>
        <color rgb="FFA57A4C"/>
        <rFont val="Consolas"/>
        <family val="3"/>
      </rPr>
      <t># margin-top se date bilkul "Mobile Number Enter Karein:" ke upar right me align ho jayegi</t>
    </r>
  </si>
  <si>
    <r>
      <t xml:space="preserve">        </t>
    </r>
    <r>
      <rPr>
        <sz val="8"/>
        <color rgb="FFF06431"/>
        <rFont val="Consolas"/>
        <family val="3"/>
      </rPr>
      <t>st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markdown</t>
    </r>
    <r>
      <rPr>
        <sz val="8"/>
        <color rgb="FFD3AF86"/>
        <rFont val="Consolas"/>
        <family val="3"/>
      </rPr>
      <t>(</t>
    </r>
  </si>
  <si>
    <r>
      <t xml:space="preserve">            </t>
    </r>
    <r>
      <rPr>
        <sz val="8"/>
        <color rgb="FF98676A"/>
        <rFont val="Consolas"/>
        <family val="3"/>
      </rPr>
      <t>f</t>
    </r>
    <r>
      <rPr>
        <sz val="8"/>
        <color rgb="FF889B4A"/>
        <rFont val="Consolas"/>
        <family val="3"/>
      </rPr>
      <t>"""</t>
    </r>
  </si>
  <si>
    <t>            &lt;div style='text-align: right; margin-top: 32px; font-weight: bold; color: #1f77b4; font-size: 16px;'&gt;</t>
  </si>
  <si>
    <r>
      <t xml:space="preserve">                📅 Date: </t>
    </r>
    <r>
      <rPr>
        <sz val="8"/>
        <color rgb="FFF79A32"/>
        <rFont val="Consolas"/>
        <family val="3"/>
      </rPr>
      <t>{</t>
    </r>
    <r>
      <rPr>
        <sz val="8"/>
        <color rgb="FFDC3958"/>
        <rFont val="Consolas"/>
        <family val="3"/>
      </rPr>
      <t>file_date</t>
    </r>
    <r>
      <rPr>
        <sz val="8"/>
        <color rgb="FFF79A32"/>
        <rFont val="Consolas"/>
        <family val="3"/>
      </rPr>
      <t>}</t>
    </r>
  </si>
  <si>
    <t>            &lt;/div&gt;</t>
  </si>
  <si>
    <r>
      <t>            """</t>
    </r>
    <r>
      <rPr>
        <sz val="8"/>
        <color rgb="FFD3AF86"/>
        <rFont val="Consolas"/>
        <family val="3"/>
      </rPr>
      <t xml:space="preserve">, </t>
    </r>
  </si>
  <si>
    <r>
      <t xml:space="preserve">            </t>
    </r>
    <r>
      <rPr>
        <sz val="8"/>
        <color rgb="FFDC3958"/>
        <rFont val="Consolas"/>
        <family val="3"/>
      </rPr>
      <t>unsafe_allow_html</t>
    </r>
    <r>
      <rPr>
        <sz val="8"/>
        <color rgb="FFD3AF86"/>
        <rFont val="Consolas"/>
        <family val="3"/>
      </rPr>
      <t>=</t>
    </r>
    <r>
      <rPr>
        <sz val="8"/>
        <color rgb="FFF79A32"/>
        <rFont val="Consolas"/>
        <family val="3"/>
      </rPr>
      <t>True</t>
    </r>
  </si>
  <si>
    <t>        )</t>
  </si>
  <si>
    <r>
      <t xml:space="preserve">    </t>
    </r>
    <r>
      <rPr>
        <sz val="8"/>
        <color rgb="FFA57A4C"/>
        <rFont val="Consolas"/>
        <family val="3"/>
      </rPr>
      <t># ----------------------------------------------------------------</t>
    </r>
  </si>
  <si>
    <r>
      <t xml:space="preserve">    </t>
    </r>
    <r>
      <rPr>
        <sz val="8"/>
        <color rgb="FFA57A4C"/>
        <rFont val="Consolas"/>
        <family val="3"/>
      </rPr>
      <t># --- A2 cell se date nikalne ke liye ---</t>
    </r>
  </si>
  <si>
    <r>
      <t xml:space="preserve">    </t>
    </r>
    <r>
      <rPr>
        <sz val="8"/>
        <color rgb="FFA57A4C"/>
        <rFont val="Consolas"/>
        <family val="3"/>
      </rPr>
      <t># Data loading (Header=2 se)</t>
    </r>
  </si>
  <si>
    <r>
      <t xml:space="preserve">    </t>
    </r>
    <r>
      <rPr>
        <sz val="8"/>
        <color rgb="FFA57A4C"/>
        <rFont val="Consolas"/>
        <family val="3"/>
      </rPr>
      <t># Phone number ko normal string rakhna taaki search sahi ho</t>
    </r>
  </si>
  <si>
    <r>
      <t xml:space="preserve">    </t>
    </r>
    <r>
      <rPr>
        <sz val="8"/>
        <color rgb="FFA57A4C"/>
        <rFont val="Consolas"/>
        <family val="3"/>
      </rPr>
      <t># Baaki columns ke andar ke values ko number me badalna taaki total sahi nikle</t>
    </r>
  </si>
  <si>
    <r>
      <t xml:space="preserve">    </t>
    </r>
    <r>
      <rPr>
        <sz val="8"/>
        <color rgb="FFDC3958"/>
        <rFont val="Consolas"/>
        <family val="3"/>
      </rPr>
      <t>num_cols</t>
    </r>
    <r>
      <rPr>
        <sz val="8"/>
        <color rgb="FFD3AF86"/>
        <rFont val="Consolas"/>
        <family val="3"/>
      </rPr>
      <t xml:space="preserve"> = ['</t>
    </r>
    <r>
      <rPr>
        <sz val="8"/>
        <color rgb="FF889B4A"/>
        <rFont val="Consolas"/>
        <family val="3"/>
      </rPr>
      <t>Nest Lo.</t>
    </r>
    <r>
      <rPr>
        <sz val="8"/>
        <color rgb="FFD3AF86"/>
        <rFont val="Consolas"/>
        <family val="3"/>
      </rPr>
      <t>', '</t>
    </r>
    <r>
      <rPr>
        <sz val="8"/>
        <color rgb="FF889B4A"/>
        <rFont val="Consolas"/>
        <family val="3"/>
      </rPr>
      <t>Discount</t>
    </r>
    <r>
      <rPr>
        <sz val="8"/>
        <color rgb="FFD3AF86"/>
        <rFont val="Consolas"/>
        <family val="3"/>
      </rPr>
      <t>', '</t>
    </r>
    <r>
      <rPr>
        <sz val="8"/>
        <color rgb="FF889B4A"/>
        <rFont val="Consolas"/>
        <family val="3"/>
      </rPr>
      <t>Kist</t>
    </r>
    <r>
      <rPr>
        <sz val="8"/>
        <color rgb="FFD3AF86"/>
        <rFont val="Consolas"/>
        <family val="3"/>
      </rPr>
      <t>', '</t>
    </r>
    <r>
      <rPr>
        <sz val="8"/>
        <color rgb="FF889B4A"/>
        <rFont val="Consolas"/>
        <family val="3"/>
      </rPr>
      <t>K.P.</t>
    </r>
    <r>
      <rPr>
        <sz val="8"/>
        <color rgb="FFD3AF86"/>
        <rFont val="Consolas"/>
        <family val="3"/>
      </rPr>
      <t>', '</t>
    </r>
    <r>
      <rPr>
        <sz val="8"/>
        <color rgb="FF889B4A"/>
        <rFont val="Consolas"/>
        <family val="3"/>
      </rPr>
      <t>Loan</t>
    </r>
    <r>
      <rPr>
        <sz val="8"/>
        <color rgb="FFD3AF86"/>
        <rFont val="Consolas"/>
        <family val="3"/>
      </rPr>
      <t>', '</t>
    </r>
    <r>
      <rPr>
        <sz val="8"/>
        <color rgb="FF889B4A"/>
        <rFont val="Consolas"/>
        <family val="3"/>
      </rPr>
      <t>L.P.</t>
    </r>
    <r>
      <rPr>
        <sz val="8"/>
        <color rgb="FFD3AF86"/>
        <rFont val="Consolas"/>
        <family val="3"/>
      </rPr>
      <t>', '</t>
    </r>
    <r>
      <rPr>
        <sz val="8"/>
        <color rgb="FF889B4A"/>
        <rFont val="Consolas"/>
        <family val="3"/>
      </rPr>
      <t>Inter</t>
    </r>
    <r>
      <rPr>
        <sz val="8"/>
        <color rgb="FFD3AF86"/>
        <rFont val="Consolas"/>
        <family val="3"/>
      </rPr>
      <t>', '</t>
    </r>
    <r>
      <rPr>
        <sz val="8"/>
        <color rgb="FF889B4A"/>
        <rFont val="Consolas"/>
        <family val="3"/>
      </rPr>
      <t>Other</t>
    </r>
    <r>
      <rPr>
        <sz val="8"/>
        <color rgb="FFD3AF86"/>
        <rFont val="Consolas"/>
        <family val="3"/>
      </rPr>
      <t>', '</t>
    </r>
    <r>
      <rPr>
        <sz val="8"/>
        <color rgb="FF889B4A"/>
        <rFont val="Consolas"/>
        <family val="3"/>
      </rPr>
      <t>Total</t>
    </r>
    <r>
      <rPr>
        <sz val="8"/>
        <color rgb="FFD3AF86"/>
        <rFont val="Consolas"/>
        <family val="3"/>
      </rPr>
      <t>', '</t>
    </r>
    <r>
      <rPr>
        <sz val="8"/>
        <color rgb="FF889B4A"/>
        <rFont val="Consolas"/>
        <family val="3"/>
      </rPr>
      <t>L.Balance</t>
    </r>
    <r>
      <rPr>
        <sz val="8"/>
        <color rgb="FFD3AF86"/>
        <rFont val="Consolas"/>
        <family val="3"/>
      </rPr>
      <t>']</t>
    </r>
  </si>
  <si>
    <r>
      <t xml:space="preserve">    </t>
    </r>
    <r>
      <rPr>
        <sz val="8"/>
        <color rgb="FF98676A"/>
        <rFont val="Consolas"/>
        <family val="3"/>
      </rPr>
      <t>for</t>
    </r>
    <r>
      <rPr>
        <sz val="8"/>
        <color rgb="FFD3AF86"/>
        <rFont val="Consolas"/>
        <family val="3"/>
      </rPr>
      <t xml:space="preserve"> </t>
    </r>
    <r>
      <rPr>
        <sz val="8"/>
        <color rgb="FFDC3958"/>
        <rFont val="Consolas"/>
        <family val="3"/>
      </rPr>
      <t>col</t>
    </r>
    <r>
      <rPr>
        <sz val="8"/>
        <color rgb="FFD3AF86"/>
        <rFont val="Consolas"/>
        <family val="3"/>
      </rPr>
      <t xml:space="preserve"> </t>
    </r>
    <r>
      <rPr>
        <sz val="8"/>
        <color rgb="FF7E602C"/>
        <rFont val="Consolas"/>
        <family val="3"/>
      </rPr>
      <t>in</t>
    </r>
    <r>
      <rPr>
        <sz val="8"/>
        <color rgb="FFD3AF86"/>
        <rFont val="Consolas"/>
        <family val="3"/>
      </rPr>
      <t xml:space="preserve"> </t>
    </r>
    <r>
      <rPr>
        <sz val="8"/>
        <color rgb="FFDC3958"/>
        <rFont val="Consolas"/>
        <family val="3"/>
      </rPr>
      <t>df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columns</t>
    </r>
    <r>
      <rPr>
        <sz val="8"/>
        <color rgb="FFD3AF86"/>
        <rFont val="Consolas"/>
        <family val="3"/>
      </rPr>
      <t>:</t>
    </r>
  </si>
  <si>
    <r>
      <t xml:space="preserve">        </t>
    </r>
    <r>
      <rPr>
        <sz val="8"/>
        <color rgb="FF98676A"/>
        <rFont val="Consolas"/>
        <family val="3"/>
      </rPr>
      <t>if</t>
    </r>
    <r>
      <rPr>
        <sz val="8"/>
        <color rgb="FFD3AF86"/>
        <rFont val="Consolas"/>
        <family val="3"/>
      </rPr>
      <t xml:space="preserve"> </t>
    </r>
    <r>
      <rPr>
        <sz val="8"/>
        <color rgb="FFDC3958"/>
        <rFont val="Consolas"/>
        <family val="3"/>
      </rPr>
      <t>col</t>
    </r>
    <r>
      <rPr>
        <sz val="8"/>
        <color rgb="FFD3AF86"/>
        <rFont val="Consolas"/>
        <family val="3"/>
      </rPr>
      <t xml:space="preserve"> in </t>
    </r>
    <r>
      <rPr>
        <sz val="8"/>
        <color rgb="FFDC3958"/>
        <rFont val="Consolas"/>
        <family val="3"/>
      </rPr>
      <t>num_cols</t>
    </r>
    <r>
      <rPr>
        <sz val="8"/>
        <color rgb="FFD3AF86"/>
        <rFont val="Consolas"/>
        <family val="3"/>
      </rPr>
      <t>:</t>
    </r>
  </si>
  <si>
    <r>
      <t xml:space="preserve">            </t>
    </r>
    <r>
      <rPr>
        <sz val="8"/>
        <color rgb="FFDC3958"/>
        <rFont val="Consolas"/>
        <family val="3"/>
      </rPr>
      <t>df</t>
    </r>
    <r>
      <rPr>
        <sz val="8"/>
        <color rgb="FFD3AF86"/>
        <rFont val="Consolas"/>
        <family val="3"/>
      </rPr>
      <t>[</t>
    </r>
    <r>
      <rPr>
        <sz val="8"/>
        <color rgb="FFDC3958"/>
        <rFont val="Consolas"/>
        <family val="3"/>
      </rPr>
      <t>col</t>
    </r>
    <r>
      <rPr>
        <sz val="8"/>
        <color rgb="FFD3AF86"/>
        <rFont val="Consolas"/>
        <family val="3"/>
      </rPr>
      <t xml:space="preserve">] = </t>
    </r>
    <r>
      <rPr>
        <sz val="8"/>
        <color rgb="FFDC3958"/>
        <rFont val="Consolas"/>
        <family val="3"/>
      </rPr>
      <t>df</t>
    </r>
    <r>
      <rPr>
        <sz val="8"/>
        <color rgb="FFD3AF86"/>
        <rFont val="Consolas"/>
        <family val="3"/>
      </rPr>
      <t>[</t>
    </r>
    <r>
      <rPr>
        <sz val="8"/>
        <color rgb="FFDC3958"/>
        <rFont val="Consolas"/>
        <family val="3"/>
      </rPr>
      <t>col</t>
    </r>
    <r>
      <rPr>
        <sz val="8"/>
        <color rgb="FFD3AF86"/>
        <rFont val="Consolas"/>
        <family val="3"/>
      </rPr>
      <t>].</t>
    </r>
    <r>
      <rPr>
        <sz val="8"/>
        <color rgb="FF8AB1B0"/>
        <rFont val="Consolas"/>
        <family val="3"/>
      </rPr>
      <t>astype</t>
    </r>
    <r>
      <rPr>
        <sz val="8"/>
        <color rgb="FFD3AF86"/>
        <rFont val="Consolas"/>
        <family val="3"/>
      </rPr>
      <t>(</t>
    </r>
    <r>
      <rPr>
        <sz val="8"/>
        <color rgb="FFF06431"/>
        <rFont val="Consolas"/>
        <family val="3"/>
      </rPr>
      <t>str</t>
    </r>
    <r>
      <rPr>
        <sz val="8"/>
        <color rgb="FFD3AF86"/>
        <rFont val="Consolas"/>
        <family val="3"/>
      </rPr>
      <t>).</t>
    </r>
    <r>
      <rPr>
        <sz val="8"/>
        <color rgb="FFDC3958"/>
        <rFont val="Consolas"/>
        <family val="3"/>
      </rPr>
      <t>str</t>
    </r>
    <r>
      <rPr>
        <sz val="8"/>
        <color rgb="FFD3AF86"/>
        <rFont val="Consolas"/>
        <family val="3"/>
      </rPr>
      <t>.</t>
    </r>
    <r>
      <rPr>
        <sz val="8"/>
        <color rgb="FF8AB1B0"/>
        <rFont val="Consolas"/>
        <family val="3"/>
      </rPr>
      <t>replace</t>
    </r>
    <r>
      <rPr>
        <sz val="8"/>
        <color rgb="FFD3AF86"/>
        <rFont val="Consolas"/>
        <family val="3"/>
      </rPr>
      <t>('</t>
    </r>
    <r>
      <rPr>
        <sz val="8"/>
        <color rgb="FF889B4A"/>
        <rFont val="Consolas"/>
        <family val="3"/>
      </rPr>
      <t>,</t>
    </r>
    <r>
      <rPr>
        <sz val="8"/>
        <color rgb="FFD3AF86"/>
        <rFont val="Consolas"/>
        <family val="3"/>
      </rPr>
      <t>', '').</t>
    </r>
    <r>
      <rPr>
        <sz val="8"/>
        <color rgb="FFDC3958"/>
        <rFont val="Consolas"/>
        <family val="3"/>
      </rPr>
      <t>str</t>
    </r>
    <r>
      <rPr>
        <sz val="8"/>
        <color rgb="FFD3AF86"/>
        <rFont val="Consolas"/>
        <family val="3"/>
      </rPr>
      <t>.</t>
    </r>
    <r>
      <rPr>
        <sz val="8"/>
        <color rgb="FF8AB1B0"/>
        <rFont val="Consolas"/>
        <family val="3"/>
      </rPr>
      <t>strip</t>
    </r>
    <r>
      <rPr>
        <sz val="8"/>
        <color rgb="FFD3AF86"/>
        <rFont val="Consolas"/>
        <family val="3"/>
      </rPr>
      <t>()</t>
    </r>
  </si>
  <si>
    <r>
      <t xml:space="preserve">            </t>
    </r>
    <r>
      <rPr>
        <sz val="8"/>
        <color rgb="FFDC3958"/>
        <rFont val="Consolas"/>
        <family val="3"/>
      </rPr>
      <t>df</t>
    </r>
    <r>
      <rPr>
        <sz val="8"/>
        <color rgb="FFD3AF86"/>
        <rFont val="Consolas"/>
        <family val="3"/>
      </rPr>
      <t>[</t>
    </r>
    <r>
      <rPr>
        <sz val="8"/>
        <color rgb="FFDC3958"/>
        <rFont val="Consolas"/>
        <family val="3"/>
      </rPr>
      <t>col</t>
    </r>
    <r>
      <rPr>
        <sz val="8"/>
        <color rgb="FFD3AF86"/>
        <rFont val="Consolas"/>
        <family val="3"/>
      </rPr>
      <t xml:space="preserve">] = </t>
    </r>
    <r>
      <rPr>
        <sz val="8"/>
        <color rgb="FFF06431"/>
        <rFont val="Consolas"/>
        <family val="3"/>
      </rPr>
      <t>pd</t>
    </r>
    <r>
      <rPr>
        <sz val="8"/>
        <color rgb="FFD3AF86"/>
        <rFont val="Consolas"/>
        <family val="3"/>
      </rPr>
      <t>.</t>
    </r>
    <r>
      <rPr>
        <sz val="8"/>
        <color rgb="FF8AB1B0"/>
        <rFont val="Consolas"/>
        <family val="3"/>
      </rPr>
      <t>to_numeric</t>
    </r>
    <r>
      <rPr>
        <sz val="8"/>
        <color rgb="FFD3AF86"/>
        <rFont val="Consolas"/>
        <family val="3"/>
      </rPr>
      <t>(</t>
    </r>
    <r>
      <rPr>
        <sz val="8"/>
        <color rgb="FFDC3958"/>
        <rFont val="Consolas"/>
        <family val="3"/>
      </rPr>
      <t>df</t>
    </r>
    <r>
      <rPr>
        <sz val="8"/>
        <color rgb="FFD3AF86"/>
        <rFont val="Consolas"/>
        <family val="3"/>
      </rPr>
      <t>[</t>
    </r>
    <r>
      <rPr>
        <sz val="8"/>
        <color rgb="FFDC3958"/>
        <rFont val="Consolas"/>
        <family val="3"/>
      </rPr>
      <t>col</t>
    </r>
    <r>
      <rPr>
        <sz val="8"/>
        <color rgb="FFD3AF86"/>
        <rFont val="Consolas"/>
        <family val="3"/>
      </rPr>
      <t xml:space="preserve">], </t>
    </r>
    <r>
      <rPr>
        <sz val="8"/>
        <color rgb="FFDC3958"/>
        <rFont val="Consolas"/>
        <family val="3"/>
      </rPr>
      <t>errors</t>
    </r>
    <r>
      <rPr>
        <sz val="8"/>
        <color rgb="FFD3AF86"/>
        <rFont val="Consolas"/>
        <family val="3"/>
      </rPr>
      <t>='</t>
    </r>
    <r>
      <rPr>
        <sz val="8"/>
        <color rgb="FF889B4A"/>
        <rFont val="Consolas"/>
        <family val="3"/>
      </rPr>
      <t>coerce</t>
    </r>
    <r>
      <rPr>
        <sz val="8"/>
        <color rgb="FFD3AF86"/>
        <rFont val="Consolas"/>
        <family val="3"/>
      </rPr>
      <t>')</t>
    </r>
  </si>
  <si>
    <r>
      <t xml:space="preserve">    </t>
    </r>
    <r>
      <rPr>
        <sz val="8"/>
        <color rgb="FFA57A4C"/>
        <rFont val="Consolas"/>
        <family val="3"/>
      </rPr>
      <t># --- INPUT TEXT KE BILKUL BARABAR RIGHT MEIN DATE ---</t>
    </r>
  </si>
  <si>
    <r>
      <t xml:space="preserve">    </t>
    </r>
    <r>
      <rPr>
        <sz val="8"/>
        <color rgb="FFF06431"/>
        <rFont val="Consolas"/>
        <family val="3"/>
      </rPr>
      <t>st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markdown</t>
    </r>
    <r>
      <rPr>
        <sz val="8"/>
        <color rgb="FFD3AF86"/>
        <rFont val="Consolas"/>
        <family val="3"/>
      </rPr>
      <t>(</t>
    </r>
  </si>
  <si>
    <r>
      <t xml:space="preserve">        </t>
    </r>
    <r>
      <rPr>
        <sz val="8"/>
        <color rgb="FF98676A"/>
        <rFont val="Consolas"/>
        <family val="3"/>
      </rPr>
      <t>f</t>
    </r>
    <r>
      <rPr>
        <sz val="8"/>
        <color rgb="FF889B4A"/>
        <rFont val="Consolas"/>
        <family val="3"/>
      </rPr>
      <t>"""</t>
    </r>
  </si>
  <si>
    <t>        &lt;div style='display: flex; justify-content: space-between; align-items: flex-end; margin-bottom: 8px;'&gt;</t>
  </si>
  <si>
    <t>            &lt;label style='font-weight: 500; font-size: 16px; color: inherit; font-family: inherit;'&gt;</t>
  </si>
  <si>
    <t>                Mobile Number Enter Karein:</t>
  </si>
  <si>
    <t>            &lt;/label&gt;</t>
  </si>
  <si>
    <t>            &lt;div style='font-weight: bold; color: #1f77b4; font-size: 16px;'&gt;</t>
  </si>
  <si>
    <t>        &lt;/div&gt;</t>
  </si>
  <si>
    <r>
      <t>        """</t>
    </r>
    <r>
      <rPr>
        <sz val="8"/>
        <color rgb="FFD3AF86"/>
        <rFont val="Consolas"/>
        <family val="3"/>
      </rPr>
      <t xml:space="preserve">, </t>
    </r>
  </si>
  <si>
    <r>
      <t xml:space="preserve">        </t>
    </r>
    <r>
      <rPr>
        <sz val="8"/>
        <color rgb="FFDC3958"/>
        <rFont val="Consolas"/>
        <family val="3"/>
      </rPr>
      <t>unsafe_allow_html</t>
    </r>
    <r>
      <rPr>
        <sz val="8"/>
        <color rgb="FFD3AF86"/>
        <rFont val="Consolas"/>
        <family val="3"/>
      </rPr>
      <t>=</t>
    </r>
    <r>
      <rPr>
        <sz val="8"/>
        <color rgb="FFF79A32"/>
        <rFont val="Consolas"/>
        <family val="3"/>
      </rPr>
      <t>True</t>
    </r>
  </si>
  <si>
    <t>    )</t>
  </si>
  <si>
    <r>
      <t xml:space="preserve">    </t>
    </r>
    <r>
      <rPr>
        <sz val="8"/>
        <color rgb="FFDC3958"/>
        <rFont val="Consolas"/>
        <family val="3"/>
      </rPr>
      <t>val</t>
    </r>
    <r>
      <rPr>
        <sz val="8"/>
        <color rgb="FFD3AF86"/>
        <rFont val="Consolas"/>
        <family val="3"/>
      </rPr>
      <t xml:space="preserve"> = </t>
    </r>
    <r>
      <rPr>
        <sz val="8"/>
        <color rgb="FFF06431"/>
        <rFont val="Consolas"/>
        <family val="3"/>
      </rPr>
      <t>st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text_input</t>
    </r>
    <r>
      <rPr>
        <sz val="8"/>
        <color rgb="FFD3AF86"/>
        <rFont val="Consolas"/>
        <family val="3"/>
      </rPr>
      <t>("</t>
    </r>
    <r>
      <rPr>
        <sz val="8"/>
        <color rgb="FF889B4A"/>
        <rFont val="Consolas"/>
        <family val="3"/>
      </rPr>
      <t>Mobile Number Enter Karein:</t>
    </r>
    <r>
      <rPr>
        <sz val="8"/>
        <color rgb="FFD3AF86"/>
        <rFont val="Consolas"/>
        <family val="3"/>
      </rPr>
      <t xml:space="preserve">", </t>
    </r>
    <r>
      <rPr>
        <sz val="8"/>
        <color rgb="FFDC3958"/>
        <rFont val="Consolas"/>
        <family val="3"/>
      </rPr>
      <t>label_visibility</t>
    </r>
    <r>
      <rPr>
        <sz val="8"/>
        <color rgb="FFD3AF86"/>
        <rFont val="Consolas"/>
        <family val="3"/>
      </rPr>
      <t>="</t>
    </r>
    <r>
      <rPr>
        <sz val="8"/>
        <color rgb="FF889B4A"/>
        <rFont val="Consolas"/>
        <family val="3"/>
      </rPr>
      <t>collapsed</t>
    </r>
    <r>
      <rPr>
        <sz val="8"/>
        <color rgb="FFD3AF86"/>
        <rFont val="Consolas"/>
        <family val="3"/>
      </rPr>
      <t>")</t>
    </r>
  </si>
  <si>
    <r>
      <t xml:space="preserve">                        </t>
    </r>
    <r>
      <rPr>
        <sz val="8"/>
        <color rgb="FFDC3958"/>
        <rFont val="Consolas"/>
        <family val="3"/>
      </rPr>
      <t>sums</t>
    </r>
    <r>
      <rPr>
        <sz val="8"/>
        <color rgb="FFD3AF86"/>
        <rFont val="Consolas"/>
        <family val="3"/>
      </rPr>
      <t>[</t>
    </r>
    <r>
      <rPr>
        <sz val="8"/>
        <color rgb="FFDC3958"/>
        <rFont val="Consolas"/>
        <family val="3"/>
      </rPr>
      <t>col</t>
    </r>
    <r>
      <rPr>
        <sz val="8"/>
        <color rgb="FFD3AF86"/>
        <rFont val="Consolas"/>
        <family val="3"/>
      </rPr>
      <t xml:space="preserve">] = </t>
    </r>
    <r>
      <rPr>
        <sz val="8"/>
        <color rgb="FFDC3958"/>
        <rFont val="Consolas"/>
        <family val="3"/>
      </rPr>
      <t>res</t>
    </r>
    <r>
      <rPr>
        <sz val="8"/>
        <color rgb="FFD3AF86"/>
        <rFont val="Consolas"/>
        <family val="3"/>
      </rPr>
      <t>[</t>
    </r>
    <r>
      <rPr>
        <sz val="8"/>
        <color rgb="FFDC3958"/>
        <rFont val="Consolas"/>
        <family val="3"/>
      </rPr>
      <t>col</t>
    </r>
    <r>
      <rPr>
        <sz val="8"/>
        <color rgb="FFD3AF86"/>
        <rFont val="Consolas"/>
        <family val="3"/>
      </rPr>
      <t>].</t>
    </r>
    <r>
      <rPr>
        <sz val="8"/>
        <color rgb="FF8AB1B0"/>
        <rFont val="Consolas"/>
        <family val="3"/>
      </rPr>
      <t>sum</t>
    </r>
    <r>
      <rPr>
        <sz val="8"/>
        <color rgb="FFD3AF86"/>
        <rFont val="Consolas"/>
        <family val="3"/>
      </rPr>
      <t>()</t>
    </r>
  </si>
  <si>
    <r>
      <t xml:space="preserve">                    </t>
    </r>
    <r>
      <rPr>
        <sz val="8"/>
        <color rgb="FFDC3958"/>
        <rFont val="Consolas"/>
        <family val="3"/>
      </rPr>
      <t>total_amount</t>
    </r>
    <r>
      <rPr>
        <sz val="8"/>
        <color rgb="FFD3AF86"/>
        <rFont val="Consolas"/>
        <family val="3"/>
      </rPr>
      <t xml:space="preserve"> = </t>
    </r>
    <r>
      <rPr>
        <sz val="8"/>
        <color rgb="FFDC3958"/>
        <rFont val="Consolas"/>
        <family val="3"/>
      </rPr>
      <t>res</t>
    </r>
    <r>
      <rPr>
        <sz val="8"/>
        <color rgb="FFD3AF86"/>
        <rFont val="Consolas"/>
        <family val="3"/>
      </rPr>
      <t>['</t>
    </r>
    <r>
      <rPr>
        <sz val="8"/>
        <color rgb="FF889B4A"/>
        <rFont val="Consolas"/>
        <family val="3"/>
      </rPr>
      <t>Total</t>
    </r>
    <r>
      <rPr>
        <sz val="8"/>
        <color rgb="FFD3AF86"/>
        <rFont val="Consolas"/>
        <family val="3"/>
      </rPr>
      <t>'].</t>
    </r>
    <r>
      <rPr>
        <sz val="8"/>
        <color rgb="FF8AB1B0"/>
        <rFont val="Consolas"/>
        <family val="3"/>
      </rPr>
      <t>sum</t>
    </r>
    <r>
      <rPr>
        <sz val="8"/>
        <color rgb="FFD3AF86"/>
        <rFont val="Consolas"/>
        <family val="3"/>
      </rPr>
      <t>()</t>
    </r>
  </si>
  <si>
    <r>
      <t xml:space="preserve">                </t>
    </r>
    <r>
      <rPr>
        <sz val="8"/>
        <color rgb="FFA57A4C"/>
        <rFont val="Consolas"/>
        <family val="3"/>
      </rPr>
      <t># Khali rows ya 0 ko blank karna taaki table saaf dikhe</t>
    </r>
  </si>
  <si>
    <r>
      <t xml:space="preserve">                </t>
    </r>
    <r>
      <rPr>
        <sz val="8"/>
        <color rgb="FFDC3958"/>
        <rFont val="Consolas"/>
        <family val="3"/>
      </rPr>
      <t>final</t>
    </r>
    <r>
      <rPr>
        <sz val="8"/>
        <color rgb="FFD3AF86"/>
        <rFont val="Consolas"/>
        <family val="3"/>
      </rPr>
      <t xml:space="preserve"> = </t>
    </r>
    <r>
      <rPr>
        <sz val="8"/>
        <color rgb="FFDC3958"/>
        <rFont val="Consolas"/>
        <family val="3"/>
      </rPr>
      <t>final</t>
    </r>
    <r>
      <rPr>
        <sz val="8"/>
        <color rgb="FFD3AF86"/>
        <rFont val="Consolas"/>
        <family val="3"/>
      </rPr>
      <t>.</t>
    </r>
    <r>
      <rPr>
        <sz val="8"/>
        <color rgb="FF8AB1B0"/>
        <rFont val="Consolas"/>
        <family val="3"/>
      </rPr>
      <t>replace</t>
    </r>
    <r>
      <rPr>
        <sz val="8"/>
        <color rgb="FFD3AF86"/>
        <rFont val="Consolas"/>
        <family val="3"/>
      </rPr>
      <t>({</t>
    </r>
    <r>
      <rPr>
        <sz val="8"/>
        <color rgb="FFF79A32"/>
        <rFont val="Consolas"/>
        <family val="3"/>
      </rPr>
      <t>0</t>
    </r>
    <r>
      <rPr>
        <sz val="8"/>
        <color rgb="FFD3AF86"/>
        <rFont val="Consolas"/>
        <family val="3"/>
      </rPr>
      <t xml:space="preserve">: '', </t>
    </r>
    <r>
      <rPr>
        <sz val="8"/>
        <color rgb="FFF79A32"/>
        <rFont val="Consolas"/>
        <family val="3"/>
      </rPr>
      <t>0.0</t>
    </r>
    <r>
      <rPr>
        <sz val="8"/>
        <color rgb="FFD3AF86"/>
        <rFont val="Consolas"/>
        <family val="3"/>
      </rPr>
      <t>: ''})</t>
    </r>
  </si>
  <si>
    <r>
      <t xml:space="preserve">                </t>
    </r>
    <r>
      <rPr>
        <sz val="8"/>
        <color rgb="FFA57A4C"/>
        <rFont val="Consolas"/>
        <family val="3"/>
      </rPr>
      <t># --- FIXED: Yahan se phone column ko table me show hone se hata diya gaya hai ---</t>
    </r>
  </si>
  <si>
    <r>
      <t xml:space="preserve">                </t>
    </r>
    <r>
      <rPr>
        <sz val="8"/>
        <color rgb="FF98676A"/>
        <rFont val="Consolas"/>
        <family val="3"/>
      </rPr>
      <t>if</t>
    </r>
    <r>
      <rPr>
        <sz val="8"/>
        <color rgb="FFD3AF86"/>
        <rFont val="Consolas"/>
        <family val="3"/>
      </rPr>
      <t xml:space="preserve"> '</t>
    </r>
    <r>
      <rPr>
        <sz val="8"/>
        <color rgb="FF889B4A"/>
        <rFont val="Consolas"/>
        <family val="3"/>
      </rPr>
      <t>phone</t>
    </r>
    <r>
      <rPr>
        <sz val="8"/>
        <color rgb="FFD3AF86"/>
        <rFont val="Consolas"/>
        <family val="3"/>
      </rPr>
      <t xml:space="preserve">' </t>
    </r>
    <r>
      <rPr>
        <sz val="8"/>
        <color rgb="FF7E602C"/>
        <rFont val="Consolas"/>
        <family val="3"/>
      </rPr>
      <t>in</t>
    </r>
    <r>
      <rPr>
        <sz val="8"/>
        <color rgb="FFD3AF86"/>
        <rFont val="Consolas"/>
        <family val="3"/>
      </rPr>
      <t xml:space="preserve"> </t>
    </r>
    <r>
      <rPr>
        <sz val="8"/>
        <color rgb="FFDC3958"/>
        <rFont val="Consolas"/>
        <family val="3"/>
      </rPr>
      <t>final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columns</t>
    </r>
    <r>
      <rPr>
        <sz val="8"/>
        <color rgb="FFD3AF86"/>
        <rFont val="Consolas"/>
        <family val="3"/>
      </rPr>
      <t>:</t>
    </r>
  </si>
  <si>
    <r>
      <t xml:space="preserve">                    </t>
    </r>
    <r>
      <rPr>
        <sz val="8"/>
        <color rgb="FFDC3958"/>
        <rFont val="Consolas"/>
        <family val="3"/>
      </rPr>
      <t>final</t>
    </r>
    <r>
      <rPr>
        <sz val="8"/>
        <color rgb="FFD3AF86"/>
        <rFont val="Consolas"/>
        <family val="3"/>
      </rPr>
      <t xml:space="preserve"> = </t>
    </r>
    <r>
      <rPr>
        <sz val="8"/>
        <color rgb="FFDC3958"/>
        <rFont val="Consolas"/>
        <family val="3"/>
      </rPr>
      <t>final</t>
    </r>
    <r>
      <rPr>
        <sz val="8"/>
        <color rgb="FFD3AF86"/>
        <rFont val="Consolas"/>
        <family val="3"/>
      </rPr>
      <t>.</t>
    </r>
    <r>
      <rPr>
        <sz val="8"/>
        <color rgb="FF8AB1B0"/>
        <rFont val="Consolas"/>
        <family val="3"/>
      </rPr>
      <t>drop</t>
    </r>
    <r>
      <rPr>
        <sz val="8"/>
        <color rgb="FFD3AF86"/>
        <rFont val="Consolas"/>
        <family val="3"/>
      </rPr>
      <t>(</t>
    </r>
    <r>
      <rPr>
        <sz val="8"/>
        <color rgb="FFDC3958"/>
        <rFont val="Consolas"/>
        <family val="3"/>
      </rPr>
      <t>columns</t>
    </r>
    <r>
      <rPr>
        <sz val="8"/>
        <color rgb="FFD3AF86"/>
        <rFont val="Consolas"/>
        <family val="3"/>
      </rPr>
      <t>=['</t>
    </r>
    <r>
      <rPr>
        <sz val="8"/>
        <color rgb="FF889B4A"/>
        <rFont val="Consolas"/>
        <family val="3"/>
      </rPr>
      <t>phone</t>
    </r>
    <r>
      <rPr>
        <sz val="8"/>
        <color rgb="FFD3AF86"/>
        <rFont val="Consolas"/>
        <family val="3"/>
      </rPr>
      <t>'])</t>
    </r>
  </si>
  <si>
    <r>
      <t xml:space="preserve">                </t>
    </r>
    <r>
      <rPr>
        <sz val="8"/>
        <color rgb="FFA57A4C"/>
        <rFont val="Consolas"/>
        <family val="3"/>
      </rPr>
      <t># Table ko bina .000000 ke aur bina phone number ke screen par dikhana</t>
    </r>
  </si>
  <si>
    <r>
      <t xml:space="preserve">                </t>
    </r>
    <r>
      <rPr>
        <sz val="8"/>
        <color rgb="FFDC3958"/>
        <rFont val="Consolas"/>
        <family val="3"/>
      </rPr>
      <t>styled_final</t>
    </r>
    <r>
      <rPr>
        <sz val="8"/>
        <color rgb="FFD3AF86"/>
        <rFont val="Consolas"/>
        <family val="3"/>
      </rPr>
      <t xml:space="preserve"> = </t>
    </r>
    <r>
      <rPr>
        <sz val="8"/>
        <color rgb="FFDC3958"/>
        <rFont val="Consolas"/>
        <family val="3"/>
      </rPr>
      <t>final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style</t>
    </r>
    <r>
      <rPr>
        <sz val="8"/>
        <color rgb="FFD3AF86"/>
        <rFont val="Consolas"/>
        <family val="3"/>
      </rPr>
      <t>.</t>
    </r>
    <r>
      <rPr>
        <sz val="8"/>
        <color rgb="FF8AB1B0"/>
        <rFont val="Consolas"/>
        <family val="3"/>
      </rPr>
      <t>apply</t>
    </r>
    <r>
      <rPr>
        <sz val="8"/>
        <color rgb="FFD3AF86"/>
        <rFont val="Consolas"/>
        <family val="3"/>
      </rPr>
      <t>(</t>
    </r>
    <r>
      <rPr>
        <sz val="8"/>
        <color rgb="FF8AB1B0"/>
        <rFont val="Consolas"/>
        <family val="3"/>
      </rPr>
      <t>highlight_total_row</t>
    </r>
    <r>
      <rPr>
        <sz val="8"/>
        <color rgb="FFD3AF86"/>
        <rFont val="Consolas"/>
        <family val="3"/>
      </rPr>
      <t xml:space="preserve">, </t>
    </r>
    <r>
      <rPr>
        <sz val="8"/>
        <color rgb="FFDC3958"/>
        <rFont val="Consolas"/>
        <family val="3"/>
      </rPr>
      <t>axis</t>
    </r>
    <r>
      <rPr>
        <sz val="8"/>
        <color rgb="FFD3AF86"/>
        <rFont val="Consolas"/>
        <family val="3"/>
      </rPr>
      <t>=</t>
    </r>
    <r>
      <rPr>
        <sz val="8"/>
        <color rgb="FFF79A32"/>
        <rFont val="Consolas"/>
        <family val="3"/>
      </rPr>
      <t>1</t>
    </r>
    <r>
      <rPr>
        <sz val="8"/>
        <color rgb="FFD3AF86"/>
        <rFont val="Consolas"/>
        <family val="3"/>
      </rPr>
      <t>).</t>
    </r>
    <r>
      <rPr>
        <sz val="8"/>
        <color rgb="FF8AB1B0"/>
        <rFont val="Consolas"/>
        <family val="3"/>
      </rPr>
      <t>format</t>
    </r>
    <r>
      <rPr>
        <sz val="8"/>
        <color rgb="FFD3AF86"/>
        <rFont val="Consolas"/>
        <family val="3"/>
      </rPr>
      <t>(</t>
    </r>
    <r>
      <rPr>
        <sz val="8"/>
        <color rgb="FFDC3958"/>
        <rFont val="Consolas"/>
        <family val="3"/>
      </rPr>
      <t>precision</t>
    </r>
    <r>
      <rPr>
        <sz val="8"/>
        <color rgb="FFD3AF86"/>
        <rFont val="Consolas"/>
        <family val="3"/>
      </rPr>
      <t>=</t>
    </r>
    <r>
      <rPr>
        <sz val="8"/>
        <color rgb="FFF79A32"/>
        <rFont val="Consolas"/>
        <family val="3"/>
      </rPr>
      <t>0</t>
    </r>
    <r>
      <rPr>
        <sz val="8"/>
        <color rgb="FFD3AF86"/>
        <rFont val="Consolas"/>
        <family val="3"/>
      </rPr>
      <t xml:space="preserve">, </t>
    </r>
    <r>
      <rPr>
        <sz val="8"/>
        <color rgb="FFDC3958"/>
        <rFont val="Consolas"/>
        <family val="3"/>
      </rPr>
      <t>na_rep</t>
    </r>
    <r>
      <rPr>
        <sz val="8"/>
        <color rgb="FFD3AF86"/>
        <rFont val="Consolas"/>
        <family val="3"/>
      </rPr>
      <t>="")</t>
    </r>
  </si>
  <si>
    <r>
      <t xml:space="preserve">                List Date: </t>
    </r>
    <r>
      <rPr>
        <sz val="8"/>
        <color rgb="FFF79A32"/>
        <rFont val="Consolas"/>
        <family val="3"/>
      </rPr>
      <t>{</t>
    </r>
    <r>
      <rPr>
        <sz val="8"/>
        <color rgb="FFDC3958"/>
        <rFont val="Consolas"/>
        <family val="3"/>
      </rPr>
      <t>file_date</t>
    </r>
    <r>
      <rPr>
        <sz val="8"/>
        <color rgb="FFF79A32"/>
        <rFont val="Consolas"/>
        <family val="3"/>
      </rPr>
      <t>}</t>
    </r>
  </si>
  <si>
    <r>
      <t xml:space="preserve">                </t>
    </r>
    <r>
      <rPr>
        <sz val="8"/>
        <color rgb="FFA57A4C"/>
        <rFont val="Consolas"/>
        <family val="3"/>
      </rPr>
      <t># --- FIXED: Yahan se total_amount se .00 hata diya gaya hai ---</t>
    </r>
  </si>
  <si>
    <r>
      <t xml:space="preserve">                </t>
    </r>
    <r>
      <rPr>
        <sz val="8"/>
        <color rgb="FFF06431"/>
        <rFont val="Consolas"/>
        <family val="3"/>
      </rPr>
      <t>st</t>
    </r>
    <r>
      <rPr>
        <sz val="8"/>
        <color rgb="FFD3AF86"/>
        <rFont val="Consolas"/>
        <family val="3"/>
      </rPr>
      <t>.</t>
    </r>
    <r>
      <rPr>
        <sz val="8"/>
        <color rgb="FFDC3958"/>
        <rFont val="Consolas"/>
        <family val="3"/>
      </rPr>
      <t>success</t>
    </r>
    <r>
      <rPr>
        <sz val="8"/>
        <color rgb="FFD3AF86"/>
        <rFont val="Consolas"/>
        <family val="3"/>
      </rPr>
      <t>(</t>
    </r>
    <r>
      <rPr>
        <sz val="8"/>
        <color rgb="FF98676A"/>
        <rFont val="Consolas"/>
        <family val="3"/>
      </rPr>
      <t>f</t>
    </r>
    <r>
      <rPr>
        <sz val="8"/>
        <color rgb="FF889B4A"/>
        <rFont val="Consolas"/>
        <family val="3"/>
      </rPr>
      <t xml:space="preserve">"✅ </t>
    </r>
    <r>
      <rPr>
        <sz val="8"/>
        <color rgb="FFF79A32"/>
        <rFont val="Consolas"/>
        <family val="3"/>
      </rPr>
      <t>{</t>
    </r>
    <r>
      <rPr>
        <sz val="8"/>
        <color rgb="FF7E602C"/>
        <rFont val="Consolas"/>
        <family val="3"/>
      </rPr>
      <t>len</t>
    </r>
    <r>
      <rPr>
        <sz val="8"/>
        <color rgb="FFD3AF86"/>
        <rFont val="Consolas"/>
        <family val="3"/>
      </rPr>
      <t>(</t>
    </r>
    <r>
      <rPr>
        <sz val="8"/>
        <color rgb="FFDC3958"/>
        <rFont val="Consolas"/>
        <family val="3"/>
      </rPr>
      <t>res</t>
    </r>
    <r>
      <rPr>
        <sz val="8"/>
        <color rgb="FFD3AF86"/>
        <rFont val="Consolas"/>
        <family val="3"/>
      </rPr>
      <t>)</t>
    </r>
    <r>
      <rPr>
        <sz val="8"/>
        <color rgb="FFF79A32"/>
        <rFont val="Consolas"/>
        <family val="3"/>
      </rPr>
      <t>}</t>
    </r>
    <r>
      <rPr>
        <sz val="8"/>
        <color rgb="FF889B4A"/>
        <rFont val="Consolas"/>
        <family val="3"/>
      </rPr>
      <t xml:space="preserve"> records mile | 💰 Total Amount: ₹</t>
    </r>
    <r>
      <rPr>
        <sz val="8"/>
        <color rgb="FFF79A32"/>
        <rFont val="Consolas"/>
        <family val="3"/>
      </rPr>
      <t>{</t>
    </r>
    <r>
      <rPr>
        <sz val="8"/>
        <color rgb="FFF06431"/>
        <rFont val="Consolas"/>
        <family val="3"/>
      </rPr>
      <t>int</t>
    </r>
    <r>
      <rPr>
        <sz val="8"/>
        <color rgb="FFD3AF86"/>
        <rFont val="Consolas"/>
        <family val="3"/>
      </rPr>
      <t>(</t>
    </r>
    <r>
      <rPr>
        <sz val="8"/>
        <color rgb="FFDC3958"/>
        <rFont val="Consolas"/>
        <family val="3"/>
      </rPr>
      <t>total_amount</t>
    </r>
    <r>
      <rPr>
        <sz val="8"/>
        <color rgb="FFD3AF86"/>
        <rFont val="Consolas"/>
        <family val="3"/>
      </rPr>
      <t>)</t>
    </r>
    <r>
      <rPr>
        <sz val="8"/>
        <color rgb="FF98676A"/>
        <rFont val="Consolas"/>
        <family val="3"/>
      </rPr>
      <t>:,d</t>
    </r>
    <r>
      <rPr>
        <sz val="8"/>
        <color rgb="FFF79A32"/>
        <rFont val="Consolas"/>
        <family val="3"/>
      </rPr>
      <t>}</t>
    </r>
    <r>
      <rPr>
        <sz val="8"/>
        <color rgb="FF889B4A"/>
        <rFont val="Consolas"/>
        <family val="3"/>
      </rPr>
      <t>"</t>
    </r>
    <r>
      <rPr>
        <sz val="8"/>
        <color rgb="FFD3AF86"/>
        <rFont val="Consolas"/>
        <family val="3"/>
      </rPr>
      <t>)</t>
    </r>
  </si>
  <si>
    <r>
      <t xml:space="preserve">                </t>
    </r>
    <r>
      <rPr>
        <sz val="8"/>
        <color rgb="FFA57A4C"/>
        <rFont val="Consolas"/>
        <family val="3"/>
      </rPr>
      <t># Table se phone column ko show hone se hatana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</si>
</sst>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* &quot;-&quot;_);_(@_)"/>
    <numFmt numFmtId="165" formatCode="_(* #,##0.00_);_(* \(#,##0.00\);_(* &quot;-&quot;??_);_(@_)"/>
    <numFmt numFmtId="166" formatCode="d\-m\-yy;@"/>
    <numFmt numFmtId="167" formatCode="#,##0;[Red]#,##0"/>
    <numFmt numFmtId="168" formatCode="dd/mm/yy;@"/>
  </numFmts>
  <fonts count="4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DevLys 010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Calibri"/>
      <family val="2"/>
    </font>
    <font>
      <i/>
      <sz val="10"/>
      <name val="Cambria"/>
      <family val="1"/>
      <scheme val="major"/>
    </font>
    <font>
      <sz val="10"/>
      <color rgb="FFFF0000"/>
      <name val="Arial"/>
      <family val="2"/>
    </font>
    <font>
      <i/>
      <sz val="10"/>
      <color rgb="FFFF0000"/>
      <name val="Arial"/>
      <family val="2"/>
    </font>
    <font>
      <i/>
      <sz val="8"/>
      <color rgb="FF000000"/>
      <name val="Arial"/>
      <family val="2"/>
    </font>
    <font>
      <sz val="9"/>
      <color rgb="FFFF0000"/>
      <name val="Calibri"/>
      <family val="2"/>
    </font>
    <font>
      <sz val="9"/>
      <color rgb="FF4315C5"/>
      <name val="Calibri"/>
      <family val="2"/>
    </font>
    <font>
      <sz val="11"/>
      <color rgb="FF4315C5"/>
      <name val="Calibri"/>
      <family val="2"/>
      <scheme val="minor"/>
    </font>
    <font>
      <sz val="9"/>
      <color rgb="FF4315C5"/>
      <name val="Calibri"/>
      <family val="2"/>
      <scheme val="minor"/>
    </font>
    <font>
      <sz val="9"/>
      <color rgb="FFFC14BF"/>
      <name val="Calibri"/>
      <family val="2"/>
    </font>
    <font>
      <sz val="11"/>
      <color rgb="FFFC14BF"/>
      <name val="Calibri"/>
      <family val="2"/>
      <scheme val="minor"/>
    </font>
    <font>
      <sz val="9"/>
      <color rgb="FFFC14BF"/>
      <name val="Calibri"/>
      <family val="2"/>
      <scheme val="minor"/>
    </font>
    <font>
      <sz val="10"/>
      <color indexed="10"/>
      <name val="Calibri"/>
      <family val="2"/>
    </font>
    <font>
      <sz val="8"/>
      <color indexed="8"/>
      <name val="Calibri"/>
      <family val="2"/>
    </font>
    <font>
      <sz val="11"/>
      <color indexed="12"/>
      <name val="Calibri"/>
      <family val="2"/>
    </font>
    <font>
      <sz val="9"/>
      <color indexed="10"/>
      <name val="Calibri"/>
      <family val="2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0"/>
      <color indexed="25"/>
      <name val="Calibri"/>
      <family val="2"/>
    </font>
    <font>
      <sz val="10"/>
      <color indexed="10"/>
      <name val="Arial"/>
      <family val="2"/>
    </font>
    <font>
      <sz val="9"/>
      <color indexed="8"/>
      <name val="Arial"/>
      <family val="2"/>
    </font>
    <font>
      <sz val="9"/>
      <color indexed="14"/>
      <name val="Arial"/>
      <family val="2"/>
    </font>
    <font>
      <sz val="10"/>
      <color indexed="9"/>
      <name val="Calibri"/>
      <family val="2"/>
    </font>
    <font>
      <u/>
      <sz val="11"/>
      <color theme="10"/>
      <name val="Calibri"/>
      <family val="2"/>
    </font>
    <font>
      <sz val="9"/>
      <color rgb="FF1E02F0"/>
      <name val="Calibri"/>
      <family val="2"/>
    </font>
    <font>
      <sz val="11"/>
      <color rgb="FF1E02F0"/>
      <name val="Calibri"/>
      <family val="2"/>
      <scheme val="minor"/>
    </font>
    <font>
      <sz val="8"/>
      <color rgb="FF1E02F0"/>
      <name val="Calibri"/>
      <family val="2"/>
      <scheme val="minor"/>
    </font>
    <font>
      <sz val="8"/>
      <color rgb="FFD3AF86"/>
      <name val="Consolas"/>
      <family val="3"/>
    </font>
    <font>
      <sz val="8"/>
      <color rgb="FF98676A"/>
      <name val="Consolas"/>
      <family val="3"/>
    </font>
    <font>
      <sz val="8"/>
      <color rgb="FFF06431"/>
      <name val="Consolas"/>
      <family val="3"/>
    </font>
    <font>
      <sz val="8"/>
      <color rgb="FF8AB1B0"/>
      <name val="Consolas"/>
      <family val="3"/>
    </font>
    <font>
      <sz val="8"/>
      <color rgb="FFDC3958"/>
      <name val="Consolas"/>
      <family val="3"/>
    </font>
    <font>
      <sz val="8"/>
      <color rgb="FF889B4A"/>
      <name val="Consolas"/>
      <family val="3"/>
    </font>
    <font>
      <sz val="8"/>
      <color rgb="FFA57A4C"/>
      <name val="Consolas"/>
      <family val="3"/>
    </font>
    <font>
      <sz val="8"/>
      <color rgb="FF7E602C"/>
      <name val="Consolas"/>
      <family val="3"/>
    </font>
    <font>
      <sz val="8"/>
      <color rgb="FFF79A32"/>
      <name val="Consolas"/>
      <family val="3"/>
    </font>
  </fonts>
  <fills count="14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rgb="FFFFFF00"/>
        </stop>
      </gradientFill>
    </fill>
    <fill>
      <patternFill patternType="solid">
        <fgColor theme="0"/>
        <bgColor indexed="64"/>
      </patternFill>
    </fill>
    <fill>
      <gradientFill>
        <stop position="0">
          <color theme="0"/>
        </stop>
        <stop position="0.5">
          <color rgb="FFF0DCD4"/>
        </stop>
        <stop position="1">
          <color theme="0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auto="1"/>
      </patternFill>
    </fill>
    <fill>
      <patternFill patternType="solid">
        <fgColor rgb="FFFFFF99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DDDC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21A0F"/>
        <bgColor indexed="64"/>
      </patternFill>
    </fill>
  </fills>
  <borders count="55">
    <border>
      <left/>
      <right/>
      <top/>
      <bottom/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/>
      <right/>
      <top style="thin">
        <color theme="3" tint="0.59999389629810485"/>
      </top>
      <bottom style="thin">
        <color theme="3" tint="0.59999389629810485"/>
      </bottom>
      <diagonal/>
    </border>
    <border>
      <left/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3" tint="0.59999389629810485"/>
      </left>
      <right/>
      <top style="thin">
        <color theme="3" tint="0.59999389629810485"/>
      </top>
      <bottom/>
      <diagonal/>
    </border>
    <border>
      <left/>
      <right/>
      <top style="thin">
        <color theme="3" tint="0.59999389629810485"/>
      </top>
      <bottom/>
      <diagonal/>
    </border>
    <border>
      <left/>
      <right style="thin">
        <color theme="3" tint="0.59999389629810485"/>
      </right>
      <top style="thin">
        <color theme="3" tint="0.59999389629810485"/>
      </top>
      <bottom/>
      <diagonal/>
    </border>
    <border>
      <left style="thin">
        <color rgb="FFD99795"/>
      </left>
      <right style="thin">
        <color rgb="FFD99795"/>
      </right>
      <top style="thin">
        <color rgb="FF8DB4E3"/>
      </top>
      <bottom style="thin">
        <color rgb="FF8DB4E3"/>
      </bottom>
      <diagonal/>
    </border>
    <border>
      <left/>
      <right/>
      <top style="thin">
        <color rgb="FF8DB4E3"/>
      </top>
      <bottom style="thin">
        <color rgb="FF8DB4E3"/>
      </bottom>
      <diagonal/>
    </border>
    <border>
      <left style="thin">
        <color rgb="FFE6B9B8"/>
      </left>
      <right style="thin">
        <color auto="1"/>
      </right>
      <top style="thin">
        <color rgb="FF8DB4E3"/>
      </top>
      <bottom style="thin">
        <color rgb="FF8DB4E3"/>
      </bottom>
      <diagonal/>
    </border>
    <border>
      <left style="thin">
        <color indexed="64"/>
      </left>
      <right style="thin">
        <color theme="3" tint="0.59999389629810485"/>
      </right>
      <top style="thin">
        <color indexed="64"/>
      </top>
      <bottom style="thin">
        <color theme="3" tint="0.59999389629810485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indexed="64"/>
      </top>
      <bottom style="thin">
        <color theme="3" tint="0.59999389629810485"/>
      </bottom>
      <diagonal/>
    </border>
    <border>
      <left style="thin">
        <color theme="3" tint="0.59999389629810485"/>
      </left>
      <right style="thin">
        <color indexed="64"/>
      </right>
      <top style="thin">
        <color indexed="64"/>
      </top>
      <bottom style="thin">
        <color theme="3" tint="0.59999389629810485"/>
      </bottom>
      <diagonal/>
    </border>
    <border>
      <left style="thin">
        <color indexed="64"/>
      </left>
      <right/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3" tint="0.59999389629810485"/>
      </left>
      <right style="thin">
        <color indexed="64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indexed="64"/>
      </left>
      <right/>
      <top style="thin">
        <color rgb="FF8DB4E3"/>
      </top>
      <bottom style="thin">
        <color rgb="FF8DB4E3"/>
      </bottom>
      <diagonal/>
    </border>
    <border>
      <left style="thin">
        <color rgb="FFE6B9B8"/>
      </left>
      <right style="thin">
        <color indexed="64"/>
      </right>
      <top style="thin">
        <color rgb="FF8DB4E3"/>
      </top>
      <bottom style="thin">
        <color rgb="FF8DB4E3"/>
      </bottom>
      <diagonal/>
    </border>
    <border>
      <left style="hair">
        <color theme="3" tint="0.59999389629810485"/>
      </left>
      <right style="hair">
        <color theme="3" tint="0.59999389629810485"/>
      </right>
      <top style="thin">
        <color theme="4" tint="0.39994506668294322"/>
      </top>
      <bottom style="thin">
        <color theme="3" tint="0.59999389629810485"/>
      </bottom>
      <diagonal/>
    </border>
    <border>
      <left style="hair">
        <color theme="3" tint="0.59999389629810485"/>
      </left>
      <right style="thin">
        <color theme="1"/>
      </right>
      <top style="thin">
        <color theme="4" tint="0.39994506668294322"/>
      </top>
      <bottom style="thin">
        <color theme="3" tint="0.59999389629810485"/>
      </bottom>
      <diagonal/>
    </border>
    <border>
      <left style="thin">
        <color indexed="64"/>
      </left>
      <right style="hair">
        <color theme="3" tint="0.59999389629810485"/>
      </right>
      <top style="thin">
        <color theme="3" tint="0.59999389629810485"/>
      </top>
      <bottom/>
      <diagonal/>
    </border>
    <border>
      <left style="hair">
        <color theme="3" tint="0.59999389629810485"/>
      </left>
      <right style="hair">
        <color theme="3" tint="0.59999389629810485"/>
      </right>
      <top style="thin">
        <color theme="3" tint="0.59999389629810485"/>
      </top>
      <bottom/>
      <diagonal/>
    </border>
    <border>
      <left style="hair">
        <color theme="3" tint="0.59999389629810485"/>
      </left>
      <right style="thin">
        <color indexed="64"/>
      </right>
      <top style="thin">
        <color theme="3" tint="0.59999389629810485"/>
      </top>
      <bottom/>
      <diagonal/>
    </border>
    <border>
      <left style="thin">
        <color indexed="64"/>
      </left>
      <right style="hair">
        <color theme="3" tint="0.59999389629810485"/>
      </right>
      <top style="thin">
        <color theme="7" tint="-0.249977111117893"/>
      </top>
      <bottom style="hair">
        <color theme="3" tint="0.59999389629810485"/>
      </bottom>
      <diagonal/>
    </border>
    <border>
      <left style="hair">
        <color theme="3" tint="0.59999389629810485"/>
      </left>
      <right style="hair">
        <color theme="3" tint="0.59999389629810485"/>
      </right>
      <top style="thin">
        <color theme="7" tint="-0.249977111117893"/>
      </top>
      <bottom style="hair">
        <color theme="3" tint="0.59999389629810485"/>
      </bottom>
      <diagonal/>
    </border>
    <border>
      <left style="hair">
        <color theme="3" tint="0.59999389629810485"/>
      </left>
      <right style="thin">
        <color indexed="64"/>
      </right>
      <top style="thin">
        <color theme="7" tint="-0.249977111117893"/>
      </top>
      <bottom style="hair">
        <color theme="3" tint="0.59999389629810485"/>
      </bottom>
      <diagonal/>
    </border>
    <border>
      <left/>
      <right/>
      <top style="thin">
        <color theme="7" tint="-0.249977111117893"/>
      </top>
      <bottom/>
      <diagonal/>
    </border>
    <border>
      <left/>
      <right/>
      <top/>
      <bottom style="thin">
        <color theme="7" tint="-0.249977111117893"/>
      </bottom>
      <diagonal/>
    </border>
    <border>
      <left style="thin">
        <color theme="3" tint="0.59999389629810485"/>
      </left>
      <right/>
      <top/>
      <bottom/>
      <diagonal/>
    </border>
    <border>
      <left/>
      <right style="thin">
        <color theme="3" tint="0.59999389629810485"/>
      </right>
      <top/>
      <bottom/>
      <diagonal/>
    </border>
    <border>
      <left style="thin">
        <color theme="3" tint="0.59999389629810485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3" tint="0.59999389629810485"/>
      </right>
      <top/>
      <bottom style="thin">
        <color theme="1"/>
      </bottom>
      <diagonal/>
    </border>
    <border>
      <left style="thin">
        <color theme="1"/>
      </left>
      <right/>
      <top style="thin">
        <color theme="3" tint="0.59999389629810485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4506668294322"/>
      </top>
      <bottom style="thin">
        <color theme="3" tint="0.59999389629810485"/>
      </bottom>
      <diagonal/>
    </border>
    <border>
      <left/>
      <right style="hair">
        <color theme="3" tint="0.59999389629810485"/>
      </right>
      <top style="thin">
        <color theme="4" tint="0.39994506668294322"/>
      </top>
      <bottom style="thin">
        <color theme="3" tint="0.59999389629810485"/>
      </bottom>
      <diagonal/>
    </border>
    <border>
      <left/>
      <right style="thin">
        <color theme="1"/>
      </right>
      <top style="thin">
        <color theme="3" tint="0.59999389629810485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rgb="FF8DB4E3"/>
      </bottom>
      <diagonal/>
    </border>
    <border>
      <left/>
      <right/>
      <top/>
      <bottom style="thin">
        <color rgb="FF8DB4E3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rgb="FF8DB4E3"/>
      </top>
      <bottom style="thin">
        <color rgb="FF8DB4E3"/>
      </bottom>
      <diagonal/>
    </border>
    <border>
      <left style="thin">
        <color rgb="FFE6B9B8"/>
      </left>
      <right style="thin">
        <color auto="1"/>
      </right>
      <top style="thin">
        <color rgb="FF8DB4E3"/>
      </top>
      <bottom style="thin">
        <color rgb="FF8DB4E3"/>
      </bottom>
      <diagonal/>
    </border>
    <border>
      <left style="thin">
        <color auto="1"/>
      </left>
      <right/>
      <top style="thin">
        <color rgb="FF8DB4E3"/>
      </top>
      <bottom style="thin">
        <color auto="1"/>
      </bottom>
      <diagonal/>
    </border>
    <border>
      <left/>
      <right style="thin">
        <color rgb="FFD99795"/>
      </right>
      <top style="thin">
        <color rgb="FF8DB4E3"/>
      </top>
      <bottom style="thin">
        <color auto="1"/>
      </bottom>
      <diagonal/>
    </border>
    <border>
      <left/>
      <right/>
      <top style="thin">
        <color rgb="FF8DB4E3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theme="3" tint="0.59999389629810485"/>
      </left>
      <right/>
      <top style="thin">
        <color indexed="64"/>
      </top>
      <bottom style="thin">
        <color theme="3" tint="0.59999389629810485"/>
      </bottom>
      <diagonal/>
    </border>
    <border>
      <left style="thin">
        <color theme="3" tint="0.59999389629810485"/>
      </left>
      <right/>
      <top style="thin">
        <color theme="3" tint="0.59999389629810485"/>
      </top>
      <bottom style="thin">
        <color theme="3" tint="0.59999389629810485"/>
      </bottom>
      <diagonal/>
    </border>
    <border>
      <left style="hair">
        <color theme="3" tint="0.59999389629810485"/>
      </left>
      <right/>
      <top style="thin">
        <color theme="3" tint="0.59999389629810485"/>
      </top>
      <bottom/>
      <diagonal/>
    </border>
    <border>
      <left style="hair">
        <color theme="3" tint="0.59999389629810485"/>
      </left>
      <right/>
      <top style="thin">
        <color theme="4" tint="0.39994506668294322"/>
      </top>
      <bottom style="thin">
        <color theme="3" tint="0.59999389629810485"/>
      </bottom>
      <diagonal/>
    </border>
  </borders>
  <cellStyleXfs count="2">
    <xf numFmtId="0" fontId="0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0" fillId="0" borderId="0" xfId="0" applyProtection="1">
      <protection hidden="1"/>
    </xf>
    <xf numFmtId="0" fontId="1" fillId="0" borderId="0" xfId="0" applyFont="1"/>
    <xf numFmtId="167" fontId="6" fillId="7" borderId="7" xfId="0" applyNumberFormat="1" applyFont="1" applyFill="1" applyBorder="1" applyAlignment="1" applyProtection="1">
      <alignment horizontal="center"/>
      <protection hidden="1"/>
    </xf>
    <xf numFmtId="167" fontId="6" fillId="7" borderId="8" xfId="0" applyNumberFormat="1" applyFont="1" applyFill="1" applyBorder="1" applyAlignment="1" applyProtection="1">
      <alignment horizontal="center"/>
      <protection hidden="1"/>
    </xf>
    <xf numFmtId="167" fontId="6" fillId="7" borderId="9" xfId="0" applyNumberFormat="1" applyFont="1" applyFill="1" applyBorder="1" applyAlignment="1" applyProtection="1">
      <alignment horizontal="center"/>
      <protection hidden="1"/>
    </xf>
    <xf numFmtId="167" fontId="6" fillId="7" borderId="15" xfId="0" applyNumberFormat="1" applyFont="1" applyFill="1" applyBorder="1" applyAlignment="1" applyProtection="1">
      <alignment horizontal="center"/>
      <protection hidden="1"/>
    </xf>
    <xf numFmtId="167" fontId="4" fillId="6" borderId="17" xfId="0" applyNumberFormat="1" applyFont="1" applyFill="1" applyBorder="1"/>
    <xf numFmtId="0" fontId="0" fillId="5" borderId="19" xfId="0" applyFill="1" applyBorder="1" applyProtection="1">
      <protection hidden="1"/>
    </xf>
    <xf numFmtId="0" fontId="2" fillId="5" borderId="20" xfId="0" applyFont="1" applyFill="1" applyBorder="1" applyProtection="1">
      <protection hidden="1"/>
    </xf>
    <xf numFmtId="167" fontId="0" fillId="5" borderId="20" xfId="0" applyNumberFormat="1" applyFill="1" applyBorder="1" applyProtection="1">
      <protection hidden="1"/>
    </xf>
    <xf numFmtId="0" fontId="0" fillId="0" borderId="22" xfId="0" applyBorder="1" applyProtection="1">
      <protection hidden="1"/>
    </xf>
    <xf numFmtId="0" fontId="3" fillId="0" borderId="23" xfId="0" applyFont="1" applyBorder="1" applyProtection="1">
      <protection hidden="1"/>
    </xf>
    <xf numFmtId="167" fontId="3" fillId="0" borderId="23" xfId="0" applyNumberFormat="1" applyFont="1" applyBorder="1" applyProtection="1">
      <protection hidden="1"/>
    </xf>
    <xf numFmtId="0" fontId="0" fillId="0" borderId="25" xfId="0" applyBorder="1" applyProtection="1">
      <protection hidden="1"/>
    </xf>
    <xf numFmtId="0" fontId="0" fillId="0" borderId="25" xfId="0" applyBorder="1"/>
    <xf numFmtId="0" fontId="0" fillId="0" borderId="26" xfId="0" applyBorder="1"/>
    <xf numFmtId="167" fontId="11" fillId="7" borderId="7" xfId="0" applyNumberFormat="1" applyFont="1" applyFill="1" applyBorder="1" applyAlignment="1" applyProtection="1">
      <alignment horizontal="center"/>
      <protection hidden="1"/>
    </xf>
    <xf numFmtId="167" fontId="5" fillId="5" borderId="20" xfId="0" applyNumberFormat="1" applyFont="1" applyFill="1" applyBorder="1" applyProtection="1">
      <protection hidden="1"/>
    </xf>
    <xf numFmtId="167" fontId="4" fillId="0" borderId="23" xfId="0" applyNumberFormat="1" applyFont="1" applyBorder="1" applyProtection="1">
      <protection hidden="1"/>
    </xf>
    <xf numFmtId="167" fontId="12" fillId="7" borderId="8" xfId="0" applyNumberFormat="1" applyFont="1" applyFill="1" applyBorder="1" applyAlignment="1" applyProtection="1">
      <alignment horizontal="center"/>
      <protection hidden="1"/>
    </xf>
    <xf numFmtId="167" fontId="13" fillId="5" borderId="20" xfId="0" applyNumberFormat="1" applyFont="1" applyFill="1" applyBorder="1" applyProtection="1">
      <protection hidden="1"/>
    </xf>
    <xf numFmtId="167" fontId="14" fillId="0" borderId="23" xfId="0" applyNumberFormat="1" applyFont="1" applyBorder="1" applyProtection="1">
      <protection hidden="1"/>
    </xf>
    <xf numFmtId="167" fontId="14" fillId="6" borderId="17" xfId="0" applyNumberFormat="1" applyFont="1" applyFill="1" applyBorder="1"/>
    <xf numFmtId="167" fontId="15" fillId="7" borderId="8" xfId="0" applyNumberFormat="1" applyFont="1" applyFill="1" applyBorder="1" applyAlignment="1" applyProtection="1">
      <alignment horizontal="center"/>
      <protection hidden="1"/>
    </xf>
    <xf numFmtId="167" fontId="16" fillId="5" borderId="20" xfId="0" applyNumberFormat="1" applyFont="1" applyFill="1" applyBorder="1" applyProtection="1">
      <protection hidden="1"/>
    </xf>
    <xf numFmtId="167" fontId="17" fillId="0" borderId="23" xfId="0" applyNumberFormat="1" applyFont="1" applyBorder="1" applyProtection="1">
      <protection hidden="1"/>
    </xf>
    <xf numFmtId="167" fontId="17" fillId="6" borderId="17" xfId="0" applyNumberFormat="1" applyFont="1" applyFill="1" applyBorder="1"/>
    <xf numFmtId="0" fontId="0" fillId="9" borderId="0" xfId="0" applyFill="1"/>
    <xf numFmtId="0" fontId="0" fillId="9" borderId="44" xfId="0" applyFill="1" applyBorder="1"/>
    <xf numFmtId="167" fontId="21" fillId="7" borderId="7" xfId="0" applyNumberFormat="1" applyFont="1" applyFill="1" applyBorder="1" applyAlignment="1" applyProtection="1">
      <alignment horizontal="center"/>
      <protection hidden="1"/>
    </xf>
    <xf numFmtId="167" fontId="6" fillId="7" borderId="46" xfId="0" applyNumberFormat="1" applyFont="1" applyFill="1" applyBorder="1" applyAlignment="1" applyProtection="1">
      <alignment horizontal="center"/>
      <protection hidden="1"/>
    </xf>
    <xf numFmtId="164" fontId="22" fillId="0" borderId="7" xfId="0" applyNumberFormat="1" applyFont="1" applyBorder="1" applyProtection="1">
      <protection hidden="1"/>
    </xf>
    <xf numFmtId="164" fontId="23" fillId="9" borderId="8" xfId="0" applyNumberFormat="1" applyFont="1" applyFill="1" applyBorder="1" applyAlignment="1" applyProtection="1">
      <alignment vertical="center"/>
      <protection hidden="1"/>
    </xf>
    <xf numFmtId="164" fontId="25" fillId="0" borderId="7" xfId="0" applyNumberFormat="1" applyFont="1" applyBorder="1" applyAlignment="1" applyProtection="1">
      <alignment vertical="center"/>
      <protection hidden="1"/>
    </xf>
    <xf numFmtId="164" fontId="26" fillId="9" borderId="8" xfId="0" applyNumberFormat="1" applyFont="1" applyFill="1" applyBorder="1" applyAlignment="1" applyProtection="1">
      <alignment horizontal="center" vertical="center"/>
      <protection hidden="1"/>
    </xf>
    <xf numFmtId="164" fontId="27" fillId="9" borderId="46" xfId="0" applyNumberFormat="1" applyFont="1" applyFill="1" applyBorder="1" applyAlignment="1" applyProtection="1">
      <alignment horizontal="center" vertical="center"/>
      <protection hidden="1"/>
    </xf>
    <xf numFmtId="164" fontId="28" fillId="11" borderId="49" xfId="0" applyNumberFormat="1" applyFont="1" applyFill="1" applyBorder="1" applyProtection="1">
      <protection hidden="1"/>
    </xf>
    <xf numFmtId="0" fontId="18" fillId="8" borderId="40" xfId="0" applyFont="1" applyFill="1" applyBorder="1" applyAlignment="1" applyProtection="1">
      <alignment vertical="center"/>
      <protection hidden="1"/>
    </xf>
    <xf numFmtId="0" fontId="18" fillId="8" borderId="41" xfId="0" applyFont="1" applyFill="1" applyBorder="1" applyAlignment="1" applyProtection="1">
      <alignment vertical="center"/>
      <protection hidden="1"/>
    </xf>
    <xf numFmtId="168" fontId="20" fillId="9" borderId="43" xfId="0" applyNumberFormat="1" applyFont="1" applyFill="1" applyBorder="1"/>
    <xf numFmtId="38" fontId="18" fillId="8" borderId="40" xfId="0" applyNumberFormat="1" applyFont="1" applyFill="1" applyBorder="1" applyAlignment="1" applyProtection="1">
      <alignment vertical="center"/>
      <protection hidden="1"/>
    </xf>
    <xf numFmtId="0" fontId="18" fillId="8" borderId="50" xfId="0" applyFont="1" applyFill="1" applyBorder="1" applyAlignment="1" applyProtection="1">
      <alignment vertical="center"/>
      <protection hidden="1"/>
    </xf>
    <xf numFmtId="0" fontId="29" fillId="12" borderId="0" xfId="1" applyFill="1" applyAlignment="1" applyProtection="1"/>
    <xf numFmtId="167" fontId="29" fillId="7" borderId="15" xfId="1" applyNumberFormat="1" applyFill="1" applyBorder="1" applyAlignment="1" applyProtection="1">
      <alignment horizontal="center"/>
      <protection hidden="1"/>
    </xf>
    <xf numFmtId="164" fontId="24" fillId="9" borderId="8" xfId="0" applyNumberFormat="1" applyFont="1" applyFill="1" applyBorder="1" applyProtection="1">
      <protection hidden="1"/>
    </xf>
    <xf numFmtId="165" fontId="0" fillId="10" borderId="45" xfId="0" applyNumberFormat="1" applyFill="1" applyBorder="1" applyAlignment="1" applyProtection="1">
      <alignment horizontal="center" vertical="center" wrapText="1"/>
      <protection locked="0"/>
    </xf>
    <xf numFmtId="167" fontId="30" fillId="7" borderId="16" xfId="0" applyNumberFormat="1" applyFont="1" applyFill="1" applyBorder="1" applyAlignment="1" applyProtection="1">
      <alignment horizontal="center"/>
      <protection hidden="1"/>
    </xf>
    <xf numFmtId="0" fontId="31" fillId="5" borderId="21" xfId="0" applyFont="1" applyFill="1" applyBorder="1" applyProtection="1">
      <protection hidden="1"/>
    </xf>
    <xf numFmtId="0" fontId="32" fillId="0" borderId="24" xfId="0" applyFont="1" applyBorder="1" applyProtection="1">
      <protection hidden="1"/>
    </xf>
    <xf numFmtId="0" fontId="32" fillId="6" borderId="18" xfId="0" applyFont="1" applyFill="1" applyBorder="1" applyAlignment="1">
      <alignment horizontal="center"/>
    </xf>
    <xf numFmtId="167" fontId="0" fillId="5" borderId="20" xfId="0" applyNumberFormat="1" applyFill="1" applyBorder="1" applyAlignment="1" applyProtection="1">
      <alignment horizontal="center"/>
      <protection hidden="1"/>
    </xf>
    <xf numFmtId="167" fontId="3" fillId="0" borderId="23" xfId="0" applyNumberFormat="1" applyFont="1" applyBorder="1" applyAlignment="1" applyProtection="1">
      <alignment horizontal="center"/>
      <protection hidden="1"/>
    </xf>
    <xf numFmtId="167" fontId="4" fillId="6" borderId="17" xfId="0" applyNumberFormat="1" applyFont="1" applyFill="1" applyBorder="1" applyAlignment="1">
      <alignment horizontal="center"/>
    </xf>
    <xf numFmtId="167" fontId="0" fillId="5" borderId="53" xfId="0" applyNumberFormat="1" applyFill="1" applyBorder="1" applyAlignment="1" applyProtection="1">
      <alignment horizontal="center"/>
      <protection hidden="1"/>
    </xf>
    <xf numFmtId="167" fontId="4" fillId="6" borderId="54" xfId="0" applyNumberFormat="1" applyFont="1" applyFill="1" applyBorder="1" applyAlignment="1">
      <alignment horizontal="center"/>
    </xf>
    <xf numFmtId="0" fontId="2" fillId="6" borderId="35" xfId="0" applyFont="1" applyFill="1" applyBorder="1" applyAlignment="1"/>
    <xf numFmtId="0" fontId="2" fillId="6" borderId="36" xfId="0" applyFont="1" applyFill="1" applyBorder="1" applyAlignment="1"/>
    <xf numFmtId="1" fontId="3" fillId="0" borderId="23" xfId="0" applyNumberFormat="1" applyFont="1" applyBorder="1" applyAlignment="1" applyProtection="1">
      <alignment horizontal="center"/>
      <protection hidden="1"/>
    </xf>
    <xf numFmtId="0" fontId="34" fillId="0" borderId="0" xfId="0" applyFont="1" applyAlignment="1">
      <alignment vertical="center"/>
    </xf>
    <xf numFmtId="0" fontId="0" fillId="13" borderId="0" xfId="0" applyFill="1" applyAlignment="1">
      <alignment vertical="center"/>
    </xf>
    <xf numFmtId="0" fontId="35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166" fontId="9" fillId="3" borderId="13" xfId="0" applyNumberFormat="1" applyFont="1" applyFill="1" applyBorder="1" applyAlignment="1" applyProtection="1">
      <alignment horizontal="center" vertical="center"/>
      <protection hidden="1"/>
    </xf>
    <xf numFmtId="166" fontId="9" fillId="3" borderId="2" xfId="0" applyNumberFormat="1" applyFont="1" applyFill="1" applyBorder="1" applyAlignment="1" applyProtection="1">
      <alignment horizontal="center" vertical="center"/>
      <protection hidden="1"/>
    </xf>
    <xf numFmtId="166" fontId="9" fillId="3" borderId="3" xfId="0" applyNumberFormat="1" applyFont="1" applyFill="1" applyBorder="1" applyAlignment="1" applyProtection="1">
      <alignment horizontal="center" vertical="center"/>
      <protection hidden="1"/>
    </xf>
    <xf numFmtId="38" fontId="8" fillId="4" borderId="4" xfId="0" applyNumberFormat="1" applyFont="1" applyFill="1" applyBorder="1" applyAlignment="1" applyProtection="1">
      <alignment horizontal="center"/>
      <protection hidden="1"/>
    </xf>
    <xf numFmtId="38" fontId="8" fillId="4" borderId="5" xfId="0" applyNumberFormat="1" applyFont="1" applyFill="1" applyBorder="1" applyAlignment="1" applyProtection="1">
      <alignment horizontal="center"/>
      <protection hidden="1"/>
    </xf>
    <xf numFmtId="38" fontId="8" fillId="4" borderId="6" xfId="0" applyNumberFormat="1" applyFont="1" applyFill="1" applyBorder="1" applyAlignment="1" applyProtection="1">
      <alignment horizontal="center"/>
      <protection hidden="1"/>
    </xf>
    <xf numFmtId="38" fontId="10" fillId="3" borderId="1" xfId="0" applyNumberFormat="1" applyFont="1" applyFill="1" applyBorder="1" applyAlignment="1" applyProtection="1">
      <alignment horizontal="center" vertical="center"/>
      <protection hidden="1"/>
    </xf>
    <xf numFmtId="38" fontId="10" fillId="3" borderId="52" xfId="0" applyNumberFormat="1" applyFont="1" applyFill="1" applyBorder="1" applyAlignment="1" applyProtection="1">
      <alignment horizontal="center" vertical="center"/>
      <protection hidden="1"/>
    </xf>
    <xf numFmtId="38" fontId="10" fillId="3" borderId="14" xfId="0" applyNumberFormat="1" applyFont="1" applyFill="1" applyBorder="1" applyAlignment="1" applyProtection="1">
      <alignment horizontal="center" vertical="center"/>
      <protection hidden="1"/>
    </xf>
    <xf numFmtId="38" fontId="7" fillId="2" borderId="10" xfId="0" applyNumberFormat="1" applyFont="1" applyFill="1" applyBorder="1" applyAlignment="1" applyProtection="1">
      <alignment horizontal="center"/>
      <protection hidden="1"/>
    </xf>
    <xf numFmtId="38" fontId="7" fillId="2" borderId="11" xfId="0" applyNumberFormat="1" applyFont="1" applyFill="1" applyBorder="1" applyAlignment="1" applyProtection="1">
      <alignment horizontal="center"/>
      <protection hidden="1"/>
    </xf>
    <xf numFmtId="38" fontId="7" fillId="2" borderId="51" xfId="0" applyNumberFormat="1" applyFont="1" applyFill="1" applyBorder="1" applyAlignment="1" applyProtection="1">
      <alignment horizontal="center"/>
      <protection hidden="1"/>
    </xf>
    <xf numFmtId="38" fontId="7" fillId="2" borderId="12" xfId="0" applyNumberFormat="1" applyFont="1" applyFill="1" applyBorder="1" applyAlignment="1" applyProtection="1">
      <alignment horizontal="center"/>
      <protection hidden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19" fillId="9" borderId="42" xfId="0" applyFont="1" applyFill="1" applyBorder="1" applyAlignment="1">
      <alignment horizontal="center"/>
    </xf>
    <xf numFmtId="0" fontId="19" fillId="9" borderId="43" xfId="0" applyFont="1" applyFill="1" applyBorder="1" applyAlignment="1">
      <alignment horizontal="center"/>
    </xf>
    <xf numFmtId="0" fontId="28" fillId="11" borderId="47" xfId="0" applyFont="1" applyFill="1" applyBorder="1" applyAlignment="1" applyProtection="1">
      <alignment horizontal="center"/>
      <protection hidden="1"/>
    </xf>
    <xf numFmtId="0" fontId="28" fillId="11" borderId="48" xfId="0" applyFont="1" applyFill="1" applyBorder="1" applyAlignment="1" applyProtection="1">
      <alignment horizontal="center"/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1E02F0"/>
      <color rgb="FF06FA34"/>
      <color rgb="FF4315C5"/>
      <color rgb="FFFC14BF"/>
      <color rgb="FF0F5B09"/>
      <color rgb="FF2BE81C"/>
      <color rgb="FF49385E"/>
      <color rgb="FFB8A8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s\Khandelwal%20Software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s\L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s\Data\M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ndelwal Driver"/>
      <sheetName val="Khandelwal  Driver"/>
      <sheetName val="S1"/>
    </sheetNames>
    <sheetDataSet>
      <sheetData sheetId="0">
        <row r="5">
          <cell r="C5" t="str">
            <v>Balai Svyam Seva Sasthan</v>
          </cell>
        </row>
        <row r="6">
          <cell r="C6" t="str">
            <v>Surpura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1"/>
      <sheetName val="Sheet1"/>
    </sheetNames>
    <sheetDataSet>
      <sheetData sheetId="0">
        <row r="2">
          <cell r="A2">
            <v>44817</v>
          </cell>
        </row>
        <row r="6">
          <cell r="C6">
            <v>1500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80</v>
          </cell>
          <cell r="J6">
            <v>0</v>
          </cell>
          <cell r="K6">
            <v>80</v>
          </cell>
          <cell r="L6">
            <v>7996</v>
          </cell>
          <cell r="M6">
            <v>10</v>
          </cell>
          <cell r="P6">
            <v>9928577989</v>
          </cell>
        </row>
        <row r="7">
          <cell r="C7">
            <v>2000</v>
          </cell>
          <cell r="D7">
            <v>0</v>
          </cell>
          <cell r="E7">
            <v>0</v>
          </cell>
          <cell r="F7">
            <v>0</v>
          </cell>
          <cell r="G7">
            <v>2000</v>
          </cell>
          <cell r="H7">
            <v>0</v>
          </cell>
          <cell r="I7">
            <v>220</v>
          </cell>
          <cell r="J7">
            <v>0</v>
          </cell>
          <cell r="K7">
            <v>2220</v>
          </cell>
          <cell r="L7">
            <v>22000</v>
          </cell>
          <cell r="M7">
            <v>10</v>
          </cell>
          <cell r="P7">
            <v>9928577989</v>
          </cell>
        </row>
        <row r="8">
          <cell r="C8">
            <v>0</v>
          </cell>
          <cell r="D8">
            <v>0</v>
          </cell>
          <cell r="E8">
            <v>200</v>
          </cell>
          <cell r="F8">
            <v>0</v>
          </cell>
          <cell r="G8">
            <v>0</v>
          </cell>
          <cell r="H8">
            <v>0</v>
          </cell>
          <cell r="I8">
            <v>150</v>
          </cell>
          <cell r="J8">
            <v>0</v>
          </cell>
          <cell r="K8">
            <v>350</v>
          </cell>
          <cell r="L8">
            <v>15000</v>
          </cell>
          <cell r="M8">
            <v>1</v>
          </cell>
          <cell r="P8">
            <v>9680409946</v>
          </cell>
        </row>
        <row r="9">
          <cell r="C9">
            <v>18900</v>
          </cell>
          <cell r="D9">
            <v>0</v>
          </cell>
          <cell r="E9">
            <v>200</v>
          </cell>
          <cell r="F9">
            <v>0</v>
          </cell>
          <cell r="G9">
            <v>2091</v>
          </cell>
          <cell r="H9">
            <v>0</v>
          </cell>
          <cell r="I9">
            <v>200</v>
          </cell>
          <cell r="J9">
            <v>0</v>
          </cell>
          <cell r="K9">
            <v>2491</v>
          </cell>
          <cell r="L9">
            <v>20991</v>
          </cell>
          <cell r="M9">
            <v>5</v>
          </cell>
          <cell r="P9">
            <v>9680409946</v>
          </cell>
        </row>
        <row r="10">
          <cell r="C10">
            <v>0</v>
          </cell>
          <cell r="D10">
            <v>0</v>
          </cell>
          <cell r="E10">
            <v>200</v>
          </cell>
          <cell r="F10">
            <v>0</v>
          </cell>
          <cell r="G10">
            <v>0</v>
          </cell>
          <cell r="H10">
            <v>0</v>
          </cell>
          <cell r="I10">
            <v>191</v>
          </cell>
          <cell r="J10">
            <v>0</v>
          </cell>
          <cell r="K10">
            <v>391</v>
          </cell>
          <cell r="L10">
            <v>19071</v>
          </cell>
          <cell r="M10">
            <v>2</v>
          </cell>
          <cell r="P10">
            <v>7742016348</v>
          </cell>
        </row>
        <row r="11">
          <cell r="C11">
            <v>0</v>
          </cell>
          <cell r="D11">
            <v>0</v>
          </cell>
          <cell r="E11">
            <v>200</v>
          </cell>
          <cell r="F11">
            <v>0</v>
          </cell>
          <cell r="G11">
            <v>0</v>
          </cell>
          <cell r="H11">
            <v>0</v>
          </cell>
          <cell r="I11">
            <v>200</v>
          </cell>
          <cell r="J11">
            <v>0</v>
          </cell>
          <cell r="K11">
            <v>400</v>
          </cell>
          <cell r="L11">
            <v>20000</v>
          </cell>
          <cell r="M11">
            <v>2</v>
          </cell>
          <cell r="P11">
            <v>7742016348</v>
          </cell>
        </row>
        <row r="12">
          <cell r="C12">
            <v>1500</v>
          </cell>
          <cell r="D12">
            <v>0</v>
          </cell>
          <cell r="E12">
            <v>0</v>
          </cell>
          <cell r="F12">
            <v>0</v>
          </cell>
          <cell r="G12">
            <v>1500</v>
          </cell>
          <cell r="H12">
            <v>0</v>
          </cell>
          <cell r="I12">
            <v>240</v>
          </cell>
          <cell r="J12">
            <v>0</v>
          </cell>
          <cell r="K12">
            <v>1740</v>
          </cell>
          <cell r="L12">
            <v>24000</v>
          </cell>
          <cell r="M12">
            <v>5</v>
          </cell>
          <cell r="P12">
            <v>9929832722</v>
          </cell>
        </row>
        <row r="13">
          <cell r="C13">
            <v>0</v>
          </cell>
          <cell r="D13">
            <v>0</v>
          </cell>
          <cell r="E13">
            <v>200</v>
          </cell>
          <cell r="F13">
            <v>0</v>
          </cell>
          <cell r="G13">
            <v>0</v>
          </cell>
          <cell r="H13">
            <v>0</v>
          </cell>
          <cell r="I13">
            <v>178</v>
          </cell>
          <cell r="J13">
            <v>0</v>
          </cell>
          <cell r="K13">
            <v>378</v>
          </cell>
          <cell r="L13">
            <v>17827</v>
          </cell>
          <cell r="M13">
            <v>2</v>
          </cell>
          <cell r="P13">
            <v>9929832722</v>
          </cell>
        </row>
        <row r="14">
          <cell r="C14">
            <v>1500</v>
          </cell>
          <cell r="D14">
            <v>0</v>
          </cell>
          <cell r="E14">
            <v>0</v>
          </cell>
          <cell r="F14">
            <v>0</v>
          </cell>
          <cell r="G14">
            <v>1500</v>
          </cell>
          <cell r="H14">
            <v>0</v>
          </cell>
          <cell r="I14">
            <v>240</v>
          </cell>
          <cell r="J14">
            <v>0</v>
          </cell>
          <cell r="K14">
            <v>1740</v>
          </cell>
          <cell r="L14">
            <v>24000</v>
          </cell>
          <cell r="M14">
            <v>5</v>
          </cell>
          <cell r="P14">
            <v>9929832722</v>
          </cell>
        </row>
        <row r="15">
          <cell r="C15">
            <v>1200</v>
          </cell>
          <cell r="D15">
            <v>0</v>
          </cell>
          <cell r="E15">
            <v>200</v>
          </cell>
          <cell r="F15">
            <v>0</v>
          </cell>
          <cell r="G15">
            <v>0</v>
          </cell>
          <cell r="H15">
            <v>0</v>
          </cell>
          <cell r="I15">
            <v>120</v>
          </cell>
          <cell r="J15">
            <v>0</v>
          </cell>
          <cell r="K15">
            <v>320</v>
          </cell>
          <cell r="L15">
            <v>12000</v>
          </cell>
          <cell r="M15">
            <v>4</v>
          </cell>
          <cell r="P15">
            <v>8000857197</v>
          </cell>
        </row>
        <row r="16">
          <cell r="C16">
            <v>0</v>
          </cell>
          <cell r="D16">
            <v>0</v>
          </cell>
          <cell r="E16">
            <v>200</v>
          </cell>
          <cell r="F16">
            <v>0</v>
          </cell>
          <cell r="G16">
            <v>0</v>
          </cell>
          <cell r="H16">
            <v>0</v>
          </cell>
          <cell r="I16">
            <v>230</v>
          </cell>
          <cell r="J16">
            <v>0</v>
          </cell>
          <cell r="K16">
            <v>430</v>
          </cell>
          <cell r="L16">
            <v>23000</v>
          </cell>
          <cell r="M16">
            <v>1</v>
          </cell>
          <cell r="P16">
            <v>8000857197</v>
          </cell>
        </row>
        <row r="17">
          <cell r="C17">
            <v>500</v>
          </cell>
          <cell r="D17">
            <v>0</v>
          </cell>
          <cell r="E17">
            <v>200</v>
          </cell>
          <cell r="F17">
            <v>0</v>
          </cell>
          <cell r="G17">
            <v>500</v>
          </cell>
          <cell r="H17">
            <v>0</v>
          </cell>
          <cell r="I17">
            <v>580</v>
          </cell>
          <cell r="J17">
            <v>0</v>
          </cell>
          <cell r="K17">
            <v>1280</v>
          </cell>
          <cell r="L17">
            <v>58000</v>
          </cell>
          <cell r="M17">
            <v>5</v>
          </cell>
          <cell r="P17">
            <v>9928466340</v>
          </cell>
        </row>
        <row r="18">
          <cell r="C18">
            <v>500</v>
          </cell>
          <cell r="D18">
            <v>0</v>
          </cell>
          <cell r="E18">
            <v>200</v>
          </cell>
          <cell r="F18">
            <v>0</v>
          </cell>
          <cell r="G18">
            <v>500</v>
          </cell>
          <cell r="H18">
            <v>0</v>
          </cell>
          <cell r="I18">
            <v>580</v>
          </cell>
          <cell r="J18">
            <v>0</v>
          </cell>
          <cell r="K18">
            <v>1280</v>
          </cell>
          <cell r="L18">
            <v>58000</v>
          </cell>
          <cell r="M18">
            <v>5</v>
          </cell>
          <cell r="P18">
            <v>9928466340</v>
          </cell>
        </row>
        <row r="19">
          <cell r="C19">
            <v>500</v>
          </cell>
          <cell r="D19">
            <v>0</v>
          </cell>
          <cell r="E19">
            <v>200</v>
          </cell>
          <cell r="F19">
            <v>0</v>
          </cell>
          <cell r="G19">
            <v>500</v>
          </cell>
          <cell r="H19">
            <v>0</v>
          </cell>
          <cell r="I19">
            <v>580</v>
          </cell>
          <cell r="J19">
            <v>0</v>
          </cell>
          <cell r="K19">
            <v>1280</v>
          </cell>
          <cell r="L19">
            <v>58000</v>
          </cell>
          <cell r="M19">
            <v>5</v>
          </cell>
          <cell r="P19">
            <v>9928466340</v>
          </cell>
        </row>
        <row r="20">
          <cell r="C20">
            <v>500</v>
          </cell>
          <cell r="D20">
            <v>0</v>
          </cell>
          <cell r="E20">
            <v>200</v>
          </cell>
          <cell r="F20">
            <v>0</v>
          </cell>
          <cell r="G20">
            <v>500</v>
          </cell>
          <cell r="H20">
            <v>0</v>
          </cell>
          <cell r="I20">
            <v>580</v>
          </cell>
          <cell r="J20">
            <v>0</v>
          </cell>
          <cell r="K20">
            <v>1280</v>
          </cell>
          <cell r="L20">
            <v>58000</v>
          </cell>
          <cell r="M20">
            <v>5</v>
          </cell>
          <cell r="P20">
            <v>9928466340</v>
          </cell>
        </row>
        <row r="21">
          <cell r="C21">
            <v>500</v>
          </cell>
          <cell r="D21">
            <v>0</v>
          </cell>
          <cell r="E21">
            <v>200</v>
          </cell>
          <cell r="F21">
            <v>0</v>
          </cell>
          <cell r="G21">
            <v>500</v>
          </cell>
          <cell r="H21">
            <v>0</v>
          </cell>
          <cell r="I21">
            <v>580</v>
          </cell>
          <cell r="J21">
            <v>0</v>
          </cell>
          <cell r="K21">
            <v>1280</v>
          </cell>
          <cell r="L21">
            <v>58000</v>
          </cell>
          <cell r="M21">
            <v>5</v>
          </cell>
          <cell r="P21">
            <v>9928466340</v>
          </cell>
        </row>
        <row r="22">
          <cell r="C22">
            <v>500</v>
          </cell>
          <cell r="D22">
            <v>0</v>
          </cell>
          <cell r="E22">
            <v>200</v>
          </cell>
          <cell r="F22">
            <v>0</v>
          </cell>
          <cell r="G22">
            <v>500</v>
          </cell>
          <cell r="H22">
            <v>0</v>
          </cell>
          <cell r="I22">
            <v>580</v>
          </cell>
          <cell r="J22">
            <v>0</v>
          </cell>
          <cell r="K22">
            <v>1280</v>
          </cell>
          <cell r="L22">
            <v>58000</v>
          </cell>
          <cell r="M22">
            <v>5</v>
          </cell>
          <cell r="P22">
            <v>9928466340</v>
          </cell>
        </row>
        <row r="23">
          <cell r="C23">
            <v>500</v>
          </cell>
          <cell r="D23">
            <v>0</v>
          </cell>
          <cell r="E23">
            <v>200</v>
          </cell>
          <cell r="F23">
            <v>0</v>
          </cell>
          <cell r="G23">
            <v>0</v>
          </cell>
          <cell r="H23">
            <v>0</v>
          </cell>
          <cell r="I23">
            <v>251</v>
          </cell>
          <cell r="J23">
            <v>0</v>
          </cell>
          <cell r="K23">
            <v>451</v>
          </cell>
          <cell r="L23">
            <v>25123</v>
          </cell>
          <cell r="M23">
            <v>29</v>
          </cell>
          <cell r="P23">
            <v>9928466340</v>
          </cell>
        </row>
        <row r="24">
          <cell r="C24">
            <v>500</v>
          </cell>
          <cell r="D24">
            <v>0</v>
          </cell>
          <cell r="E24">
            <v>200</v>
          </cell>
          <cell r="F24">
            <v>0</v>
          </cell>
          <cell r="G24">
            <v>500</v>
          </cell>
          <cell r="H24">
            <v>0</v>
          </cell>
          <cell r="I24">
            <v>260</v>
          </cell>
          <cell r="J24">
            <v>0</v>
          </cell>
          <cell r="K24">
            <v>960</v>
          </cell>
          <cell r="L24">
            <v>26000</v>
          </cell>
          <cell r="M24">
            <v>29</v>
          </cell>
          <cell r="P24">
            <v>9928466340</v>
          </cell>
        </row>
        <row r="25">
          <cell r="C25">
            <v>500</v>
          </cell>
          <cell r="D25">
            <v>0</v>
          </cell>
          <cell r="E25">
            <v>200</v>
          </cell>
          <cell r="F25">
            <v>0</v>
          </cell>
          <cell r="G25">
            <v>500</v>
          </cell>
          <cell r="H25">
            <v>0</v>
          </cell>
          <cell r="I25">
            <v>260</v>
          </cell>
          <cell r="J25">
            <v>0</v>
          </cell>
          <cell r="K25">
            <v>960</v>
          </cell>
          <cell r="L25">
            <v>26000</v>
          </cell>
          <cell r="M25">
            <v>29</v>
          </cell>
          <cell r="P25">
            <v>9928466340</v>
          </cell>
        </row>
        <row r="26">
          <cell r="C26">
            <v>500</v>
          </cell>
          <cell r="D26">
            <v>0</v>
          </cell>
          <cell r="E26">
            <v>200</v>
          </cell>
          <cell r="F26">
            <v>0</v>
          </cell>
          <cell r="G26">
            <v>500</v>
          </cell>
          <cell r="H26">
            <v>0</v>
          </cell>
          <cell r="I26">
            <v>260</v>
          </cell>
          <cell r="J26">
            <v>0</v>
          </cell>
          <cell r="K26">
            <v>960</v>
          </cell>
          <cell r="L26">
            <v>26000</v>
          </cell>
          <cell r="M26">
            <v>29</v>
          </cell>
          <cell r="P26">
            <v>9928466340</v>
          </cell>
        </row>
        <row r="27">
          <cell r="C27">
            <v>0</v>
          </cell>
          <cell r="D27">
            <v>14349</v>
          </cell>
          <cell r="E27">
            <v>0</v>
          </cell>
          <cell r="F27">
            <v>0</v>
          </cell>
          <cell r="G27">
            <v>27000</v>
          </cell>
          <cell r="H27">
            <v>17936</v>
          </cell>
          <cell r="I27">
            <v>4860</v>
          </cell>
          <cell r="J27">
            <v>0</v>
          </cell>
          <cell r="K27">
            <v>49796</v>
          </cell>
          <cell r="L27">
            <v>27000</v>
          </cell>
          <cell r="M27">
            <v>20</v>
          </cell>
          <cell r="P27">
            <v>8058882602</v>
          </cell>
        </row>
        <row r="28">
          <cell r="C28">
            <v>0</v>
          </cell>
          <cell r="D28">
            <v>7070</v>
          </cell>
          <cell r="E28">
            <v>3600</v>
          </cell>
          <cell r="F28">
            <v>2027</v>
          </cell>
          <cell r="G28">
            <v>7383</v>
          </cell>
          <cell r="H28">
            <v>6810</v>
          </cell>
          <cell r="I28">
            <v>392</v>
          </cell>
          <cell r="J28">
            <v>0</v>
          </cell>
          <cell r="K28">
            <v>20212</v>
          </cell>
          <cell r="L28">
            <v>7383</v>
          </cell>
          <cell r="M28">
            <v>29</v>
          </cell>
          <cell r="P28">
            <v>8058882602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P29">
            <v>9928833278</v>
          </cell>
        </row>
        <row r="30">
          <cell r="C30">
            <v>1000</v>
          </cell>
          <cell r="D30">
            <v>0</v>
          </cell>
          <cell r="E30">
            <v>200</v>
          </cell>
          <cell r="F30">
            <v>0</v>
          </cell>
          <cell r="G30">
            <v>1735</v>
          </cell>
          <cell r="H30">
            <v>0</v>
          </cell>
          <cell r="I30">
            <v>167</v>
          </cell>
          <cell r="J30">
            <v>0</v>
          </cell>
          <cell r="K30">
            <v>2102</v>
          </cell>
          <cell r="L30">
            <v>16735</v>
          </cell>
          <cell r="M30">
            <v>5</v>
          </cell>
          <cell r="P30">
            <v>9928813200</v>
          </cell>
        </row>
        <row r="31">
          <cell r="C31">
            <v>1000</v>
          </cell>
          <cell r="D31">
            <v>0</v>
          </cell>
          <cell r="E31">
            <v>200</v>
          </cell>
          <cell r="F31">
            <v>0</v>
          </cell>
          <cell r="G31">
            <v>2000</v>
          </cell>
          <cell r="H31">
            <v>0</v>
          </cell>
          <cell r="I31">
            <v>170</v>
          </cell>
          <cell r="J31">
            <v>0</v>
          </cell>
          <cell r="K31">
            <v>2370</v>
          </cell>
          <cell r="L31">
            <v>17000</v>
          </cell>
          <cell r="M31">
            <v>5</v>
          </cell>
          <cell r="P31">
            <v>9928813200</v>
          </cell>
        </row>
        <row r="32">
          <cell r="C32">
            <v>0</v>
          </cell>
          <cell r="D32">
            <v>2452</v>
          </cell>
          <cell r="E32">
            <v>2400</v>
          </cell>
          <cell r="F32">
            <v>784</v>
          </cell>
          <cell r="G32">
            <v>9000</v>
          </cell>
          <cell r="H32">
            <v>4120</v>
          </cell>
          <cell r="I32">
            <v>1080</v>
          </cell>
          <cell r="J32">
            <v>0</v>
          </cell>
          <cell r="K32">
            <v>17384</v>
          </cell>
          <cell r="L32">
            <v>9000</v>
          </cell>
          <cell r="M32">
            <v>23</v>
          </cell>
          <cell r="P32">
            <v>7891829159</v>
          </cell>
        </row>
        <row r="33">
          <cell r="C33">
            <v>0</v>
          </cell>
          <cell r="D33">
            <v>2068</v>
          </cell>
          <cell r="E33">
            <v>2400</v>
          </cell>
          <cell r="F33">
            <v>784</v>
          </cell>
          <cell r="G33">
            <v>6000</v>
          </cell>
          <cell r="H33">
            <v>3352</v>
          </cell>
          <cell r="I33">
            <v>720</v>
          </cell>
          <cell r="J33">
            <v>0</v>
          </cell>
          <cell r="K33">
            <v>13256</v>
          </cell>
          <cell r="L33">
            <v>6000</v>
          </cell>
          <cell r="M33">
            <v>26</v>
          </cell>
          <cell r="P33">
            <v>7891829159</v>
          </cell>
        </row>
        <row r="34">
          <cell r="C34">
            <v>1000</v>
          </cell>
          <cell r="D34">
            <v>2487</v>
          </cell>
          <cell r="E34">
            <v>2400</v>
          </cell>
          <cell r="F34">
            <v>784</v>
          </cell>
          <cell r="G34">
            <v>11763</v>
          </cell>
          <cell r="H34">
            <v>4190</v>
          </cell>
          <cell r="I34">
            <v>1536</v>
          </cell>
          <cell r="J34">
            <v>0</v>
          </cell>
          <cell r="K34">
            <v>20673</v>
          </cell>
          <cell r="L34">
            <v>12763</v>
          </cell>
          <cell r="M34">
            <v>19</v>
          </cell>
          <cell r="P34">
            <v>7891829159</v>
          </cell>
        </row>
        <row r="35">
          <cell r="C35">
            <v>2000</v>
          </cell>
          <cell r="D35">
            <v>0</v>
          </cell>
          <cell r="E35">
            <v>0</v>
          </cell>
          <cell r="F35">
            <v>0</v>
          </cell>
          <cell r="G35">
            <v>1563</v>
          </cell>
          <cell r="H35">
            <v>0</v>
          </cell>
          <cell r="I35">
            <v>76</v>
          </cell>
          <cell r="J35">
            <v>0</v>
          </cell>
          <cell r="K35">
            <v>1639</v>
          </cell>
          <cell r="L35">
            <v>7563</v>
          </cell>
          <cell r="M35">
            <v>12</v>
          </cell>
          <cell r="P35">
            <v>8209131043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P36">
            <v>8209131043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P37">
            <v>8209131043</v>
          </cell>
        </row>
        <row r="38">
          <cell r="C38">
            <v>0</v>
          </cell>
          <cell r="D38">
            <v>203</v>
          </cell>
          <cell r="E38">
            <v>800</v>
          </cell>
          <cell r="F38">
            <v>51</v>
          </cell>
          <cell r="G38">
            <v>15000</v>
          </cell>
          <cell r="H38">
            <v>762</v>
          </cell>
          <cell r="I38">
            <v>300</v>
          </cell>
          <cell r="J38">
            <v>0</v>
          </cell>
          <cell r="K38">
            <v>16913</v>
          </cell>
          <cell r="L38">
            <v>15000</v>
          </cell>
          <cell r="M38">
            <v>7</v>
          </cell>
          <cell r="P38">
            <v>8386966572</v>
          </cell>
        </row>
        <row r="39">
          <cell r="C39">
            <v>1500</v>
          </cell>
          <cell r="D39">
            <v>188</v>
          </cell>
          <cell r="E39">
            <v>800</v>
          </cell>
          <cell r="F39">
            <v>51</v>
          </cell>
          <cell r="G39">
            <v>9000</v>
          </cell>
          <cell r="H39">
            <v>699</v>
          </cell>
          <cell r="I39">
            <v>370</v>
          </cell>
          <cell r="J39">
            <v>0</v>
          </cell>
          <cell r="K39">
            <v>10920</v>
          </cell>
          <cell r="L39">
            <v>18500</v>
          </cell>
          <cell r="M39">
            <v>7</v>
          </cell>
          <cell r="P39">
            <v>8386966572</v>
          </cell>
        </row>
        <row r="40">
          <cell r="C40">
            <v>0</v>
          </cell>
          <cell r="D40">
            <v>0</v>
          </cell>
          <cell r="E40">
            <v>200</v>
          </cell>
          <cell r="F40">
            <v>0</v>
          </cell>
          <cell r="G40">
            <v>0</v>
          </cell>
          <cell r="H40">
            <v>0</v>
          </cell>
          <cell r="I40">
            <v>100</v>
          </cell>
          <cell r="J40">
            <v>0</v>
          </cell>
          <cell r="K40">
            <v>300</v>
          </cell>
          <cell r="L40">
            <v>9986</v>
          </cell>
          <cell r="M40">
            <v>3</v>
          </cell>
          <cell r="P40">
            <v>7073078323</v>
          </cell>
        </row>
        <row r="41">
          <cell r="C41">
            <v>0</v>
          </cell>
          <cell r="D41">
            <v>0</v>
          </cell>
          <cell r="E41">
            <v>200</v>
          </cell>
          <cell r="F41">
            <v>0</v>
          </cell>
          <cell r="G41">
            <v>0</v>
          </cell>
          <cell r="H41">
            <v>0</v>
          </cell>
          <cell r="I41">
            <v>100</v>
          </cell>
          <cell r="J41">
            <v>0</v>
          </cell>
          <cell r="K41">
            <v>300</v>
          </cell>
          <cell r="L41">
            <v>10000</v>
          </cell>
          <cell r="M41">
            <v>3</v>
          </cell>
          <cell r="P41">
            <v>7073078323</v>
          </cell>
        </row>
        <row r="42">
          <cell r="C42">
            <v>0</v>
          </cell>
          <cell r="D42">
            <v>0</v>
          </cell>
          <cell r="E42">
            <v>200</v>
          </cell>
          <cell r="F42">
            <v>0</v>
          </cell>
          <cell r="G42">
            <v>0</v>
          </cell>
          <cell r="H42">
            <v>0</v>
          </cell>
          <cell r="I42">
            <v>126</v>
          </cell>
          <cell r="J42">
            <v>0</v>
          </cell>
          <cell r="K42">
            <v>326</v>
          </cell>
          <cell r="L42">
            <v>12599</v>
          </cell>
          <cell r="M42">
            <v>3</v>
          </cell>
          <cell r="P42">
            <v>7073078323</v>
          </cell>
        </row>
        <row r="43">
          <cell r="C43">
            <v>11000</v>
          </cell>
          <cell r="D43">
            <v>0</v>
          </cell>
          <cell r="E43">
            <v>200</v>
          </cell>
          <cell r="F43">
            <v>0</v>
          </cell>
          <cell r="G43">
            <v>1000</v>
          </cell>
          <cell r="H43">
            <v>0</v>
          </cell>
          <cell r="I43">
            <v>120</v>
          </cell>
          <cell r="J43">
            <v>0</v>
          </cell>
          <cell r="K43">
            <v>1320</v>
          </cell>
          <cell r="L43">
            <v>12000</v>
          </cell>
          <cell r="M43">
            <v>9</v>
          </cell>
          <cell r="P43">
            <v>9887923580</v>
          </cell>
        </row>
        <row r="44">
          <cell r="C44">
            <v>0</v>
          </cell>
          <cell r="D44">
            <v>0</v>
          </cell>
          <cell r="E44">
            <v>200</v>
          </cell>
          <cell r="F44">
            <v>0</v>
          </cell>
          <cell r="G44">
            <v>4343</v>
          </cell>
          <cell r="H44">
            <v>0</v>
          </cell>
          <cell r="I44">
            <v>43</v>
          </cell>
          <cell r="J44">
            <v>0</v>
          </cell>
          <cell r="K44">
            <v>4586</v>
          </cell>
          <cell r="L44">
            <v>4343</v>
          </cell>
          <cell r="M44">
            <v>7</v>
          </cell>
          <cell r="P44">
            <v>9887923580</v>
          </cell>
        </row>
        <row r="45">
          <cell r="C45">
            <v>1400</v>
          </cell>
          <cell r="D45">
            <v>0</v>
          </cell>
          <cell r="E45">
            <v>200</v>
          </cell>
          <cell r="F45">
            <v>0</v>
          </cell>
          <cell r="G45">
            <v>0</v>
          </cell>
          <cell r="H45">
            <v>0</v>
          </cell>
          <cell r="I45">
            <v>108</v>
          </cell>
          <cell r="J45">
            <v>0</v>
          </cell>
          <cell r="K45">
            <v>308</v>
          </cell>
          <cell r="L45">
            <v>10839</v>
          </cell>
          <cell r="M45">
            <v>4</v>
          </cell>
          <cell r="P45">
            <v>9799808935</v>
          </cell>
        </row>
        <row r="46">
          <cell r="C46">
            <v>19800</v>
          </cell>
          <cell r="D46">
            <v>0</v>
          </cell>
          <cell r="E46">
            <v>200</v>
          </cell>
          <cell r="F46">
            <v>0</v>
          </cell>
          <cell r="G46">
            <v>1914</v>
          </cell>
          <cell r="H46">
            <v>0</v>
          </cell>
          <cell r="I46">
            <v>217</v>
          </cell>
          <cell r="J46">
            <v>0</v>
          </cell>
          <cell r="K46">
            <v>2331</v>
          </cell>
          <cell r="L46">
            <v>21714</v>
          </cell>
          <cell r="M46">
            <v>5</v>
          </cell>
          <cell r="P46">
            <v>91667880643</v>
          </cell>
        </row>
        <row r="47">
          <cell r="C47">
            <v>20700</v>
          </cell>
          <cell r="D47">
            <v>0</v>
          </cell>
          <cell r="E47">
            <v>200</v>
          </cell>
          <cell r="F47">
            <v>0</v>
          </cell>
          <cell r="G47">
            <v>2300</v>
          </cell>
          <cell r="H47">
            <v>0</v>
          </cell>
          <cell r="I47">
            <v>230</v>
          </cell>
          <cell r="J47">
            <v>0</v>
          </cell>
          <cell r="K47">
            <v>2730</v>
          </cell>
          <cell r="L47">
            <v>23000</v>
          </cell>
          <cell r="M47">
            <v>5</v>
          </cell>
          <cell r="P47">
            <v>91667880643</v>
          </cell>
        </row>
        <row r="48">
          <cell r="C48">
            <v>20700</v>
          </cell>
          <cell r="D48">
            <v>0</v>
          </cell>
          <cell r="E48">
            <v>200</v>
          </cell>
          <cell r="F48">
            <v>0</v>
          </cell>
          <cell r="G48">
            <v>2300</v>
          </cell>
          <cell r="H48">
            <v>0</v>
          </cell>
          <cell r="I48">
            <v>230</v>
          </cell>
          <cell r="J48">
            <v>0</v>
          </cell>
          <cell r="K48">
            <v>2730</v>
          </cell>
          <cell r="L48">
            <v>23000</v>
          </cell>
          <cell r="M48">
            <v>5</v>
          </cell>
          <cell r="P48">
            <v>91667880643</v>
          </cell>
        </row>
        <row r="49">
          <cell r="C49">
            <v>20700</v>
          </cell>
          <cell r="D49">
            <v>0</v>
          </cell>
          <cell r="E49">
            <v>200</v>
          </cell>
          <cell r="F49">
            <v>0</v>
          </cell>
          <cell r="G49">
            <v>2300</v>
          </cell>
          <cell r="H49">
            <v>0</v>
          </cell>
          <cell r="I49">
            <v>230</v>
          </cell>
          <cell r="J49">
            <v>0</v>
          </cell>
          <cell r="K49">
            <v>2730</v>
          </cell>
          <cell r="L49">
            <v>23000</v>
          </cell>
          <cell r="M49">
            <v>5</v>
          </cell>
          <cell r="P49">
            <v>91667880643</v>
          </cell>
        </row>
        <row r="50">
          <cell r="C50">
            <v>20700</v>
          </cell>
          <cell r="D50">
            <v>0</v>
          </cell>
          <cell r="E50">
            <v>200</v>
          </cell>
          <cell r="F50">
            <v>0</v>
          </cell>
          <cell r="G50">
            <v>2300</v>
          </cell>
          <cell r="H50">
            <v>0</v>
          </cell>
          <cell r="I50">
            <v>230</v>
          </cell>
          <cell r="J50">
            <v>0</v>
          </cell>
          <cell r="K50">
            <v>2730</v>
          </cell>
          <cell r="L50">
            <v>23000</v>
          </cell>
          <cell r="M50">
            <v>5</v>
          </cell>
          <cell r="P50">
            <v>91667880643</v>
          </cell>
        </row>
        <row r="51">
          <cell r="C51">
            <v>500</v>
          </cell>
          <cell r="D51">
            <v>0</v>
          </cell>
          <cell r="E51">
            <v>200</v>
          </cell>
          <cell r="F51">
            <v>0</v>
          </cell>
          <cell r="G51">
            <v>500</v>
          </cell>
          <cell r="H51">
            <v>0</v>
          </cell>
          <cell r="I51">
            <v>200</v>
          </cell>
          <cell r="J51">
            <v>0</v>
          </cell>
          <cell r="K51">
            <v>900</v>
          </cell>
          <cell r="L51">
            <v>20000</v>
          </cell>
          <cell r="M51">
            <v>1</v>
          </cell>
          <cell r="P51">
            <v>6367846106</v>
          </cell>
        </row>
        <row r="52">
          <cell r="C52">
            <v>10500</v>
          </cell>
          <cell r="D52">
            <v>0</v>
          </cell>
          <cell r="E52">
            <v>183</v>
          </cell>
          <cell r="F52">
            <v>0</v>
          </cell>
          <cell r="G52">
            <v>1200</v>
          </cell>
          <cell r="H52">
            <v>0</v>
          </cell>
          <cell r="I52">
            <v>117</v>
          </cell>
          <cell r="J52">
            <v>0</v>
          </cell>
          <cell r="K52">
            <v>1500</v>
          </cell>
          <cell r="L52">
            <v>11700</v>
          </cell>
          <cell r="M52">
            <v>5</v>
          </cell>
          <cell r="P52">
            <v>6367846106</v>
          </cell>
        </row>
        <row r="53">
          <cell r="C53">
            <v>10500</v>
          </cell>
          <cell r="D53">
            <v>0</v>
          </cell>
          <cell r="E53">
            <v>200</v>
          </cell>
          <cell r="F53">
            <v>0</v>
          </cell>
          <cell r="G53">
            <v>1200</v>
          </cell>
          <cell r="H53">
            <v>0</v>
          </cell>
          <cell r="I53">
            <v>117</v>
          </cell>
          <cell r="J53">
            <v>0</v>
          </cell>
          <cell r="K53">
            <v>1517</v>
          </cell>
          <cell r="L53">
            <v>11700</v>
          </cell>
          <cell r="M53">
            <v>5</v>
          </cell>
          <cell r="P53">
            <v>6367846106</v>
          </cell>
        </row>
        <row r="54">
          <cell r="C54">
            <v>10500</v>
          </cell>
          <cell r="D54">
            <v>0</v>
          </cell>
          <cell r="E54">
            <v>200</v>
          </cell>
          <cell r="F54">
            <v>0</v>
          </cell>
          <cell r="G54">
            <v>1200</v>
          </cell>
          <cell r="H54">
            <v>0</v>
          </cell>
          <cell r="I54">
            <v>117</v>
          </cell>
          <cell r="J54">
            <v>0</v>
          </cell>
          <cell r="K54">
            <v>1517</v>
          </cell>
          <cell r="L54">
            <v>11700</v>
          </cell>
          <cell r="M54">
            <v>5</v>
          </cell>
          <cell r="P54">
            <v>6367846106</v>
          </cell>
        </row>
        <row r="55">
          <cell r="C55">
            <v>10500</v>
          </cell>
          <cell r="D55">
            <v>0</v>
          </cell>
          <cell r="E55">
            <v>200</v>
          </cell>
          <cell r="F55">
            <v>0</v>
          </cell>
          <cell r="G55">
            <v>1136</v>
          </cell>
          <cell r="H55">
            <v>0</v>
          </cell>
          <cell r="I55">
            <v>116</v>
          </cell>
          <cell r="J55">
            <v>0</v>
          </cell>
          <cell r="K55">
            <v>1452</v>
          </cell>
          <cell r="L55">
            <v>11636</v>
          </cell>
          <cell r="M55">
            <v>5</v>
          </cell>
          <cell r="P55">
            <v>6367846106</v>
          </cell>
        </row>
        <row r="56">
          <cell r="C56">
            <v>1000</v>
          </cell>
          <cell r="D56">
            <v>0</v>
          </cell>
          <cell r="E56">
            <v>200</v>
          </cell>
          <cell r="F56">
            <v>0</v>
          </cell>
          <cell r="G56">
            <v>1000</v>
          </cell>
          <cell r="H56">
            <v>0</v>
          </cell>
          <cell r="I56">
            <v>150</v>
          </cell>
          <cell r="J56">
            <v>0</v>
          </cell>
          <cell r="K56">
            <v>1350</v>
          </cell>
          <cell r="L56">
            <v>15000</v>
          </cell>
          <cell r="M56">
            <v>6</v>
          </cell>
          <cell r="P56">
            <v>9799626367</v>
          </cell>
        </row>
        <row r="57">
          <cell r="C57">
            <v>1000</v>
          </cell>
          <cell r="D57">
            <v>0</v>
          </cell>
          <cell r="E57">
            <v>200</v>
          </cell>
          <cell r="F57">
            <v>0</v>
          </cell>
          <cell r="G57">
            <v>1000</v>
          </cell>
          <cell r="H57">
            <v>13</v>
          </cell>
          <cell r="I57">
            <v>171</v>
          </cell>
          <cell r="J57">
            <v>0</v>
          </cell>
          <cell r="K57">
            <v>1384</v>
          </cell>
          <cell r="L57">
            <v>17000</v>
          </cell>
          <cell r="M57">
            <v>4</v>
          </cell>
          <cell r="P57">
            <v>9887287886</v>
          </cell>
        </row>
        <row r="58">
          <cell r="C58">
            <v>3000</v>
          </cell>
          <cell r="D58">
            <v>0</v>
          </cell>
          <cell r="E58">
            <v>0</v>
          </cell>
          <cell r="F58">
            <v>0</v>
          </cell>
          <cell r="G58">
            <v>3000</v>
          </cell>
          <cell r="H58">
            <v>0</v>
          </cell>
          <cell r="I58">
            <v>120</v>
          </cell>
          <cell r="J58">
            <v>0</v>
          </cell>
          <cell r="K58">
            <v>3120</v>
          </cell>
          <cell r="L58">
            <v>12000</v>
          </cell>
          <cell r="M58">
            <v>7</v>
          </cell>
          <cell r="P58">
            <v>8107212427</v>
          </cell>
        </row>
        <row r="59">
          <cell r="C59">
            <v>3000</v>
          </cell>
          <cell r="D59">
            <v>0</v>
          </cell>
          <cell r="E59">
            <v>0</v>
          </cell>
          <cell r="F59">
            <v>0</v>
          </cell>
          <cell r="G59">
            <v>3000</v>
          </cell>
          <cell r="H59">
            <v>0</v>
          </cell>
          <cell r="I59">
            <v>120</v>
          </cell>
          <cell r="J59">
            <v>0</v>
          </cell>
          <cell r="K59">
            <v>3120</v>
          </cell>
          <cell r="L59">
            <v>12000</v>
          </cell>
          <cell r="M59">
            <v>7</v>
          </cell>
          <cell r="P59">
            <v>8107212427</v>
          </cell>
        </row>
        <row r="60">
          <cell r="C60">
            <v>1500</v>
          </cell>
          <cell r="D60">
            <v>0</v>
          </cell>
          <cell r="E60">
            <v>0</v>
          </cell>
          <cell r="F60">
            <v>0</v>
          </cell>
          <cell r="G60">
            <v>1500</v>
          </cell>
          <cell r="H60">
            <v>0</v>
          </cell>
          <cell r="I60">
            <v>75</v>
          </cell>
          <cell r="J60">
            <v>0</v>
          </cell>
          <cell r="K60">
            <v>1575</v>
          </cell>
          <cell r="L60">
            <v>7500</v>
          </cell>
          <cell r="M60">
            <v>16</v>
          </cell>
          <cell r="P60">
            <v>9694027034</v>
          </cell>
        </row>
        <row r="61">
          <cell r="C61">
            <v>1500</v>
          </cell>
          <cell r="D61">
            <v>0</v>
          </cell>
          <cell r="E61">
            <v>0</v>
          </cell>
          <cell r="F61">
            <v>0</v>
          </cell>
          <cell r="G61">
            <v>1500</v>
          </cell>
          <cell r="H61">
            <v>0</v>
          </cell>
          <cell r="I61">
            <v>75</v>
          </cell>
          <cell r="J61">
            <v>0</v>
          </cell>
          <cell r="K61">
            <v>1575</v>
          </cell>
          <cell r="L61">
            <v>7500</v>
          </cell>
          <cell r="M61">
            <v>16</v>
          </cell>
          <cell r="P61">
            <v>9694027034</v>
          </cell>
        </row>
        <row r="62">
          <cell r="C62">
            <v>1000</v>
          </cell>
          <cell r="D62">
            <v>0</v>
          </cell>
          <cell r="E62">
            <v>200</v>
          </cell>
          <cell r="F62">
            <v>0</v>
          </cell>
          <cell r="G62">
            <v>1000</v>
          </cell>
          <cell r="H62">
            <v>0</v>
          </cell>
          <cell r="I62">
            <v>60</v>
          </cell>
          <cell r="J62">
            <v>0</v>
          </cell>
          <cell r="K62">
            <v>1260</v>
          </cell>
          <cell r="L62">
            <v>6000</v>
          </cell>
          <cell r="M62">
            <v>15</v>
          </cell>
          <cell r="P62">
            <v>9694027034</v>
          </cell>
        </row>
        <row r="63">
          <cell r="C63">
            <v>1000</v>
          </cell>
          <cell r="D63">
            <v>0</v>
          </cell>
          <cell r="E63">
            <v>400</v>
          </cell>
          <cell r="F63">
            <v>10</v>
          </cell>
          <cell r="G63">
            <v>2000</v>
          </cell>
          <cell r="H63">
            <v>0</v>
          </cell>
          <cell r="I63">
            <v>160</v>
          </cell>
          <cell r="J63">
            <v>0</v>
          </cell>
          <cell r="K63">
            <v>2570</v>
          </cell>
          <cell r="L63">
            <v>8000</v>
          </cell>
          <cell r="M63">
            <v>14</v>
          </cell>
          <cell r="P63">
            <v>9587963189</v>
          </cell>
        </row>
        <row r="64">
          <cell r="C64">
            <v>1000</v>
          </cell>
          <cell r="D64">
            <v>0</v>
          </cell>
          <cell r="E64">
            <v>400</v>
          </cell>
          <cell r="F64">
            <v>10</v>
          </cell>
          <cell r="G64">
            <v>0</v>
          </cell>
          <cell r="H64">
            <v>0</v>
          </cell>
          <cell r="I64">
            <v>110</v>
          </cell>
          <cell r="J64">
            <v>0</v>
          </cell>
          <cell r="K64">
            <v>520</v>
          </cell>
          <cell r="L64">
            <v>5499</v>
          </cell>
          <cell r="M64">
            <v>14</v>
          </cell>
          <cell r="P64">
            <v>9587963189</v>
          </cell>
        </row>
        <row r="65">
          <cell r="C65">
            <v>0</v>
          </cell>
          <cell r="D65">
            <v>0</v>
          </cell>
          <cell r="E65">
            <v>200</v>
          </cell>
          <cell r="F65">
            <v>0</v>
          </cell>
          <cell r="G65">
            <v>0</v>
          </cell>
          <cell r="H65">
            <v>0</v>
          </cell>
          <cell r="I65">
            <v>50</v>
          </cell>
          <cell r="J65">
            <v>0</v>
          </cell>
          <cell r="K65">
            <v>250</v>
          </cell>
          <cell r="L65">
            <v>5000</v>
          </cell>
          <cell r="M65">
            <v>2</v>
          </cell>
          <cell r="P65">
            <v>9509644420</v>
          </cell>
        </row>
        <row r="66">
          <cell r="C66">
            <v>0</v>
          </cell>
          <cell r="D66">
            <v>0</v>
          </cell>
          <cell r="E66">
            <v>200</v>
          </cell>
          <cell r="F66">
            <v>0</v>
          </cell>
          <cell r="G66">
            <v>0</v>
          </cell>
          <cell r="H66">
            <v>0</v>
          </cell>
          <cell r="I66">
            <v>130</v>
          </cell>
          <cell r="J66">
            <v>0</v>
          </cell>
          <cell r="K66">
            <v>330</v>
          </cell>
          <cell r="L66">
            <v>13000</v>
          </cell>
          <cell r="M66">
            <v>2</v>
          </cell>
          <cell r="P66">
            <v>9509644420</v>
          </cell>
        </row>
        <row r="67">
          <cell r="C67">
            <v>0</v>
          </cell>
          <cell r="D67">
            <v>0</v>
          </cell>
          <cell r="E67">
            <v>200</v>
          </cell>
          <cell r="F67">
            <v>0</v>
          </cell>
          <cell r="G67">
            <v>18000</v>
          </cell>
          <cell r="H67">
            <v>0</v>
          </cell>
          <cell r="I67">
            <v>180</v>
          </cell>
          <cell r="J67">
            <v>0</v>
          </cell>
          <cell r="K67">
            <v>18380</v>
          </cell>
          <cell r="L67">
            <v>18000</v>
          </cell>
          <cell r="M67">
            <v>6</v>
          </cell>
          <cell r="P67">
            <v>9694390502</v>
          </cell>
        </row>
        <row r="68">
          <cell r="C68">
            <v>0</v>
          </cell>
          <cell r="D68">
            <v>0</v>
          </cell>
          <cell r="E68">
            <v>200</v>
          </cell>
          <cell r="F68">
            <v>0</v>
          </cell>
          <cell r="G68">
            <v>18000</v>
          </cell>
          <cell r="H68">
            <v>0</v>
          </cell>
          <cell r="I68">
            <v>180</v>
          </cell>
          <cell r="J68">
            <v>0</v>
          </cell>
          <cell r="K68">
            <v>18380</v>
          </cell>
          <cell r="L68">
            <v>18000</v>
          </cell>
          <cell r="M68">
            <v>6</v>
          </cell>
          <cell r="P68">
            <v>9694390502</v>
          </cell>
        </row>
        <row r="69">
          <cell r="C69">
            <v>1000</v>
          </cell>
          <cell r="D69">
            <v>0</v>
          </cell>
          <cell r="E69">
            <v>195</v>
          </cell>
          <cell r="F69">
            <v>0</v>
          </cell>
          <cell r="G69">
            <v>1000</v>
          </cell>
          <cell r="H69">
            <v>0</v>
          </cell>
          <cell r="I69">
            <v>180</v>
          </cell>
          <cell r="J69">
            <v>0</v>
          </cell>
          <cell r="K69">
            <v>1375</v>
          </cell>
          <cell r="L69">
            <v>18000</v>
          </cell>
          <cell r="M69">
            <v>3</v>
          </cell>
          <cell r="P69">
            <v>9929861074</v>
          </cell>
        </row>
        <row r="70">
          <cell r="C70">
            <v>1000</v>
          </cell>
          <cell r="D70">
            <v>0</v>
          </cell>
          <cell r="E70">
            <v>200</v>
          </cell>
          <cell r="F70">
            <v>0</v>
          </cell>
          <cell r="G70">
            <v>1000</v>
          </cell>
          <cell r="H70">
            <v>0</v>
          </cell>
          <cell r="I70">
            <v>180</v>
          </cell>
          <cell r="J70">
            <v>0</v>
          </cell>
          <cell r="K70">
            <v>1380</v>
          </cell>
          <cell r="L70">
            <v>18000</v>
          </cell>
          <cell r="M70">
            <v>3</v>
          </cell>
          <cell r="P70">
            <v>9929861074</v>
          </cell>
        </row>
        <row r="71">
          <cell r="C71">
            <v>500</v>
          </cell>
          <cell r="D71">
            <v>0</v>
          </cell>
          <cell r="E71">
            <v>200</v>
          </cell>
          <cell r="F71">
            <v>0</v>
          </cell>
          <cell r="G71">
            <v>500</v>
          </cell>
          <cell r="H71">
            <v>0</v>
          </cell>
          <cell r="I71">
            <v>580</v>
          </cell>
          <cell r="J71">
            <v>0</v>
          </cell>
          <cell r="K71">
            <v>1280</v>
          </cell>
          <cell r="L71">
            <v>58000</v>
          </cell>
          <cell r="M71">
            <v>5</v>
          </cell>
          <cell r="P71">
            <v>9982447051</v>
          </cell>
        </row>
        <row r="72">
          <cell r="C72">
            <v>500</v>
          </cell>
          <cell r="D72">
            <v>0</v>
          </cell>
          <cell r="E72">
            <v>200</v>
          </cell>
          <cell r="F72">
            <v>0</v>
          </cell>
          <cell r="G72">
            <v>500</v>
          </cell>
          <cell r="H72">
            <v>0</v>
          </cell>
          <cell r="I72">
            <v>580</v>
          </cell>
          <cell r="J72">
            <v>0</v>
          </cell>
          <cell r="K72">
            <v>1280</v>
          </cell>
          <cell r="L72">
            <v>58000</v>
          </cell>
          <cell r="M72">
            <v>5</v>
          </cell>
          <cell r="P72">
            <v>9982447051</v>
          </cell>
        </row>
        <row r="73">
          <cell r="C73">
            <v>500</v>
          </cell>
          <cell r="D73">
            <v>0</v>
          </cell>
          <cell r="E73">
            <v>200</v>
          </cell>
          <cell r="F73">
            <v>0</v>
          </cell>
          <cell r="G73">
            <v>500</v>
          </cell>
          <cell r="H73">
            <v>0</v>
          </cell>
          <cell r="I73">
            <v>580</v>
          </cell>
          <cell r="J73">
            <v>0</v>
          </cell>
          <cell r="K73">
            <v>1280</v>
          </cell>
          <cell r="L73">
            <v>58000</v>
          </cell>
          <cell r="M73">
            <v>5</v>
          </cell>
          <cell r="P73">
            <v>9982447051</v>
          </cell>
        </row>
        <row r="74">
          <cell r="C74">
            <v>500</v>
          </cell>
          <cell r="D74">
            <v>0</v>
          </cell>
          <cell r="E74">
            <v>200</v>
          </cell>
          <cell r="F74">
            <v>0</v>
          </cell>
          <cell r="G74">
            <v>500</v>
          </cell>
          <cell r="H74">
            <v>0</v>
          </cell>
          <cell r="I74">
            <v>580</v>
          </cell>
          <cell r="J74">
            <v>0</v>
          </cell>
          <cell r="K74">
            <v>1280</v>
          </cell>
          <cell r="L74">
            <v>58000</v>
          </cell>
          <cell r="M74">
            <v>5</v>
          </cell>
          <cell r="P74">
            <v>9982447051</v>
          </cell>
        </row>
        <row r="75">
          <cell r="C75">
            <v>500</v>
          </cell>
          <cell r="D75">
            <v>0</v>
          </cell>
          <cell r="E75">
            <v>200</v>
          </cell>
          <cell r="F75">
            <v>0</v>
          </cell>
          <cell r="G75">
            <v>500</v>
          </cell>
          <cell r="H75">
            <v>0</v>
          </cell>
          <cell r="I75">
            <v>580</v>
          </cell>
          <cell r="J75">
            <v>0</v>
          </cell>
          <cell r="K75">
            <v>1280</v>
          </cell>
          <cell r="L75">
            <v>58000</v>
          </cell>
          <cell r="M75">
            <v>5</v>
          </cell>
          <cell r="P75">
            <v>9982447051</v>
          </cell>
        </row>
        <row r="76">
          <cell r="C76">
            <v>500</v>
          </cell>
          <cell r="D76">
            <v>0</v>
          </cell>
          <cell r="E76">
            <v>200</v>
          </cell>
          <cell r="F76">
            <v>0</v>
          </cell>
          <cell r="G76">
            <v>500</v>
          </cell>
          <cell r="H76">
            <v>0</v>
          </cell>
          <cell r="I76">
            <v>580</v>
          </cell>
          <cell r="J76">
            <v>0</v>
          </cell>
          <cell r="K76">
            <v>1280</v>
          </cell>
          <cell r="L76">
            <v>58000</v>
          </cell>
          <cell r="M76">
            <v>5</v>
          </cell>
          <cell r="P76">
            <v>9982447051</v>
          </cell>
        </row>
        <row r="77">
          <cell r="C77">
            <v>500</v>
          </cell>
          <cell r="D77">
            <v>0</v>
          </cell>
          <cell r="E77">
            <v>200</v>
          </cell>
          <cell r="F77">
            <v>0</v>
          </cell>
          <cell r="G77">
            <v>0</v>
          </cell>
          <cell r="H77">
            <v>0</v>
          </cell>
          <cell r="I77">
            <v>265</v>
          </cell>
          <cell r="J77">
            <v>0</v>
          </cell>
          <cell r="K77">
            <v>465</v>
          </cell>
          <cell r="L77">
            <v>26500</v>
          </cell>
          <cell r="M77">
            <v>7</v>
          </cell>
          <cell r="P77">
            <v>9982447051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P78">
            <v>8769411411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P79">
            <v>8769411411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P80">
            <v>8769411411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P81">
            <v>8769411411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P82">
            <v>8769411411</v>
          </cell>
        </row>
        <row r="83">
          <cell r="C83">
            <v>1000</v>
          </cell>
          <cell r="D83">
            <v>0</v>
          </cell>
          <cell r="E83">
            <v>200</v>
          </cell>
          <cell r="F83">
            <v>0</v>
          </cell>
          <cell r="G83">
            <v>156</v>
          </cell>
          <cell r="H83">
            <v>0</v>
          </cell>
          <cell r="I83">
            <v>172</v>
          </cell>
          <cell r="J83">
            <v>0</v>
          </cell>
          <cell r="K83">
            <v>528</v>
          </cell>
          <cell r="L83">
            <v>17156</v>
          </cell>
          <cell r="M83">
            <v>3</v>
          </cell>
          <cell r="P83">
            <v>8559873879</v>
          </cell>
        </row>
        <row r="84">
          <cell r="C84">
            <v>1000</v>
          </cell>
          <cell r="D84">
            <v>0</v>
          </cell>
          <cell r="E84">
            <v>200</v>
          </cell>
          <cell r="F84">
            <v>0</v>
          </cell>
          <cell r="G84">
            <v>1000</v>
          </cell>
          <cell r="H84">
            <v>0</v>
          </cell>
          <cell r="I84">
            <v>180</v>
          </cell>
          <cell r="J84">
            <v>0</v>
          </cell>
          <cell r="K84">
            <v>1380</v>
          </cell>
          <cell r="L84">
            <v>18000</v>
          </cell>
          <cell r="M84">
            <v>3</v>
          </cell>
          <cell r="P84">
            <v>8559873879</v>
          </cell>
        </row>
        <row r="85">
          <cell r="C85">
            <v>0</v>
          </cell>
          <cell r="D85">
            <v>0</v>
          </cell>
          <cell r="E85">
            <v>200</v>
          </cell>
          <cell r="F85">
            <v>0</v>
          </cell>
          <cell r="G85">
            <v>0</v>
          </cell>
          <cell r="H85">
            <v>0</v>
          </cell>
          <cell r="I85">
            <v>130</v>
          </cell>
          <cell r="J85">
            <v>0</v>
          </cell>
          <cell r="K85">
            <v>330</v>
          </cell>
          <cell r="L85">
            <v>13000</v>
          </cell>
          <cell r="M85">
            <v>3</v>
          </cell>
          <cell r="P85">
            <v>9828072198</v>
          </cell>
        </row>
        <row r="86">
          <cell r="C86">
            <v>0</v>
          </cell>
          <cell r="D86">
            <v>0</v>
          </cell>
          <cell r="E86">
            <v>200</v>
          </cell>
          <cell r="F86">
            <v>0</v>
          </cell>
          <cell r="G86">
            <v>0</v>
          </cell>
          <cell r="H86">
            <v>0</v>
          </cell>
          <cell r="I86">
            <v>90</v>
          </cell>
          <cell r="J86">
            <v>0</v>
          </cell>
          <cell r="K86">
            <v>290</v>
          </cell>
          <cell r="L86">
            <v>9000</v>
          </cell>
          <cell r="M86">
            <v>3</v>
          </cell>
          <cell r="P86">
            <v>9828072198</v>
          </cell>
        </row>
        <row r="87">
          <cell r="C87">
            <v>0</v>
          </cell>
          <cell r="D87">
            <v>0</v>
          </cell>
          <cell r="E87">
            <v>200</v>
          </cell>
          <cell r="F87">
            <v>0</v>
          </cell>
          <cell r="G87">
            <v>18000</v>
          </cell>
          <cell r="H87">
            <v>0</v>
          </cell>
          <cell r="I87">
            <v>180</v>
          </cell>
          <cell r="J87">
            <v>0</v>
          </cell>
          <cell r="K87">
            <v>18380</v>
          </cell>
          <cell r="L87">
            <v>18000</v>
          </cell>
          <cell r="M87">
            <v>6</v>
          </cell>
          <cell r="P87">
            <v>9785280999</v>
          </cell>
        </row>
        <row r="88">
          <cell r="C88">
            <v>0</v>
          </cell>
          <cell r="D88">
            <v>0</v>
          </cell>
          <cell r="E88">
            <v>200</v>
          </cell>
          <cell r="F88">
            <v>0</v>
          </cell>
          <cell r="G88">
            <v>14622</v>
          </cell>
          <cell r="H88">
            <v>0</v>
          </cell>
          <cell r="I88">
            <v>146</v>
          </cell>
          <cell r="J88">
            <v>0</v>
          </cell>
          <cell r="K88">
            <v>14968</v>
          </cell>
          <cell r="L88">
            <v>14622</v>
          </cell>
          <cell r="M88">
            <v>6</v>
          </cell>
          <cell r="P88">
            <v>9785280999</v>
          </cell>
        </row>
        <row r="89">
          <cell r="C89">
            <v>0</v>
          </cell>
          <cell r="D89">
            <v>0</v>
          </cell>
          <cell r="E89">
            <v>200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200</v>
          </cell>
          <cell r="L89">
            <v>0</v>
          </cell>
          <cell r="M89">
            <v>0</v>
          </cell>
          <cell r="P89">
            <v>9785280999</v>
          </cell>
        </row>
        <row r="90">
          <cell r="C90">
            <v>0</v>
          </cell>
          <cell r="D90">
            <v>0</v>
          </cell>
          <cell r="E90">
            <v>200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200</v>
          </cell>
          <cell r="L90">
            <v>0</v>
          </cell>
          <cell r="M90">
            <v>0</v>
          </cell>
          <cell r="P90">
            <v>9785280999</v>
          </cell>
        </row>
        <row r="91">
          <cell r="C91">
            <v>1000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150</v>
          </cell>
          <cell r="J91">
            <v>0</v>
          </cell>
          <cell r="K91">
            <v>150</v>
          </cell>
          <cell r="L91">
            <v>14999</v>
          </cell>
          <cell r="M91">
            <v>1</v>
          </cell>
          <cell r="P91">
            <v>9352904021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150</v>
          </cell>
          <cell r="J92">
            <v>0</v>
          </cell>
          <cell r="K92">
            <v>150</v>
          </cell>
          <cell r="L92">
            <v>15000</v>
          </cell>
          <cell r="M92">
            <v>1</v>
          </cell>
          <cell r="P92">
            <v>9352904021</v>
          </cell>
        </row>
        <row r="93">
          <cell r="C93">
            <v>0</v>
          </cell>
          <cell r="D93">
            <v>0</v>
          </cell>
          <cell r="E93">
            <v>200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200</v>
          </cell>
          <cell r="L93">
            <v>0</v>
          </cell>
          <cell r="M93">
            <v>0</v>
          </cell>
          <cell r="P93">
            <v>9983266659</v>
          </cell>
        </row>
        <row r="94">
          <cell r="C94">
            <v>0</v>
          </cell>
          <cell r="D94">
            <v>0</v>
          </cell>
          <cell r="E94">
            <v>200</v>
          </cell>
          <cell r="F94">
            <v>0</v>
          </cell>
          <cell r="G94">
            <v>12732</v>
          </cell>
          <cell r="H94">
            <v>0</v>
          </cell>
          <cell r="I94">
            <v>127</v>
          </cell>
          <cell r="J94">
            <v>0</v>
          </cell>
          <cell r="K94">
            <v>13059</v>
          </cell>
          <cell r="L94">
            <v>12732</v>
          </cell>
          <cell r="M94">
            <v>6</v>
          </cell>
          <cell r="P94">
            <v>9983266659</v>
          </cell>
        </row>
        <row r="95">
          <cell r="C95">
            <v>2000</v>
          </cell>
          <cell r="D95">
            <v>0</v>
          </cell>
          <cell r="E95">
            <v>0</v>
          </cell>
          <cell r="F95">
            <v>0</v>
          </cell>
          <cell r="G95">
            <v>1819</v>
          </cell>
          <cell r="H95">
            <v>0</v>
          </cell>
          <cell r="I95">
            <v>218</v>
          </cell>
          <cell r="J95">
            <v>0</v>
          </cell>
          <cell r="K95">
            <v>2037</v>
          </cell>
          <cell r="L95">
            <v>21819</v>
          </cell>
          <cell r="M95">
            <v>5</v>
          </cell>
          <cell r="P95">
            <v>9799787631</v>
          </cell>
        </row>
        <row r="96">
          <cell r="C96">
            <v>0</v>
          </cell>
          <cell r="D96">
            <v>0</v>
          </cell>
          <cell r="E96">
            <v>200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200</v>
          </cell>
          <cell r="L96">
            <v>0</v>
          </cell>
          <cell r="M96">
            <v>0</v>
          </cell>
          <cell r="P96">
            <v>9799787631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21000</v>
          </cell>
          <cell r="H97">
            <v>0</v>
          </cell>
          <cell r="I97">
            <v>210</v>
          </cell>
          <cell r="J97">
            <v>0</v>
          </cell>
          <cell r="K97">
            <v>21210</v>
          </cell>
          <cell r="L97">
            <v>21000</v>
          </cell>
          <cell r="M97">
            <v>10</v>
          </cell>
          <cell r="P97">
            <v>9116421345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21000</v>
          </cell>
          <cell r="H98">
            <v>0</v>
          </cell>
          <cell r="I98">
            <v>210</v>
          </cell>
          <cell r="J98">
            <v>0</v>
          </cell>
          <cell r="K98">
            <v>21210</v>
          </cell>
          <cell r="L98">
            <v>21000</v>
          </cell>
          <cell r="M98">
            <v>10</v>
          </cell>
          <cell r="P98">
            <v>9116421345</v>
          </cell>
        </row>
        <row r="99">
          <cell r="C99">
            <v>500</v>
          </cell>
          <cell r="D99">
            <v>0</v>
          </cell>
          <cell r="E99">
            <v>200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200</v>
          </cell>
          <cell r="L99">
            <v>0</v>
          </cell>
          <cell r="M99">
            <v>0</v>
          </cell>
          <cell r="P99">
            <v>9116421345</v>
          </cell>
        </row>
        <row r="100">
          <cell r="C100">
            <v>0</v>
          </cell>
          <cell r="D100">
            <v>5027</v>
          </cell>
          <cell r="E100">
            <v>2200</v>
          </cell>
          <cell r="F100">
            <v>642</v>
          </cell>
          <cell r="G100">
            <v>16000</v>
          </cell>
          <cell r="H100">
            <v>6061</v>
          </cell>
          <cell r="I100">
            <v>1760</v>
          </cell>
          <cell r="J100">
            <v>0</v>
          </cell>
          <cell r="K100">
            <v>26663</v>
          </cell>
          <cell r="L100">
            <v>16000</v>
          </cell>
          <cell r="M100">
            <v>12</v>
          </cell>
          <cell r="P100">
            <v>6350644839</v>
          </cell>
        </row>
        <row r="101">
          <cell r="C101">
            <v>0</v>
          </cell>
          <cell r="D101">
            <v>5027</v>
          </cell>
          <cell r="E101">
            <v>2200</v>
          </cell>
          <cell r="F101">
            <v>642</v>
          </cell>
          <cell r="G101">
            <v>16000</v>
          </cell>
          <cell r="H101">
            <v>6061</v>
          </cell>
          <cell r="I101">
            <v>1760</v>
          </cell>
          <cell r="J101">
            <v>0</v>
          </cell>
          <cell r="K101">
            <v>26663</v>
          </cell>
          <cell r="L101">
            <v>16000</v>
          </cell>
          <cell r="M101">
            <v>12</v>
          </cell>
          <cell r="P101">
            <v>6350644839</v>
          </cell>
        </row>
        <row r="102">
          <cell r="C102">
            <v>0</v>
          </cell>
          <cell r="D102">
            <v>5027</v>
          </cell>
          <cell r="E102">
            <v>2200</v>
          </cell>
          <cell r="F102">
            <v>642</v>
          </cell>
          <cell r="G102">
            <v>16000</v>
          </cell>
          <cell r="H102">
            <v>6061</v>
          </cell>
          <cell r="I102">
            <v>1760</v>
          </cell>
          <cell r="J102">
            <v>0</v>
          </cell>
          <cell r="K102">
            <v>26663</v>
          </cell>
          <cell r="L102">
            <v>16000</v>
          </cell>
          <cell r="M102">
            <v>12</v>
          </cell>
          <cell r="P102">
            <v>6350644839</v>
          </cell>
        </row>
        <row r="103">
          <cell r="C103">
            <v>0</v>
          </cell>
          <cell r="D103">
            <v>5027</v>
          </cell>
          <cell r="E103">
            <v>2200</v>
          </cell>
          <cell r="F103">
            <v>642</v>
          </cell>
          <cell r="G103">
            <v>16000</v>
          </cell>
          <cell r="H103">
            <v>6061</v>
          </cell>
          <cell r="I103">
            <v>1760</v>
          </cell>
          <cell r="J103">
            <v>0</v>
          </cell>
          <cell r="K103">
            <v>26663</v>
          </cell>
          <cell r="L103">
            <v>16000</v>
          </cell>
          <cell r="M103">
            <v>12</v>
          </cell>
          <cell r="P103">
            <v>6350644839</v>
          </cell>
        </row>
        <row r="104">
          <cell r="C104">
            <v>0</v>
          </cell>
          <cell r="D104">
            <v>5027</v>
          </cell>
          <cell r="E104">
            <v>2200</v>
          </cell>
          <cell r="F104">
            <v>642</v>
          </cell>
          <cell r="G104">
            <v>16000</v>
          </cell>
          <cell r="H104">
            <v>6061</v>
          </cell>
          <cell r="I104">
            <v>1760</v>
          </cell>
          <cell r="J104">
            <v>0</v>
          </cell>
          <cell r="K104">
            <v>26663</v>
          </cell>
          <cell r="L104">
            <v>16000</v>
          </cell>
          <cell r="M104">
            <v>12</v>
          </cell>
          <cell r="P104">
            <v>6350644839</v>
          </cell>
        </row>
        <row r="105">
          <cell r="C105">
            <v>0</v>
          </cell>
          <cell r="D105">
            <v>0</v>
          </cell>
          <cell r="E105">
            <v>200</v>
          </cell>
          <cell r="F105">
            <v>0</v>
          </cell>
          <cell r="G105">
            <v>0</v>
          </cell>
          <cell r="H105">
            <v>53</v>
          </cell>
          <cell r="I105">
            <v>117</v>
          </cell>
          <cell r="J105">
            <v>0</v>
          </cell>
          <cell r="K105">
            <v>370</v>
          </cell>
          <cell r="L105">
            <v>11000</v>
          </cell>
          <cell r="M105">
            <v>1</v>
          </cell>
          <cell r="P105">
            <v>9982361246</v>
          </cell>
        </row>
        <row r="106">
          <cell r="C106">
            <v>0</v>
          </cell>
          <cell r="D106">
            <v>0</v>
          </cell>
          <cell r="E106">
            <v>200</v>
          </cell>
          <cell r="F106">
            <v>0</v>
          </cell>
          <cell r="G106">
            <v>0</v>
          </cell>
          <cell r="H106">
            <v>53</v>
          </cell>
          <cell r="I106">
            <v>117</v>
          </cell>
          <cell r="J106">
            <v>0</v>
          </cell>
          <cell r="K106">
            <v>370</v>
          </cell>
          <cell r="L106">
            <v>11000</v>
          </cell>
          <cell r="M106">
            <v>1</v>
          </cell>
          <cell r="P106">
            <v>9982361246</v>
          </cell>
        </row>
        <row r="107">
          <cell r="C107">
            <v>0</v>
          </cell>
          <cell r="D107">
            <v>0</v>
          </cell>
          <cell r="E107">
            <v>200</v>
          </cell>
          <cell r="F107">
            <v>0</v>
          </cell>
          <cell r="G107">
            <v>0</v>
          </cell>
          <cell r="H107">
            <v>53</v>
          </cell>
          <cell r="I107">
            <v>117</v>
          </cell>
          <cell r="J107">
            <v>0</v>
          </cell>
          <cell r="K107">
            <v>370</v>
          </cell>
          <cell r="L107">
            <v>11000</v>
          </cell>
          <cell r="M107">
            <v>1</v>
          </cell>
          <cell r="P107">
            <v>9982361246</v>
          </cell>
        </row>
        <row r="108">
          <cell r="C108">
            <v>0</v>
          </cell>
          <cell r="D108">
            <v>0</v>
          </cell>
          <cell r="E108">
            <v>200</v>
          </cell>
          <cell r="F108">
            <v>0</v>
          </cell>
          <cell r="G108">
            <v>0</v>
          </cell>
          <cell r="H108">
            <v>53</v>
          </cell>
          <cell r="I108">
            <v>117</v>
          </cell>
          <cell r="J108">
            <v>0</v>
          </cell>
          <cell r="K108">
            <v>370</v>
          </cell>
          <cell r="L108">
            <v>11000</v>
          </cell>
          <cell r="M108">
            <v>1</v>
          </cell>
          <cell r="P108">
            <v>9982361246</v>
          </cell>
        </row>
        <row r="109">
          <cell r="C109">
            <v>0</v>
          </cell>
          <cell r="D109">
            <v>0</v>
          </cell>
          <cell r="E109">
            <v>200</v>
          </cell>
          <cell r="F109">
            <v>0</v>
          </cell>
          <cell r="G109">
            <v>0</v>
          </cell>
          <cell r="H109">
            <v>53</v>
          </cell>
          <cell r="I109">
            <v>117</v>
          </cell>
          <cell r="J109">
            <v>0</v>
          </cell>
          <cell r="K109">
            <v>370</v>
          </cell>
          <cell r="L109">
            <v>11000</v>
          </cell>
          <cell r="M109">
            <v>1</v>
          </cell>
          <cell r="P109">
            <v>9982361246</v>
          </cell>
        </row>
        <row r="110">
          <cell r="C110">
            <v>0</v>
          </cell>
          <cell r="D110">
            <v>0</v>
          </cell>
          <cell r="E110">
            <v>200</v>
          </cell>
          <cell r="F110">
            <v>0</v>
          </cell>
          <cell r="G110">
            <v>0</v>
          </cell>
          <cell r="H110">
            <v>53</v>
          </cell>
          <cell r="I110">
            <v>117</v>
          </cell>
          <cell r="J110">
            <v>0</v>
          </cell>
          <cell r="K110">
            <v>370</v>
          </cell>
          <cell r="L110">
            <v>11000</v>
          </cell>
          <cell r="M110">
            <v>1</v>
          </cell>
          <cell r="P110">
            <v>9982361246</v>
          </cell>
        </row>
        <row r="111">
          <cell r="C111">
            <v>0</v>
          </cell>
          <cell r="D111">
            <v>0</v>
          </cell>
          <cell r="E111">
            <v>200</v>
          </cell>
          <cell r="F111">
            <v>0</v>
          </cell>
          <cell r="G111">
            <v>0</v>
          </cell>
          <cell r="H111">
            <v>50</v>
          </cell>
          <cell r="I111">
            <v>118</v>
          </cell>
          <cell r="J111">
            <v>0</v>
          </cell>
          <cell r="K111">
            <v>368</v>
          </cell>
          <cell r="L111">
            <v>11132</v>
          </cell>
          <cell r="M111">
            <v>1</v>
          </cell>
          <cell r="P111">
            <v>9982361246</v>
          </cell>
        </row>
        <row r="112">
          <cell r="C112">
            <v>700</v>
          </cell>
          <cell r="D112">
            <v>0</v>
          </cell>
          <cell r="E112">
            <v>200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200</v>
          </cell>
          <cell r="L112">
            <v>0</v>
          </cell>
          <cell r="M112">
            <v>0</v>
          </cell>
          <cell r="P112">
            <v>9783081834</v>
          </cell>
        </row>
        <row r="113">
          <cell r="C113">
            <v>700</v>
          </cell>
          <cell r="D113">
            <v>0</v>
          </cell>
          <cell r="E113">
            <v>200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200</v>
          </cell>
          <cell r="L113">
            <v>0</v>
          </cell>
          <cell r="M113">
            <v>0</v>
          </cell>
          <cell r="P113">
            <v>9783081834</v>
          </cell>
        </row>
        <row r="114">
          <cell r="C114">
            <v>700</v>
          </cell>
          <cell r="D114">
            <v>0</v>
          </cell>
          <cell r="E114">
            <v>177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177</v>
          </cell>
          <cell r="L114">
            <v>-2949</v>
          </cell>
          <cell r="M114">
            <v>8</v>
          </cell>
          <cell r="P114">
            <v>9783081834</v>
          </cell>
        </row>
        <row r="115">
          <cell r="C115">
            <v>0</v>
          </cell>
          <cell r="D115">
            <v>0</v>
          </cell>
          <cell r="E115">
            <v>296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296</v>
          </cell>
          <cell r="L115">
            <v>0</v>
          </cell>
          <cell r="M115">
            <v>0</v>
          </cell>
          <cell r="P115">
            <v>7790841818</v>
          </cell>
        </row>
        <row r="116">
          <cell r="C116">
            <v>0</v>
          </cell>
          <cell r="D116">
            <v>0</v>
          </cell>
          <cell r="E116">
            <v>400</v>
          </cell>
          <cell r="F116">
            <v>10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410</v>
          </cell>
          <cell r="L116">
            <v>0</v>
          </cell>
          <cell r="M116">
            <v>0</v>
          </cell>
          <cell r="P116">
            <v>7790841818</v>
          </cell>
        </row>
        <row r="117">
          <cell r="C117">
            <v>0</v>
          </cell>
          <cell r="D117">
            <v>0</v>
          </cell>
          <cell r="E117">
            <v>73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73</v>
          </cell>
          <cell r="L117">
            <v>0</v>
          </cell>
          <cell r="M117">
            <v>0</v>
          </cell>
          <cell r="P117">
            <v>9602956137</v>
          </cell>
        </row>
        <row r="118">
          <cell r="C118">
            <v>0</v>
          </cell>
          <cell r="D118">
            <v>0</v>
          </cell>
          <cell r="E118">
            <v>400</v>
          </cell>
          <cell r="F118">
            <v>10</v>
          </cell>
          <cell r="G118">
            <v>12000</v>
          </cell>
          <cell r="H118">
            <v>56</v>
          </cell>
          <cell r="I118">
            <v>240</v>
          </cell>
          <cell r="J118">
            <v>0</v>
          </cell>
          <cell r="K118">
            <v>12706</v>
          </cell>
          <cell r="L118">
            <v>12000</v>
          </cell>
          <cell r="M118">
            <v>10</v>
          </cell>
          <cell r="P118">
            <v>9001114455</v>
          </cell>
        </row>
        <row r="119">
          <cell r="C119">
            <v>0</v>
          </cell>
          <cell r="D119">
            <v>0</v>
          </cell>
          <cell r="E119">
            <v>400</v>
          </cell>
          <cell r="F119">
            <v>10</v>
          </cell>
          <cell r="G119">
            <v>12000</v>
          </cell>
          <cell r="H119">
            <v>56</v>
          </cell>
          <cell r="I119">
            <v>240</v>
          </cell>
          <cell r="J119">
            <v>0</v>
          </cell>
          <cell r="K119">
            <v>12706</v>
          </cell>
          <cell r="L119">
            <v>12000</v>
          </cell>
          <cell r="M119">
            <v>10</v>
          </cell>
          <cell r="P119">
            <v>9001114455</v>
          </cell>
        </row>
        <row r="120">
          <cell r="C120">
            <v>12600</v>
          </cell>
          <cell r="D120">
            <v>0</v>
          </cell>
          <cell r="E120">
            <v>400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400</v>
          </cell>
          <cell r="L120">
            <v>0</v>
          </cell>
          <cell r="M120">
            <v>0</v>
          </cell>
          <cell r="P120">
            <v>9929213061</v>
          </cell>
        </row>
        <row r="121">
          <cell r="C121">
            <v>13500</v>
          </cell>
          <cell r="D121">
            <v>0</v>
          </cell>
          <cell r="E121">
            <v>185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185</v>
          </cell>
          <cell r="L121">
            <v>0</v>
          </cell>
          <cell r="M121">
            <v>0</v>
          </cell>
          <cell r="P121">
            <v>9929213061</v>
          </cell>
        </row>
        <row r="122">
          <cell r="C122">
            <v>14400</v>
          </cell>
          <cell r="D122">
            <v>0</v>
          </cell>
          <cell r="E122">
            <v>400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400</v>
          </cell>
          <cell r="L122">
            <v>0</v>
          </cell>
          <cell r="M122">
            <v>0</v>
          </cell>
          <cell r="P122">
            <v>9929213061</v>
          </cell>
        </row>
        <row r="123">
          <cell r="C123">
            <v>0</v>
          </cell>
          <cell r="D123">
            <v>0</v>
          </cell>
          <cell r="E123">
            <v>200</v>
          </cell>
          <cell r="F123">
            <v>0</v>
          </cell>
          <cell r="G123">
            <v>0</v>
          </cell>
          <cell r="H123">
            <v>2</v>
          </cell>
          <cell r="I123">
            <v>189</v>
          </cell>
          <cell r="J123">
            <v>0</v>
          </cell>
          <cell r="K123">
            <v>391</v>
          </cell>
          <cell r="L123">
            <v>18900</v>
          </cell>
          <cell r="M123">
            <v>2</v>
          </cell>
          <cell r="P123">
            <v>9571650476</v>
          </cell>
        </row>
        <row r="124">
          <cell r="C124">
            <v>0</v>
          </cell>
          <cell r="D124">
            <v>0</v>
          </cell>
          <cell r="E124">
            <v>200</v>
          </cell>
          <cell r="F124">
            <v>0</v>
          </cell>
          <cell r="G124">
            <v>0</v>
          </cell>
          <cell r="H124">
            <v>2</v>
          </cell>
          <cell r="I124">
            <v>189</v>
          </cell>
          <cell r="J124">
            <v>0</v>
          </cell>
          <cell r="K124">
            <v>391</v>
          </cell>
          <cell r="L124">
            <v>18900</v>
          </cell>
          <cell r="M124">
            <v>2</v>
          </cell>
          <cell r="P124">
            <v>9571650476</v>
          </cell>
        </row>
        <row r="125">
          <cell r="C125">
            <v>1000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14</v>
          </cell>
          <cell r="I125">
            <v>288</v>
          </cell>
          <cell r="J125">
            <v>0</v>
          </cell>
          <cell r="K125">
            <v>302</v>
          </cell>
          <cell r="L125">
            <v>28671</v>
          </cell>
          <cell r="M125">
            <v>11</v>
          </cell>
          <cell r="P125">
            <v>9571650476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250</v>
          </cell>
          <cell r="J126">
            <v>0</v>
          </cell>
          <cell r="K126">
            <v>250</v>
          </cell>
          <cell r="L126">
            <v>25000</v>
          </cell>
          <cell r="M126">
            <v>2</v>
          </cell>
          <cell r="P126">
            <v>7742016348</v>
          </cell>
        </row>
        <row r="127">
          <cell r="C127">
            <v>1000</v>
          </cell>
          <cell r="D127">
            <v>0</v>
          </cell>
          <cell r="E127">
            <v>200</v>
          </cell>
          <cell r="F127">
            <v>0</v>
          </cell>
          <cell r="G127">
            <v>1000</v>
          </cell>
          <cell r="H127">
            <v>0</v>
          </cell>
          <cell r="I127">
            <v>560</v>
          </cell>
          <cell r="J127">
            <v>0</v>
          </cell>
          <cell r="K127">
            <v>1760</v>
          </cell>
          <cell r="L127">
            <v>56000</v>
          </cell>
          <cell r="M127">
            <v>5</v>
          </cell>
          <cell r="P127">
            <v>9929194619</v>
          </cell>
        </row>
        <row r="128">
          <cell r="C128">
            <v>1000</v>
          </cell>
          <cell r="D128">
            <v>0</v>
          </cell>
          <cell r="E128">
            <v>200</v>
          </cell>
          <cell r="F128">
            <v>0</v>
          </cell>
          <cell r="G128">
            <v>1000</v>
          </cell>
          <cell r="H128">
            <v>0</v>
          </cell>
          <cell r="I128">
            <v>560</v>
          </cell>
          <cell r="J128">
            <v>0</v>
          </cell>
          <cell r="K128">
            <v>1760</v>
          </cell>
          <cell r="L128">
            <v>56000</v>
          </cell>
          <cell r="M128">
            <v>5</v>
          </cell>
          <cell r="P128">
            <v>9929194619</v>
          </cell>
        </row>
        <row r="129">
          <cell r="C129">
            <v>450</v>
          </cell>
          <cell r="D129">
            <v>0</v>
          </cell>
          <cell r="E129">
            <v>200</v>
          </cell>
          <cell r="F129">
            <v>0</v>
          </cell>
          <cell r="G129">
            <v>450</v>
          </cell>
          <cell r="H129">
            <v>0</v>
          </cell>
          <cell r="I129">
            <v>582</v>
          </cell>
          <cell r="J129">
            <v>0</v>
          </cell>
          <cell r="K129">
            <v>1232</v>
          </cell>
          <cell r="L129">
            <v>58200</v>
          </cell>
          <cell r="M129">
            <v>5</v>
          </cell>
          <cell r="P129">
            <v>9929194619</v>
          </cell>
        </row>
        <row r="130">
          <cell r="C130">
            <v>450</v>
          </cell>
          <cell r="D130">
            <v>0</v>
          </cell>
          <cell r="E130">
            <v>200</v>
          </cell>
          <cell r="F130">
            <v>0</v>
          </cell>
          <cell r="G130">
            <v>450</v>
          </cell>
          <cell r="H130">
            <v>0</v>
          </cell>
          <cell r="I130">
            <v>582</v>
          </cell>
          <cell r="J130">
            <v>0</v>
          </cell>
          <cell r="K130">
            <v>1232</v>
          </cell>
          <cell r="L130">
            <v>58200</v>
          </cell>
          <cell r="M130">
            <v>5</v>
          </cell>
          <cell r="P130">
            <v>9929194619</v>
          </cell>
        </row>
        <row r="131">
          <cell r="C131">
            <v>450</v>
          </cell>
          <cell r="D131">
            <v>0</v>
          </cell>
          <cell r="E131">
            <v>200</v>
          </cell>
          <cell r="F131">
            <v>0</v>
          </cell>
          <cell r="G131">
            <v>450</v>
          </cell>
          <cell r="H131">
            <v>0</v>
          </cell>
          <cell r="I131">
            <v>582</v>
          </cell>
          <cell r="J131">
            <v>0</v>
          </cell>
          <cell r="K131">
            <v>1232</v>
          </cell>
          <cell r="L131">
            <v>58200</v>
          </cell>
          <cell r="M131">
            <v>5</v>
          </cell>
          <cell r="P131">
            <v>9929194619</v>
          </cell>
        </row>
        <row r="132">
          <cell r="C132">
            <v>500</v>
          </cell>
          <cell r="D132">
            <v>0</v>
          </cell>
          <cell r="E132">
            <v>200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200</v>
          </cell>
          <cell r="L132">
            <v>0</v>
          </cell>
          <cell r="M132">
            <v>0</v>
          </cell>
          <cell r="P132">
            <v>9024387313</v>
          </cell>
        </row>
        <row r="133">
          <cell r="C133">
            <v>500</v>
          </cell>
          <cell r="D133">
            <v>0</v>
          </cell>
          <cell r="E133">
            <v>200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200</v>
          </cell>
          <cell r="L133">
            <v>0</v>
          </cell>
          <cell r="M133">
            <v>0</v>
          </cell>
          <cell r="P133">
            <v>9024387313</v>
          </cell>
        </row>
        <row r="134">
          <cell r="C134">
            <v>500</v>
          </cell>
          <cell r="D134">
            <v>0</v>
          </cell>
          <cell r="E134">
            <v>200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200</v>
          </cell>
          <cell r="L134">
            <v>0</v>
          </cell>
          <cell r="M134">
            <v>0</v>
          </cell>
          <cell r="P134">
            <v>9024387313</v>
          </cell>
        </row>
        <row r="135">
          <cell r="C135">
            <v>2300</v>
          </cell>
          <cell r="D135">
            <v>0</v>
          </cell>
          <cell r="E135">
            <v>400</v>
          </cell>
          <cell r="F135">
            <v>10</v>
          </cell>
          <cell r="G135">
            <v>0</v>
          </cell>
          <cell r="H135">
            <v>12</v>
          </cell>
          <cell r="I135">
            <v>460</v>
          </cell>
          <cell r="J135">
            <v>0</v>
          </cell>
          <cell r="K135">
            <v>882</v>
          </cell>
          <cell r="L135">
            <v>23000</v>
          </cell>
          <cell r="M135">
            <v>4</v>
          </cell>
          <cell r="P135">
            <v>7568229819</v>
          </cell>
        </row>
        <row r="136">
          <cell r="C136">
            <v>2300</v>
          </cell>
          <cell r="D136">
            <v>0</v>
          </cell>
          <cell r="E136">
            <v>400</v>
          </cell>
          <cell r="F136">
            <v>10</v>
          </cell>
          <cell r="G136">
            <v>0</v>
          </cell>
          <cell r="H136">
            <v>12</v>
          </cell>
          <cell r="I136">
            <v>460</v>
          </cell>
          <cell r="J136">
            <v>0</v>
          </cell>
          <cell r="K136">
            <v>882</v>
          </cell>
          <cell r="L136">
            <v>23000</v>
          </cell>
          <cell r="M136">
            <v>4</v>
          </cell>
          <cell r="P136">
            <v>7568229819</v>
          </cell>
        </row>
        <row r="137">
          <cell r="C137">
            <v>4300</v>
          </cell>
          <cell r="D137">
            <v>0</v>
          </cell>
          <cell r="E137">
            <v>400</v>
          </cell>
          <cell r="F137">
            <v>10</v>
          </cell>
          <cell r="G137">
            <v>0</v>
          </cell>
          <cell r="H137">
            <v>0</v>
          </cell>
          <cell r="I137">
            <v>458</v>
          </cell>
          <cell r="J137">
            <v>0</v>
          </cell>
          <cell r="K137">
            <v>868</v>
          </cell>
          <cell r="L137">
            <v>22900</v>
          </cell>
          <cell r="M137">
            <v>4</v>
          </cell>
          <cell r="P137">
            <v>9829622211</v>
          </cell>
        </row>
        <row r="138">
          <cell r="C138">
            <v>4300</v>
          </cell>
          <cell r="D138">
            <v>0</v>
          </cell>
          <cell r="E138">
            <v>400</v>
          </cell>
          <cell r="F138">
            <v>10</v>
          </cell>
          <cell r="G138">
            <v>0</v>
          </cell>
          <cell r="H138">
            <v>0</v>
          </cell>
          <cell r="I138">
            <v>460</v>
          </cell>
          <cell r="J138">
            <v>0</v>
          </cell>
          <cell r="K138">
            <v>870</v>
          </cell>
          <cell r="L138">
            <v>23000</v>
          </cell>
          <cell r="M138">
            <v>4</v>
          </cell>
          <cell r="P138">
            <v>9829622211</v>
          </cell>
        </row>
        <row r="139">
          <cell r="C139">
            <v>4000</v>
          </cell>
          <cell r="D139">
            <v>0</v>
          </cell>
          <cell r="E139">
            <v>400</v>
          </cell>
          <cell r="F139">
            <v>10</v>
          </cell>
          <cell r="G139">
            <v>0</v>
          </cell>
          <cell r="H139">
            <v>0</v>
          </cell>
          <cell r="I139">
            <v>400</v>
          </cell>
          <cell r="J139">
            <v>0</v>
          </cell>
          <cell r="K139">
            <v>810</v>
          </cell>
          <cell r="L139">
            <v>20000</v>
          </cell>
          <cell r="M139">
            <v>4</v>
          </cell>
          <cell r="P139">
            <v>9829622211</v>
          </cell>
        </row>
        <row r="140">
          <cell r="C140">
            <v>4000</v>
          </cell>
          <cell r="D140">
            <v>0</v>
          </cell>
          <cell r="E140">
            <v>400</v>
          </cell>
          <cell r="F140">
            <v>10</v>
          </cell>
          <cell r="G140">
            <v>0</v>
          </cell>
          <cell r="H140">
            <v>0</v>
          </cell>
          <cell r="I140">
            <v>400</v>
          </cell>
          <cell r="J140">
            <v>0</v>
          </cell>
          <cell r="K140">
            <v>810</v>
          </cell>
          <cell r="L140">
            <v>20000</v>
          </cell>
          <cell r="M140">
            <v>4</v>
          </cell>
          <cell r="P140">
            <v>9829622211</v>
          </cell>
        </row>
        <row r="141">
          <cell r="C141">
            <v>4000</v>
          </cell>
          <cell r="D141">
            <v>0</v>
          </cell>
          <cell r="E141">
            <v>400</v>
          </cell>
          <cell r="F141">
            <v>10</v>
          </cell>
          <cell r="G141">
            <v>0</v>
          </cell>
          <cell r="H141">
            <v>0</v>
          </cell>
          <cell r="I141">
            <v>400</v>
          </cell>
          <cell r="J141">
            <v>0</v>
          </cell>
          <cell r="K141">
            <v>810</v>
          </cell>
          <cell r="L141">
            <v>20000</v>
          </cell>
          <cell r="M141">
            <v>4</v>
          </cell>
          <cell r="P141">
            <v>9829622211</v>
          </cell>
        </row>
        <row r="142">
          <cell r="C142">
            <v>4000</v>
          </cell>
          <cell r="D142">
            <v>0</v>
          </cell>
          <cell r="E142">
            <v>400</v>
          </cell>
          <cell r="F142">
            <v>10</v>
          </cell>
          <cell r="G142">
            <v>0</v>
          </cell>
          <cell r="H142">
            <v>0</v>
          </cell>
          <cell r="I142">
            <v>400</v>
          </cell>
          <cell r="J142">
            <v>0</v>
          </cell>
          <cell r="K142">
            <v>810</v>
          </cell>
          <cell r="L142">
            <v>20000</v>
          </cell>
          <cell r="M142">
            <v>4</v>
          </cell>
          <cell r="P142">
            <v>9829622211</v>
          </cell>
        </row>
        <row r="143">
          <cell r="C143">
            <v>4000</v>
          </cell>
          <cell r="D143">
            <v>0</v>
          </cell>
          <cell r="E143">
            <v>400</v>
          </cell>
          <cell r="F143">
            <v>10</v>
          </cell>
          <cell r="G143">
            <v>0</v>
          </cell>
          <cell r="H143">
            <v>0</v>
          </cell>
          <cell r="I143">
            <v>400</v>
          </cell>
          <cell r="J143">
            <v>0</v>
          </cell>
          <cell r="K143">
            <v>810</v>
          </cell>
          <cell r="L143">
            <v>20000</v>
          </cell>
          <cell r="M143">
            <v>4</v>
          </cell>
          <cell r="P143">
            <v>9829622211</v>
          </cell>
        </row>
        <row r="144">
          <cell r="C144">
            <v>4000</v>
          </cell>
          <cell r="D144">
            <v>0</v>
          </cell>
          <cell r="E144">
            <v>400</v>
          </cell>
          <cell r="F144">
            <v>10</v>
          </cell>
          <cell r="G144">
            <v>0</v>
          </cell>
          <cell r="H144">
            <v>0</v>
          </cell>
          <cell r="I144">
            <v>400</v>
          </cell>
          <cell r="J144">
            <v>0</v>
          </cell>
          <cell r="K144">
            <v>810</v>
          </cell>
          <cell r="L144">
            <v>20000</v>
          </cell>
          <cell r="M144">
            <v>4</v>
          </cell>
          <cell r="P144">
            <v>9829622211</v>
          </cell>
        </row>
        <row r="145"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P145">
            <v>9667061763</v>
          </cell>
        </row>
        <row r="146">
          <cell r="C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P146">
            <v>9667061763</v>
          </cell>
        </row>
        <row r="147"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P147">
            <v>9667061763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200</v>
          </cell>
          <cell r="J148">
            <v>0</v>
          </cell>
          <cell r="K148">
            <v>200</v>
          </cell>
          <cell r="L148">
            <v>20000</v>
          </cell>
          <cell r="M148">
            <v>2</v>
          </cell>
          <cell r="P148">
            <v>7742016348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P149">
            <v>7742016348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18574</v>
          </cell>
          <cell r="H150">
            <v>0</v>
          </cell>
          <cell r="I150">
            <v>186</v>
          </cell>
          <cell r="J150">
            <v>0</v>
          </cell>
          <cell r="K150">
            <v>18760</v>
          </cell>
          <cell r="L150">
            <v>18574</v>
          </cell>
          <cell r="M150">
            <v>10</v>
          </cell>
          <cell r="P150">
            <v>7339975247</v>
          </cell>
        </row>
        <row r="151">
          <cell r="C151">
            <v>1000</v>
          </cell>
          <cell r="D151">
            <v>0</v>
          </cell>
          <cell r="E151">
            <v>200</v>
          </cell>
          <cell r="F151">
            <v>0</v>
          </cell>
          <cell r="G151">
            <v>0</v>
          </cell>
          <cell r="H151">
            <v>0</v>
          </cell>
          <cell r="I151">
            <v>75</v>
          </cell>
          <cell r="J151">
            <v>0</v>
          </cell>
          <cell r="K151">
            <v>275</v>
          </cell>
          <cell r="L151">
            <v>7487</v>
          </cell>
          <cell r="M151">
            <v>12</v>
          </cell>
          <cell r="P151">
            <v>8619882463</v>
          </cell>
        </row>
        <row r="152">
          <cell r="C152">
            <v>2000</v>
          </cell>
          <cell r="D152">
            <v>0</v>
          </cell>
          <cell r="E152">
            <v>0</v>
          </cell>
          <cell r="F152">
            <v>0</v>
          </cell>
          <cell r="G152">
            <v>2000</v>
          </cell>
          <cell r="H152">
            <v>0</v>
          </cell>
          <cell r="I152">
            <v>80</v>
          </cell>
          <cell r="J152">
            <v>0</v>
          </cell>
          <cell r="K152">
            <v>2080</v>
          </cell>
          <cell r="L152">
            <v>8000</v>
          </cell>
          <cell r="M152">
            <v>12</v>
          </cell>
          <cell r="P152">
            <v>8619882463</v>
          </cell>
        </row>
        <row r="153">
          <cell r="C153">
            <v>1000</v>
          </cell>
          <cell r="D153">
            <v>0</v>
          </cell>
          <cell r="E153">
            <v>0</v>
          </cell>
          <cell r="F153">
            <v>0</v>
          </cell>
          <cell r="G153">
            <v>1000</v>
          </cell>
          <cell r="H153">
            <v>0</v>
          </cell>
          <cell r="I153">
            <v>300</v>
          </cell>
          <cell r="J153">
            <v>0</v>
          </cell>
          <cell r="K153">
            <v>1300</v>
          </cell>
          <cell r="L153">
            <v>30000</v>
          </cell>
          <cell r="M153">
            <v>1</v>
          </cell>
          <cell r="P153">
            <v>8949606003</v>
          </cell>
        </row>
        <row r="154">
          <cell r="C154">
            <v>1000</v>
          </cell>
          <cell r="D154">
            <v>0</v>
          </cell>
          <cell r="E154">
            <v>0</v>
          </cell>
          <cell r="F154">
            <v>0</v>
          </cell>
          <cell r="G154">
            <v>1000</v>
          </cell>
          <cell r="H154">
            <v>0</v>
          </cell>
          <cell r="I154">
            <v>300</v>
          </cell>
          <cell r="J154">
            <v>0</v>
          </cell>
          <cell r="K154">
            <v>1300</v>
          </cell>
          <cell r="L154">
            <v>30000</v>
          </cell>
          <cell r="M154">
            <v>1</v>
          </cell>
          <cell r="P154">
            <v>8949606003</v>
          </cell>
        </row>
        <row r="155">
          <cell r="C155">
            <v>1000</v>
          </cell>
          <cell r="D155">
            <v>0</v>
          </cell>
          <cell r="E155">
            <v>0</v>
          </cell>
          <cell r="F155">
            <v>0</v>
          </cell>
          <cell r="G155">
            <v>1000</v>
          </cell>
          <cell r="H155">
            <v>0</v>
          </cell>
          <cell r="I155">
            <v>300</v>
          </cell>
          <cell r="J155">
            <v>0</v>
          </cell>
          <cell r="K155">
            <v>1300</v>
          </cell>
          <cell r="L155">
            <v>30000</v>
          </cell>
          <cell r="M155">
            <v>1</v>
          </cell>
          <cell r="P155">
            <v>8949606003</v>
          </cell>
        </row>
        <row r="156">
          <cell r="C156">
            <v>1000</v>
          </cell>
          <cell r="D156">
            <v>0</v>
          </cell>
          <cell r="E156">
            <v>0</v>
          </cell>
          <cell r="F156">
            <v>0</v>
          </cell>
          <cell r="G156">
            <v>1000</v>
          </cell>
          <cell r="H156">
            <v>0</v>
          </cell>
          <cell r="I156">
            <v>300</v>
          </cell>
          <cell r="J156">
            <v>0</v>
          </cell>
          <cell r="K156">
            <v>1300</v>
          </cell>
          <cell r="L156">
            <v>30000</v>
          </cell>
          <cell r="M156">
            <v>1</v>
          </cell>
          <cell r="P156">
            <v>8949606003</v>
          </cell>
        </row>
        <row r="157">
          <cell r="C157">
            <v>1000</v>
          </cell>
          <cell r="D157">
            <v>0</v>
          </cell>
          <cell r="E157">
            <v>0</v>
          </cell>
          <cell r="F157">
            <v>0</v>
          </cell>
          <cell r="G157">
            <v>1000</v>
          </cell>
          <cell r="H157">
            <v>0</v>
          </cell>
          <cell r="I157">
            <v>300</v>
          </cell>
          <cell r="J157">
            <v>0</v>
          </cell>
          <cell r="K157">
            <v>1300</v>
          </cell>
          <cell r="L157">
            <v>30000</v>
          </cell>
          <cell r="M157">
            <v>1</v>
          </cell>
          <cell r="P157">
            <v>8949606003</v>
          </cell>
        </row>
        <row r="158">
          <cell r="C158">
            <v>1000</v>
          </cell>
          <cell r="D158">
            <v>0</v>
          </cell>
          <cell r="E158">
            <v>200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200</v>
          </cell>
          <cell r="L158">
            <v>13849</v>
          </cell>
          <cell r="M158">
            <v>16</v>
          </cell>
          <cell r="P158">
            <v>9314298877</v>
          </cell>
        </row>
        <row r="159">
          <cell r="C159">
            <v>1000</v>
          </cell>
          <cell r="D159">
            <v>0</v>
          </cell>
          <cell r="E159">
            <v>200</v>
          </cell>
          <cell r="F159">
            <v>0</v>
          </cell>
          <cell r="G159">
            <v>1000</v>
          </cell>
          <cell r="H159">
            <v>0</v>
          </cell>
          <cell r="I159">
            <v>150</v>
          </cell>
          <cell r="J159">
            <v>0</v>
          </cell>
          <cell r="K159">
            <v>1350</v>
          </cell>
          <cell r="L159">
            <v>15000</v>
          </cell>
          <cell r="M159">
            <v>16</v>
          </cell>
          <cell r="P159">
            <v>9314298877</v>
          </cell>
        </row>
        <row r="160">
          <cell r="C160">
            <v>1000</v>
          </cell>
          <cell r="D160">
            <v>0</v>
          </cell>
          <cell r="E160">
            <v>200</v>
          </cell>
          <cell r="F160">
            <v>0</v>
          </cell>
          <cell r="G160">
            <v>1000</v>
          </cell>
          <cell r="H160">
            <v>0</v>
          </cell>
          <cell r="I160">
            <v>150</v>
          </cell>
          <cell r="J160">
            <v>0</v>
          </cell>
          <cell r="K160">
            <v>1350</v>
          </cell>
          <cell r="L160">
            <v>15000</v>
          </cell>
          <cell r="M160">
            <v>16</v>
          </cell>
          <cell r="P160">
            <v>9314298877</v>
          </cell>
        </row>
        <row r="161">
          <cell r="C161">
            <v>1000</v>
          </cell>
          <cell r="D161">
            <v>0</v>
          </cell>
          <cell r="E161">
            <v>200</v>
          </cell>
          <cell r="F161">
            <v>0</v>
          </cell>
          <cell r="G161">
            <v>1000</v>
          </cell>
          <cell r="H161">
            <v>0</v>
          </cell>
          <cell r="I161">
            <v>150</v>
          </cell>
          <cell r="J161">
            <v>0</v>
          </cell>
          <cell r="K161">
            <v>1350</v>
          </cell>
          <cell r="L161">
            <v>15000</v>
          </cell>
          <cell r="M161">
            <v>16</v>
          </cell>
          <cell r="P161">
            <v>9314298877</v>
          </cell>
        </row>
        <row r="162">
          <cell r="C162">
            <v>1000</v>
          </cell>
          <cell r="D162">
            <v>0</v>
          </cell>
          <cell r="E162">
            <v>200</v>
          </cell>
          <cell r="F162">
            <v>0</v>
          </cell>
          <cell r="G162">
            <v>1000</v>
          </cell>
          <cell r="H162">
            <v>0</v>
          </cell>
          <cell r="I162">
            <v>150</v>
          </cell>
          <cell r="J162">
            <v>0</v>
          </cell>
          <cell r="K162">
            <v>1350</v>
          </cell>
          <cell r="L162">
            <v>15000</v>
          </cell>
          <cell r="M162">
            <v>16</v>
          </cell>
          <cell r="P162">
            <v>9314298877</v>
          </cell>
        </row>
        <row r="163">
          <cell r="C163">
            <v>1000</v>
          </cell>
          <cell r="D163">
            <v>0</v>
          </cell>
          <cell r="E163">
            <v>200</v>
          </cell>
          <cell r="F163">
            <v>0</v>
          </cell>
          <cell r="G163">
            <v>797</v>
          </cell>
          <cell r="H163">
            <v>0</v>
          </cell>
          <cell r="I163">
            <v>178</v>
          </cell>
          <cell r="J163">
            <v>0</v>
          </cell>
          <cell r="K163">
            <v>1175</v>
          </cell>
          <cell r="L163">
            <v>17797</v>
          </cell>
          <cell r="M163">
            <v>3</v>
          </cell>
          <cell r="P163">
            <v>8279298677</v>
          </cell>
        </row>
        <row r="164"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P164">
            <v>9928186887</v>
          </cell>
        </row>
        <row r="165"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P165">
            <v>9928186887</v>
          </cell>
        </row>
        <row r="166"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P166">
            <v>9928186887</v>
          </cell>
        </row>
        <row r="167">
          <cell r="C167">
            <v>0</v>
          </cell>
          <cell r="D167">
            <v>0</v>
          </cell>
          <cell r="E167">
            <v>200</v>
          </cell>
          <cell r="F167">
            <v>0</v>
          </cell>
          <cell r="G167">
            <v>0</v>
          </cell>
          <cell r="H167">
            <v>0</v>
          </cell>
          <cell r="I167">
            <v>180</v>
          </cell>
          <cell r="J167">
            <v>0</v>
          </cell>
          <cell r="K167">
            <v>380</v>
          </cell>
          <cell r="L167">
            <v>18000</v>
          </cell>
          <cell r="M167">
            <v>1</v>
          </cell>
          <cell r="P167">
            <v>7791888847</v>
          </cell>
        </row>
        <row r="168">
          <cell r="C168">
            <v>1000</v>
          </cell>
          <cell r="D168">
            <v>0</v>
          </cell>
          <cell r="E168">
            <v>200</v>
          </cell>
          <cell r="F168">
            <v>0</v>
          </cell>
          <cell r="G168">
            <v>1000</v>
          </cell>
          <cell r="H168">
            <v>0</v>
          </cell>
          <cell r="I168">
            <v>180</v>
          </cell>
          <cell r="J168">
            <v>0</v>
          </cell>
          <cell r="K168">
            <v>1380</v>
          </cell>
          <cell r="L168">
            <v>18000</v>
          </cell>
          <cell r="M168">
            <v>3</v>
          </cell>
          <cell r="P168">
            <v>7791888847</v>
          </cell>
        </row>
        <row r="169">
          <cell r="C169">
            <v>0</v>
          </cell>
          <cell r="D169">
            <v>0</v>
          </cell>
          <cell r="E169">
            <v>200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200</v>
          </cell>
          <cell r="L169">
            <v>0</v>
          </cell>
          <cell r="M169">
            <v>0</v>
          </cell>
          <cell r="P169">
            <v>7791888847</v>
          </cell>
        </row>
        <row r="170">
          <cell r="C170">
            <v>0</v>
          </cell>
          <cell r="D170">
            <v>0</v>
          </cell>
          <cell r="E170">
            <v>200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200</v>
          </cell>
          <cell r="L170">
            <v>0</v>
          </cell>
          <cell r="M170">
            <v>0</v>
          </cell>
          <cell r="P170">
            <v>9602956137</v>
          </cell>
        </row>
        <row r="171">
          <cell r="C171">
            <v>0</v>
          </cell>
          <cell r="D171">
            <v>0</v>
          </cell>
          <cell r="E171">
            <v>200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200</v>
          </cell>
          <cell r="L171">
            <v>0</v>
          </cell>
          <cell r="M171">
            <v>0</v>
          </cell>
          <cell r="P171">
            <v>9799808935</v>
          </cell>
        </row>
        <row r="172">
          <cell r="C172">
            <v>1000</v>
          </cell>
          <cell r="D172">
            <v>0</v>
          </cell>
          <cell r="E172">
            <v>200</v>
          </cell>
          <cell r="F172">
            <v>0</v>
          </cell>
          <cell r="G172">
            <v>1000</v>
          </cell>
          <cell r="H172">
            <v>0</v>
          </cell>
          <cell r="I172">
            <v>130</v>
          </cell>
          <cell r="J172">
            <v>0</v>
          </cell>
          <cell r="K172">
            <v>1330</v>
          </cell>
          <cell r="L172">
            <v>13000</v>
          </cell>
          <cell r="M172">
            <v>8</v>
          </cell>
          <cell r="P172">
            <v>9950082891</v>
          </cell>
        </row>
        <row r="173">
          <cell r="C173">
            <v>1000</v>
          </cell>
          <cell r="D173">
            <v>0</v>
          </cell>
          <cell r="E173">
            <v>200</v>
          </cell>
          <cell r="F173">
            <v>0</v>
          </cell>
          <cell r="G173">
            <v>694</v>
          </cell>
          <cell r="H173">
            <v>0</v>
          </cell>
          <cell r="I173">
            <v>127</v>
          </cell>
          <cell r="J173">
            <v>0</v>
          </cell>
          <cell r="K173">
            <v>1021</v>
          </cell>
          <cell r="L173">
            <v>12694</v>
          </cell>
          <cell r="M173">
            <v>8</v>
          </cell>
          <cell r="P173">
            <v>9950082891</v>
          </cell>
        </row>
        <row r="174">
          <cell r="C174">
            <v>1000</v>
          </cell>
          <cell r="D174">
            <v>0</v>
          </cell>
          <cell r="E174">
            <v>200</v>
          </cell>
          <cell r="F174">
            <v>0</v>
          </cell>
          <cell r="G174">
            <v>1000</v>
          </cell>
          <cell r="H174">
            <v>0</v>
          </cell>
          <cell r="I174">
            <v>130</v>
          </cell>
          <cell r="J174">
            <v>0</v>
          </cell>
          <cell r="K174">
            <v>1330</v>
          </cell>
          <cell r="L174">
            <v>13000</v>
          </cell>
          <cell r="M174">
            <v>8</v>
          </cell>
          <cell r="P174">
            <v>9950082891</v>
          </cell>
        </row>
        <row r="175">
          <cell r="C175">
            <v>1000</v>
          </cell>
          <cell r="D175">
            <v>0</v>
          </cell>
          <cell r="E175">
            <v>200</v>
          </cell>
          <cell r="F175">
            <v>0</v>
          </cell>
          <cell r="G175">
            <v>1000</v>
          </cell>
          <cell r="H175">
            <v>0</v>
          </cell>
          <cell r="I175">
            <v>130</v>
          </cell>
          <cell r="J175">
            <v>0</v>
          </cell>
          <cell r="K175">
            <v>1330</v>
          </cell>
          <cell r="L175">
            <v>13000</v>
          </cell>
          <cell r="M175">
            <v>8</v>
          </cell>
          <cell r="P175">
            <v>9950082891</v>
          </cell>
        </row>
        <row r="176">
          <cell r="C176">
            <v>1000</v>
          </cell>
          <cell r="D176">
            <v>0</v>
          </cell>
          <cell r="E176">
            <v>200</v>
          </cell>
          <cell r="F176">
            <v>0</v>
          </cell>
          <cell r="G176">
            <v>1000</v>
          </cell>
          <cell r="H176">
            <v>0</v>
          </cell>
          <cell r="I176">
            <v>130</v>
          </cell>
          <cell r="J176">
            <v>0</v>
          </cell>
          <cell r="K176">
            <v>1330</v>
          </cell>
          <cell r="L176">
            <v>13000</v>
          </cell>
          <cell r="M176">
            <v>8</v>
          </cell>
          <cell r="P176">
            <v>9950082891</v>
          </cell>
        </row>
        <row r="177">
          <cell r="C177">
            <v>0</v>
          </cell>
          <cell r="D177">
            <v>0</v>
          </cell>
          <cell r="E177">
            <v>200</v>
          </cell>
          <cell r="F177">
            <v>0</v>
          </cell>
          <cell r="G177">
            <v>0</v>
          </cell>
          <cell r="H177">
            <v>0</v>
          </cell>
          <cell r="I177">
            <v>193</v>
          </cell>
          <cell r="J177">
            <v>0</v>
          </cell>
          <cell r="K177">
            <v>393</v>
          </cell>
          <cell r="L177">
            <v>19300</v>
          </cell>
          <cell r="M177">
            <v>2</v>
          </cell>
          <cell r="P177">
            <v>9887923580</v>
          </cell>
        </row>
        <row r="178">
          <cell r="C178">
            <v>3700</v>
          </cell>
          <cell r="D178">
            <v>0</v>
          </cell>
          <cell r="E178">
            <v>200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200</v>
          </cell>
          <cell r="L178">
            <v>0</v>
          </cell>
          <cell r="M178">
            <v>0</v>
          </cell>
          <cell r="P178">
            <v>9887923580</v>
          </cell>
        </row>
        <row r="179">
          <cell r="C179">
            <v>21000</v>
          </cell>
          <cell r="D179">
            <v>0</v>
          </cell>
          <cell r="E179">
            <v>0</v>
          </cell>
          <cell r="F179">
            <v>0</v>
          </cell>
          <cell r="G179">
            <v>1000</v>
          </cell>
          <cell r="H179">
            <v>0</v>
          </cell>
          <cell r="I179">
            <v>220</v>
          </cell>
          <cell r="J179">
            <v>0</v>
          </cell>
          <cell r="K179">
            <v>1220</v>
          </cell>
          <cell r="L179">
            <v>22000</v>
          </cell>
          <cell r="M179">
            <v>9</v>
          </cell>
          <cell r="P179">
            <v>9887923580</v>
          </cell>
        </row>
        <row r="180"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3000</v>
          </cell>
          <cell r="H180">
            <v>0</v>
          </cell>
          <cell r="I180">
            <v>30</v>
          </cell>
          <cell r="J180">
            <v>0</v>
          </cell>
          <cell r="K180">
            <v>3030</v>
          </cell>
          <cell r="L180">
            <v>3000</v>
          </cell>
          <cell r="M180">
            <v>10</v>
          </cell>
          <cell r="P180">
            <v>7792847541</v>
          </cell>
        </row>
        <row r="181">
          <cell r="C181">
            <v>0</v>
          </cell>
          <cell r="D181">
            <v>0</v>
          </cell>
          <cell r="E181">
            <v>200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200</v>
          </cell>
          <cell r="L181">
            <v>0</v>
          </cell>
          <cell r="M181">
            <v>0</v>
          </cell>
          <cell r="P181">
            <v>7792847541</v>
          </cell>
        </row>
        <row r="182">
          <cell r="C182">
            <v>0</v>
          </cell>
          <cell r="D182">
            <v>0</v>
          </cell>
          <cell r="E182">
            <v>200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200</v>
          </cell>
          <cell r="L182">
            <v>0</v>
          </cell>
          <cell r="M182">
            <v>0</v>
          </cell>
          <cell r="P182">
            <v>7792847541</v>
          </cell>
        </row>
        <row r="183">
          <cell r="C183">
            <v>0</v>
          </cell>
          <cell r="D183">
            <v>0</v>
          </cell>
          <cell r="E183">
            <v>200</v>
          </cell>
          <cell r="F183">
            <v>0</v>
          </cell>
          <cell r="G183">
            <v>0</v>
          </cell>
          <cell r="H183">
            <v>0</v>
          </cell>
          <cell r="I183">
            <v>198</v>
          </cell>
          <cell r="J183">
            <v>0</v>
          </cell>
          <cell r="K183">
            <v>398</v>
          </cell>
          <cell r="L183">
            <v>19800</v>
          </cell>
          <cell r="M183">
            <v>3</v>
          </cell>
          <cell r="P183">
            <v>9057567018</v>
          </cell>
        </row>
        <row r="184">
          <cell r="C184">
            <v>0</v>
          </cell>
          <cell r="D184">
            <v>0</v>
          </cell>
          <cell r="E184">
            <v>186</v>
          </cell>
          <cell r="F184">
            <v>0</v>
          </cell>
          <cell r="G184">
            <v>0</v>
          </cell>
          <cell r="H184">
            <v>0</v>
          </cell>
          <cell r="I184">
            <v>198</v>
          </cell>
          <cell r="J184">
            <v>0</v>
          </cell>
          <cell r="K184">
            <v>384</v>
          </cell>
          <cell r="L184">
            <v>19800</v>
          </cell>
          <cell r="M184">
            <v>3</v>
          </cell>
          <cell r="P184">
            <v>9057567018</v>
          </cell>
        </row>
        <row r="185">
          <cell r="C185">
            <v>0</v>
          </cell>
          <cell r="D185">
            <v>0</v>
          </cell>
          <cell r="E185">
            <v>200</v>
          </cell>
          <cell r="F185">
            <v>0</v>
          </cell>
          <cell r="G185">
            <v>0</v>
          </cell>
          <cell r="H185">
            <v>0</v>
          </cell>
          <cell r="I185">
            <v>198</v>
          </cell>
          <cell r="J185">
            <v>0</v>
          </cell>
          <cell r="K185">
            <v>398</v>
          </cell>
          <cell r="L185">
            <v>19800</v>
          </cell>
          <cell r="M185">
            <v>3</v>
          </cell>
          <cell r="P185">
            <v>9057567018</v>
          </cell>
        </row>
        <row r="186">
          <cell r="C186">
            <v>0</v>
          </cell>
          <cell r="D186">
            <v>12150</v>
          </cell>
          <cell r="E186">
            <v>1600</v>
          </cell>
          <cell r="F186">
            <v>0</v>
          </cell>
          <cell r="G186">
            <v>26121</v>
          </cell>
          <cell r="H186">
            <v>15188</v>
          </cell>
          <cell r="I186">
            <v>2871</v>
          </cell>
          <cell r="J186">
            <v>0</v>
          </cell>
          <cell r="K186">
            <v>45780</v>
          </cell>
          <cell r="L186">
            <v>26121</v>
          </cell>
          <cell r="M186">
            <v>18</v>
          </cell>
          <cell r="P186">
            <v>6350644839</v>
          </cell>
        </row>
        <row r="187">
          <cell r="C187">
            <v>0</v>
          </cell>
          <cell r="D187">
            <v>12376</v>
          </cell>
          <cell r="E187">
            <v>1570</v>
          </cell>
          <cell r="F187">
            <v>0</v>
          </cell>
          <cell r="G187">
            <v>26500</v>
          </cell>
          <cell r="H187">
            <v>15470</v>
          </cell>
          <cell r="I187">
            <v>2915</v>
          </cell>
          <cell r="J187">
            <v>0</v>
          </cell>
          <cell r="K187">
            <v>46455</v>
          </cell>
          <cell r="L187">
            <v>26500</v>
          </cell>
          <cell r="M187">
            <v>18</v>
          </cell>
          <cell r="P187">
            <v>6350644839</v>
          </cell>
        </row>
        <row r="188">
          <cell r="C188">
            <v>0</v>
          </cell>
          <cell r="D188">
            <v>12376</v>
          </cell>
          <cell r="E188">
            <v>1582</v>
          </cell>
          <cell r="F188">
            <v>0</v>
          </cell>
          <cell r="G188">
            <v>26500</v>
          </cell>
          <cell r="H188">
            <v>15470</v>
          </cell>
          <cell r="I188">
            <v>2915</v>
          </cell>
          <cell r="J188">
            <v>0</v>
          </cell>
          <cell r="K188">
            <v>46467</v>
          </cell>
          <cell r="L188">
            <v>26500</v>
          </cell>
          <cell r="M188">
            <v>18</v>
          </cell>
          <cell r="P188">
            <v>6350644839</v>
          </cell>
        </row>
        <row r="189">
          <cell r="C189">
            <v>0</v>
          </cell>
          <cell r="D189">
            <v>12376</v>
          </cell>
          <cell r="E189">
            <v>1600</v>
          </cell>
          <cell r="F189">
            <v>0</v>
          </cell>
          <cell r="G189">
            <v>26500</v>
          </cell>
          <cell r="H189">
            <v>15470</v>
          </cell>
          <cell r="I189">
            <v>2915</v>
          </cell>
          <cell r="J189">
            <v>0</v>
          </cell>
          <cell r="K189">
            <v>46485</v>
          </cell>
          <cell r="L189">
            <v>26500</v>
          </cell>
          <cell r="M189">
            <v>18</v>
          </cell>
          <cell r="P189">
            <v>6350644839</v>
          </cell>
        </row>
        <row r="190">
          <cell r="C190">
            <v>0</v>
          </cell>
          <cell r="D190">
            <v>5625</v>
          </cell>
          <cell r="E190">
            <v>1000</v>
          </cell>
          <cell r="F190">
            <v>0</v>
          </cell>
          <cell r="G190">
            <v>21000</v>
          </cell>
          <cell r="H190">
            <v>7500</v>
          </cell>
          <cell r="I190">
            <v>2310</v>
          </cell>
          <cell r="J190">
            <v>0</v>
          </cell>
          <cell r="K190">
            <v>31810</v>
          </cell>
          <cell r="L190">
            <v>21000</v>
          </cell>
          <cell r="M190">
            <v>20</v>
          </cell>
          <cell r="P190">
            <v>6350644839</v>
          </cell>
        </row>
        <row r="191">
          <cell r="C191">
            <v>500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289</v>
          </cell>
          <cell r="J191">
            <v>0</v>
          </cell>
          <cell r="K191">
            <v>289</v>
          </cell>
          <cell r="L191">
            <v>28883</v>
          </cell>
          <cell r="M191">
            <v>1</v>
          </cell>
          <cell r="P191">
            <v>6367846106</v>
          </cell>
        </row>
        <row r="192">
          <cell r="C192">
            <v>1000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385</v>
          </cell>
          <cell r="J192">
            <v>0</v>
          </cell>
          <cell r="K192">
            <v>385</v>
          </cell>
          <cell r="L192">
            <v>38500</v>
          </cell>
          <cell r="M192">
            <v>1</v>
          </cell>
          <cell r="P192">
            <v>6367846106</v>
          </cell>
        </row>
        <row r="193">
          <cell r="C193">
            <v>1000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385</v>
          </cell>
          <cell r="J193">
            <v>0</v>
          </cell>
          <cell r="K193">
            <v>385</v>
          </cell>
          <cell r="L193">
            <v>38500</v>
          </cell>
          <cell r="M193">
            <v>1</v>
          </cell>
          <cell r="P193">
            <v>6367846106</v>
          </cell>
        </row>
        <row r="194">
          <cell r="C194">
            <v>1000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385</v>
          </cell>
          <cell r="J194">
            <v>0</v>
          </cell>
          <cell r="K194">
            <v>385</v>
          </cell>
          <cell r="L194">
            <v>38500</v>
          </cell>
          <cell r="M194">
            <v>1</v>
          </cell>
          <cell r="P194">
            <v>6367846106</v>
          </cell>
        </row>
        <row r="195">
          <cell r="C195">
            <v>1000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385</v>
          </cell>
          <cell r="J195">
            <v>0</v>
          </cell>
          <cell r="K195">
            <v>385</v>
          </cell>
          <cell r="L195">
            <v>38500</v>
          </cell>
          <cell r="M195">
            <v>1</v>
          </cell>
          <cell r="P195">
            <v>6367846106</v>
          </cell>
        </row>
        <row r="196">
          <cell r="C196">
            <v>500</v>
          </cell>
          <cell r="D196">
            <v>0</v>
          </cell>
          <cell r="E196">
            <v>200</v>
          </cell>
          <cell r="F196">
            <v>0</v>
          </cell>
          <cell r="G196">
            <v>0</v>
          </cell>
          <cell r="H196">
            <v>0</v>
          </cell>
          <cell r="I196">
            <v>215</v>
          </cell>
          <cell r="J196">
            <v>0</v>
          </cell>
          <cell r="K196">
            <v>415</v>
          </cell>
          <cell r="L196">
            <v>21500</v>
          </cell>
          <cell r="M196">
            <v>11</v>
          </cell>
          <cell r="P196">
            <v>9571650476</v>
          </cell>
        </row>
        <row r="197">
          <cell r="C197">
            <v>500</v>
          </cell>
          <cell r="D197">
            <v>0</v>
          </cell>
          <cell r="E197">
            <v>200</v>
          </cell>
          <cell r="F197">
            <v>0</v>
          </cell>
          <cell r="G197">
            <v>0</v>
          </cell>
          <cell r="H197">
            <v>0</v>
          </cell>
          <cell r="I197">
            <v>215</v>
          </cell>
          <cell r="J197">
            <v>0</v>
          </cell>
          <cell r="K197">
            <v>415</v>
          </cell>
          <cell r="L197">
            <v>21500</v>
          </cell>
          <cell r="M197">
            <v>11</v>
          </cell>
          <cell r="P197">
            <v>9571650476</v>
          </cell>
        </row>
        <row r="198">
          <cell r="C198">
            <v>1500</v>
          </cell>
          <cell r="D198">
            <v>0</v>
          </cell>
          <cell r="E198">
            <v>0</v>
          </cell>
          <cell r="F198">
            <v>0</v>
          </cell>
          <cell r="G198">
            <v>1000</v>
          </cell>
          <cell r="H198">
            <v>0</v>
          </cell>
          <cell r="I198">
            <v>131</v>
          </cell>
          <cell r="J198">
            <v>0</v>
          </cell>
          <cell r="K198">
            <v>1131</v>
          </cell>
          <cell r="L198">
            <v>13000</v>
          </cell>
          <cell r="M198">
            <v>12</v>
          </cell>
          <cell r="P198">
            <v>8233671554</v>
          </cell>
        </row>
        <row r="199">
          <cell r="C199">
            <v>1500</v>
          </cell>
          <cell r="D199">
            <v>0</v>
          </cell>
          <cell r="E199">
            <v>0</v>
          </cell>
          <cell r="F199">
            <v>0</v>
          </cell>
          <cell r="G199">
            <v>431</v>
          </cell>
          <cell r="H199">
            <v>0</v>
          </cell>
          <cell r="I199">
            <v>124</v>
          </cell>
          <cell r="J199">
            <v>0</v>
          </cell>
          <cell r="K199">
            <v>555</v>
          </cell>
          <cell r="L199">
            <v>12431</v>
          </cell>
          <cell r="M199">
            <v>12</v>
          </cell>
          <cell r="P199">
            <v>8233671554</v>
          </cell>
        </row>
        <row r="200">
          <cell r="C200">
            <v>21000</v>
          </cell>
          <cell r="D200">
            <v>0</v>
          </cell>
          <cell r="E200">
            <v>0</v>
          </cell>
          <cell r="F200">
            <v>0</v>
          </cell>
          <cell r="G200">
            <v>1000</v>
          </cell>
          <cell r="H200">
            <v>0</v>
          </cell>
          <cell r="I200">
            <v>220</v>
          </cell>
          <cell r="J200">
            <v>0</v>
          </cell>
          <cell r="K200">
            <v>1220</v>
          </cell>
          <cell r="L200">
            <v>22000</v>
          </cell>
          <cell r="M200">
            <v>9</v>
          </cell>
          <cell r="P200">
            <v>9782323306</v>
          </cell>
        </row>
        <row r="201">
          <cell r="C201">
            <v>21000</v>
          </cell>
          <cell r="D201">
            <v>0</v>
          </cell>
          <cell r="E201">
            <v>0</v>
          </cell>
          <cell r="F201">
            <v>0</v>
          </cell>
          <cell r="G201">
            <v>1000</v>
          </cell>
          <cell r="H201">
            <v>0</v>
          </cell>
          <cell r="I201">
            <v>220</v>
          </cell>
          <cell r="J201">
            <v>0</v>
          </cell>
          <cell r="K201">
            <v>1220</v>
          </cell>
          <cell r="L201">
            <v>22000</v>
          </cell>
          <cell r="M201">
            <v>9</v>
          </cell>
          <cell r="P201">
            <v>9782323306</v>
          </cell>
        </row>
        <row r="202">
          <cell r="C202">
            <v>21000</v>
          </cell>
          <cell r="D202">
            <v>0</v>
          </cell>
          <cell r="E202">
            <v>0</v>
          </cell>
          <cell r="F202">
            <v>0</v>
          </cell>
          <cell r="G202">
            <v>1000</v>
          </cell>
          <cell r="H202">
            <v>0</v>
          </cell>
          <cell r="I202">
            <v>220</v>
          </cell>
          <cell r="J202">
            <v>0</v>
          </cell>
          <cell r="K202">
            <v>1220</v>
          </cell>
          <cell r="L202">
            <v>22000</v>
          </cell>
          <cell r="M202">
            <v>9</v>
          </cell>
          <cell r="P202">
            <v>9782323306</v>
          </cell>
        </row>
        <row r="203">
          <cell r="C203">
            <v>21000</v>
          </cell>
          <cell r="D203">
            <v>0</v>
          </cell>
          <cell r="E203">
            <v>0</v>
          </cell>
          <cell r="F203">
            <v>0</v>
          </cell>
          <cell r="G203">
            <v>1000</v>
          </cell>
          <cell r="H203">
            <v>0</v>
          </cell>
          <cell r="I203">
            <v>220</v>
          </cell>
          <cell r="J203">
            <v>0</v>
          </cell>
          <cell r="K203">
            <v>1220</v>
          </cell>
          <cell r="L203">
            <v>22000</v>
          </cell>
          <cell r="M203">
            <v>9</v>
          </cell>
          <cell r="P203">
            <v>9782323306</v>
          </cell>
        </row>
        <row r="204">
          <cell r="C204">
            <v>250</v>
          </cell>
          <cell r="D204">
            <v>0</v>
          </cell>
          <cell r="E204">
            <v>200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200</v>
          </cell>
          <cell r="L204">
            <v>0</v>
          </cell>
          <cell r="M204">
            <v>0</v>
          </cell>
          <cell r="P204">
            <v>9929194619</v>
          </cell>
        </row>
        <row r="205">
          <cell r="C205">
            <v>250</v>
          </cell>
          <cell r="D205">
            <v>0</v>
          </cell>
          <cell r="E205">
            <v>200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200</v>
          </cell>
          <cell r="L205">
            <v>0</v>
          </cell>
          <cell r="M205">
            <v>0</v>
          </cell>
          <cell r="P205">
            <v>9929194619</v>
          </cell>
        </row>
        <row r="206">
          <cell r="C206">
            <v>250</v>
          </cell>
          <cell r="D206">
            <v>0</v>
          </cell>
          <cell r="E206">
            <v>200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200</v>
          </cell>
          <cell r="L206">
            <v>0</v>
          </cell>
          <cell r="M206">
            <v>0</v>
          </cell>
          <cell r="P206">
            <v>9929194619</v>
          </cell>
        </row>
        <row r="207">
          <cell r="C207">
            <v>0</v>
          </cell>
          <cell r="D207">
            <v>29634</v>
          </cell>
          <cell r="E207">
            <v>6000</v>
          </cell>
          <cell r="F207">
            <v>7287</v>
          </cell>
          <cell r="G207">
            <v>18000</v>
          </cell>
          <cell r="H207">
            <v>29756</v>
          </cell>
          <cell r="I207">
            <v>5546</v>
          </cell>
          <cell r="J207">
            <v>0</v>
          </cell>
          <cell r="K207">
            <v>66589</v>
          </cell>
          <cell r="L207">
            <v>18000</v>
          </cell>
          <cell r="M207">
            <v>30</v>
          </cell>
          <cell r="P207">
            <v>6362901919</v>
          </cell>
        </row>
        <row r="208">
          <cell r="C208">
            <v>0</v>
          </cell>
          <cell r="D208">
            <v>29742</v>
          </cell>
          <cell r="E208">
            <v>6000</v>
          </cell>
          <cell r="F208">
            <v>7287</v>
          </cell>
          <cell r="G208">
            <v>18000</v>
          </cell>
          <cell r="H208">
            <v>29890</v>
          </cell>
          <cell r="I208">
            <v>5650</v>
          </cell>
          <cell r="J208">
            <v>0</v>
          </cell>
          <cell r="K208">
            <v>66827</v>
          </cell>
          <cell r="L208">
            <v>18000</v>
          </cell>
          <cell r="M208">
            <v>30</v>
          </cell>
          <cell r="P208">
            <v>6362901919</v>
          </cell>
        </row>
        <row r="209">
          <cell r="C209">
            <v>0</v>
          </cell>
          <cell r="D209">
            <v>29742</v>
          </cell>
          <cell r="E209">
            <v>6000</v>
          </cell>
          <cell r="F209">
            <v>7287</v>
          </cell>
          <cell r="G209">
            <v>18000</v>
          </cell>
          <cell r="H209">
            <v>29890</v>
          </cell>
          <cell r="I209">
            <v>5650</v>
          </cell>
          <cell r="J209">
            <v>0</v>
          </cell>
          <cell r="K209">
            <v>66827</v>
          </cell>
          <cell r="L209">
            <v>18000</v>
          </cell>
          <cell r="M209">
            <v>30</v>
          </cell>
          <cell r="P209">
            <v>6362901919</v>
          </cell>
        </row>
        <row r="210">
          <cell r="C210">
            <v>0</v>
          </cell>
          <cell r="D210">
            <v>4049</v>
          </cell>
          <cell r="E210">
            <v>3556</v>
          </cell>
          <cell r="F210">
            <v>1920</v>
          </cell>
          <cell r="G210">
            <v>0</v>
          </cell>
          <cell r="H210">
            <v>3479</v>
          </cell>
          <cell r="I210">
            <v>0</v>
          </cell>
          <cell r="J210">
            <v>0</v>
          </cell>
          <cell r="K210">
            <v>8955</v>
          </cell>
          <cell r="L210">
            <v>0</v>
          </cell>
          <cell r="M210">
            <v>0</v>
          </cell>
          <cell r="P210">
            <v>7023150277</v>
          </cell>
        </row>
        <row r="211">
          <cell r="C211">
            <v>0</v>
          </cell>
          <cell r="D211">
            <v>28826</v>
          </cell>
          <cell r="E211">
            <v>5975</v>
          </cell>
          <cell r="F211">
            <v>7208</v>
          </cell>
          <cell r="G211">
            <v>12460</v>
          </cell>
          <cell r="H211">
            <v>28825</v>
          </cell>
          <cell r="I211">
            <v>5455</v>
          </cell>
          <cell r="J211">
            <v>0</v>
          </cell>
          <cell r="K211">
            <v>59923</v>
          </cell>
          <cell r="L211">
            <v>12460</v>
          </cell>
          <cell r="M211">
            <v>30</v>
          </cell>
          <cell r="P211">
            <v>7023150277</v>
          </cell>
        </row>
        <row r="212">
          <cell r="C212">
            <v>0</v>
          </cell>
          <cell r="D212">
            <v>29678</v>
          </cell>
          <cell r="E212">
            <v>5975</v>
          </cell>
          <cell r="F212">
            <v>7208</v>
          </cell>
          <cell r="G212">
            <v>18000</v>
          </cell>
          <cell r="H212">
            <v>29890</v>
          </cell>
          <cell r="I212">
            <v>5650</v>
          </cell>
          <cell r="J212">
            <v>0</v>
          </cell>
          <cell r="K212">
            <v>66723</v>
          </cell>
          <cell r="L212">
            <v>18000</v>
          </cell>
          <cell r="M212">
            <v>30</v>
          </cell>
          <cell r="P212">
            <v>7023150277</v>
          </cell>
        </row>
        <row r="213">
          <cell r="C213">
            <v>500</v>
          </cell>
          <cell r="D213">
            <v>0</v>
          </cell>
          <cell r="E213">
            <v>200</v>
          </cell>
          <cell r="F213">
            <v>0</v>
          </cell>
          <cell r="G213">
            <v>0</v>
          </cell>
          <cell r="H213">
            <v>0</v>
          </cell>
          <cell r="I213">
            <v>265</v>
          </cell>
          <cell r="J213">
            <v>0</v>
          </cell>
          <cell r="K213">
            <v>465</v>
          </cell>
          <cell r="L213">
            <v>26500</v>
          </cell>
          <cell r="M213">
            <v>7</v>
          </cell>
          <cell r="P213">
            <v>9982447051</v>
          </cell>
        </row>
        <row r="214">
          <cell r="C214">
            <v>500</v>
          </cell>
          <cell r="D214">
            <v>0</v>
          </cell>
          <cell r="E214">
            <v>200</v>
          </cell>
          <cell r="F214">
            <v>0</v>
          </cell>
          <cell r="G214">
            <v>0</v>
          </cell>
          <cell r="H214">
            <v>0</v>
          </cell>
          <cell r="I214">
            <v>265</v>
          </cell>
          <cell r="J214">
            <v>0</v>
          </cell>
          <cell r="K214">
            <v>465</v>
          </cell>
          <cell r="L214">
            <v>26500</v>
          </cell>
          <cell r="M214">
            <v>7</v>
          </cell>
          <cell r="P214">
            <v>9982447051</v>
          </cell>
        </row>
        <row r="215">
          <cell r="C215">
            <v>1000</v>
          </cell>
          <cell r="D215">
            <v>0</v>
          </cell>
          <cell r="E215">
            <v>200</v>
          </cell>
          <cell r="F215">
            <v>0</v>
          </cell>
          <cell r="G215">
            <v>1000</v>
          </cell>
          <cell r="H215">
            <v>0</v>
          </cell>
          <cell r="I215">
            <v>200</v>
          </cell>
          <cell r="J215">
            <v>0</v>
          </cell>
          <cell r="K215">
            <v>1400</v>
          </cell>
          <cell r="L215">
            <v>20000</v>
          </cell>
          <cell r="M215">
            <v>1</v>
          </cell>
          <cell r="P215">
            <v>9667061763</v>
          </cell>
        </row>
        <row r="216">
          <cell r="C216">
            <v>1600</v>
          </cell>
          <cell r="D216">
            <v>0</v>
          </cell>
          <cell r="E216">
            <v>200</v>
          </cell>
          <cell r="F216">
            <v>0</v>
          </cell>
          <cell r="G216">
            <v>0</v>
          </cell>
          <cell r="H216">
            <v>0</v>
          </cell>
          <cell r="I216">
            <v>162</v>
          </cell>
          <cell r="J216">
            <v>0</v>
          </cell>
          <cell r="K216">
            <v>362</v>
          </cell>
          <cell r="L216">
            <v>16182</v>
          </cell>
          <cell r="M216">
            <v>4</v>
          </cell>
          <cell r="P216">
            <v>9667061763</v>
          </cell>
        </row>
        <row r="217">
          <cell r="C217">
            <v>0</v>
          </cell>
          <cell r="D217">
            <v>0</v>
          </cell>
          <cell r="E217">
            <v>200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200</v>
          </cell>
          <cell r="L217">
            <v>0</v>
          </cell>
          <cell r="M217">
            <v>0</v>
          </cell>
          <cell r="P217">
            <v>9351427021</v>
          </cell>
        </row>
        <row r="218">
          <cell r="C218">
            <v>0</v>
          </cell>
          <cell r="D218">
            <v>0</v>
          </cell>
          <cell r="E218">
            <v>200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200</v>
          </cell>
          <cell r="L218">
            <v>0</v>
          </cell>
          <cell r="M218">
            <v>0</v>
          </cell>
          <cell r="P218">
            <v>9351427021</v>
          </cell>
        </row>
        <row r="219">
          <cell r="C219">
            <v>2000</v>
          </cell>
          <cell r="D219">
            <v>0</v>
          </cell>
          <cell r="E219">
            <v>200</v>
          </cell>
          <cell r="F219">
            <v>0</v>
          </cell>
          <cell r="G219">
            <v>1000</v>
          </cell>
          <cell r="H219">
            <v>0</v>
          </cell>
          <cell r="I219">
            <v>70</v>
          </cell>
          <cell r="J219">
            <v>0</v>
          </cell>
          <cell r="K219">
            <v>1270</v>
          </cell>
          <cell r="L219">
            <v>7000</v>
          </cell>
          <cell r="M219">
            <v>7</v>
          </cell>
          <cell r="P219">
            <v>9680695940</v>
          </cell>
        </row>
        <row r="220">
          <cell r="C220">
            <v>2000</v>
          </cell>
          <cell r="D220">
            <v>0</v>
          </cell>
          <cell r="E220">
            <v>200</v>
          </cell>
          <cell r="F220">
            <v>0</v>
          </cell>
          <cell r="G220">
            <v>1235</v>
          </cell>
          <cell r="H220">
            <v>0</v>
          </cell>
          <cell r="I220">
            <v>72</v>
          </cell>
          <cell r="J220">
            <v>0</v>
          </cell>
          <cell r="K220">
            <v>1507</v>
          </cell>
          <cell r="L220">
            <v>7235</v>
          </cell>
          <cell r="M220">
            <v>7</v>
          </cell>
          <cell r="P220">
            <v>9680695940</v>
          </cell>
        </row>
        <row r="221">
          <cell r="C221">
            <v>1000</v>
          </cell>
          <cell r="D221">
            <v>0</v>
          </cell>
          <cell r="E221">
            <v>128</v>
          </cell>
          <cell r="F221">
            <v>0</v>
          </cell>
          <cell r="G221">
            <v>1000</v>
          </cell>
          <cell r="H221">
            <v>0</v>
          </cell>
          <cell r="I221">
            <v>190</v>
          </cell>
          <cell r="J221">
            <v>0</v>
          </cell>
          <cell r="K221">
            <v>1318</v>
          </cell>
          <cell r="L221">
            <v>19000</v>
          </cell>
          <cell r="M221">
            <v>2</v>
          </cell>
          <cell r="P221">
            <v>9799585352</v>
          </cell>
        </row>
        <row r="222">
          <cell r="C222">
            <v>1000</v>
          </cell>
          <cell r="D222">
            <v>0</v>
          </cell>
          <cell r="E222">
            <v>200</v>
          </cell>
          <cell r="F222">
            <v>0</v>
          </cell>
          <cell r="G222">
            <v>1000</v>
          </cell>
          <cell r="H222">
            <v>0</v>
          </cell>
          <cell r="I222">
            <v>190</v>
          </cell>
          <cell r="J222">
            <v>0</v>
          </cell>
          <cell r="K222">
            <v>1390</v>
          </cell>
          <cell r="L222">
            <v>19000</v>
          </cell>
          <cell r="M222">
            <v>2</v>
          </cell>
          <cell r="P222">
            <v>9799585352</v>
          </cell>
        </row>
        <row r="223">
          <cell r="C223">
            <v>1000</v>
          </cell>
          <cell r="D223">
            <v>0</v>
          </cell>
          <cell r="E223">
            <v>0</v>
          </cell>
          <cell r="F223">
            <v>0</v>
          </cell>
          <cell r="G223">
            <v>1000</v>
          </cell>
          <cell r="H223">
            <v>0</v>
          </cell>
          <cell r="I223">
            <v>280</v>
          </cell>
          <cell r="J223">
            <v>0</v>
          </cell>
          <cell r="K223">
            <v>1280</v>
          </cell>
          <cell r="L223">
            <v>28000</v>
          </cell>
          <cell r="M223">
            <v>3</v>
          </cell>
          <cell r="P223">
            <v>9828072198</v>
          </cell>
        </row>
        <row r="224">
          <cell r="C224">
            <v>1000</v>
          </cell>
          <cell r="D224">
            <v>0</v>
          </cell>
          <cell r="E224">
            <v>0</v>
          </cell>
          <cell r="F224">
            <v>0</v>
          </cell>
          <cell r="G224">
            <v>1000</v>
          </cell>
          <cell r="H224">
            <v>0</v>
          </cell>
          <cell r="I224">
            <v>240</v>
          </cell>
          <cell r="J224">
            <v>0</v>
          </cell>
          <cell r="K224">
            <v>1240</v>
          </cell>
          <cell r="L224">
            <v>24000</v>
          </cell>
          <cell r="M224">
            <v>7</v>
          </cell>
          <cell r="P224">
            <v>9828072198</v>
          </cell>
        </row>
        <row r="225">
          <cell r="C225">
            <v>0</v>
          </cell>
          <cell r="D225">
            <v>0</v>
          </cell>
          <cell r="E225">
            <v>200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200</v>
          </cell>
          <cell r="L225">
            <v>0</v>
          </cell>
          <cell r="M225">
            <v>0</v>
          </cell>
          <cell r="P225">
            <v>8560046266</v>
          </cell>
        </row>
        <row r="226">
          <cell r="C226">
            <v>0</v>
          </cell>
          <cell r="D226">
            <v>0</v>
          </cell>
          <cell r="E226">
            <v>200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200</v>
          </cell>
          <cell r="L226">
            <v>0</v>
          </cell>
          <cell r="M226">
            <v>0</v>
          </cell>
          <cell r="P226">
            <v>8560046266</v>
          </cell>
        </row>
        <row r="227">
          <cell r="C227">
            <v>0</v>
          </cell>
          <cell r="D227">
            <v>0</v>
          </cell>
          <cell r="E227">
            <v>200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200</v>
          </cell>
          <cell r="L227">
            <v>0</v>
          </cell>
          <cell r="M227">
            <v>0</v>
          </cell>
          <cell r="P227">
            <v>8560046266</v>
          </cell>
        </row>
        <row r="228">
          <cell r="C228">
            <v>0</v>
          </cell>
          <cell r="D228">
            <v>0</v>
          </cell>
          <cell r="E228">
            <v>189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189</v>
          </cell>
          <cell r="L228">
            <v>0</v>
          </cell>
          <cell r="M228">
            <v>0</v>
          </cell>
          <cell r="P228">
            <v>8560046266</v>
          </cell>
        </row>
        <row r="229">
          <cell r="C229">
            <v>0</v>
          </cell>
          <cell r="D229">
            <v>0</v>
          </cell>
          <cell r="E229">
            <v>200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200</v>
          </cell>
          <cell r="L229">
            <v>0</v>
          </cell>
          <cell r="M229">
            <v>0</v>
          </cell>
          <cell r="P229">
            <v>8560046266</v>
          </cell>
        </row>
        <row r="230">
          <cell r="C230">
            <v>1000</v>
          </cell>
          <cell r="D230">
            <v>0</v>
          </cell>
          <cell r="E230">
            <v>198</v>
          </cell>
          <cell r="F230">
            <v>0</v>
          </cell>
          <cell r="G230">
            <v>1000</v>
          </cell>
          <cell r="H230">
            <v>0</v>
          </cell>
          <cell r="I230">
            <v>50</v>
          </cell>
          <cell r="J230">
            <v>0</v>
          </cell>
          <cell r="K230">
            <v>1248</v>
          </cell>
          <cell r="L230">
            <v>5000</v>
          </cell>
          <cell r="M230">
            <v>26</v>
          </cell>
          <cell r="P230">
            <v>8963006525</v>
          </cell>
        </row>
        <row r="231">
          <cell r="C231">
            <v>1000</v>
          </cell>
          <cell r="D231">
            <v>0</v>
          </cell>
          <cell r="E231">
            <v>200</v>
          </cell>
          <cell r="F231">
            <v>0</v>
          </cell>
          <cell r="G231">
            <v>1000</v>
          </cell>
          <cell r="H231">
            <v>0</v>
          </cell>
          <cell r="I231">
            <v>50</v>
          </cell>
          <cell r="J231">
            <v>0</v>
          </cell>
          <cell r="K231">
            <v>1250</v>
          </cell>
          <cell r="L231">
            <v>5000</v>
          </cell>
          <cell r="M231">
            <v>26</v>
          </cell>
          <cell r="P231">
            <v>7877191250</v>
          </cell>
        </row>
        <row r="232">
          <cell r="C232">
            <v>1000</v>
          </cell>
          <cell r="D232">
            <v>0</v>
          </cell>
          <cell r="E232">
            <v>200</v>
          </cell>
          <cell r="F232">
            <v>0</v>
          </cell>
          <cell r="G232">
            <v>1000</v>
          </cell>
          <cell r="H232">
            <v>0</v>
          </cell>
          <cell r="I232">
            <v>50</v>
          </cell>
          <cell r="J232">
            <v>0</v>
          </cell>
          <cell r="K232">
            <v>1250</v>
          </cell>
          <cell r="L232">
            <v>5000</v>
          </cell>
          <cell r="M232">
            <v>26</v>
          </cell>
          <cell r="P232">
            <v>7877191250</v>
          </cell>
        </row>
        <row r="233">
          <cell r="C233">
            <v>1000</v>
          </cell>
          <cell r="D233">
            <v>0</v>
          </cell>
          <cell r="E233">
            <v>200</v>
          </cell>
          <cell r="F233">
            <v>0</v>
          </cell>
          <cell r="G233">
            <v>1000</v>
          </cell>
          <cell r="H233">
            <v>0</v>
          </cell>
          <cell r="I233">
            <v>50</v>
          </cell>
          <cell r="J233">
            <v>0</v>
          </cell>
          <cell r="K233">
            <v>1250</v>
          </cell>
          <cell r="L233">
            <v>5000</v>
          </cell>
          <cell r="M233">
            <v>26</v>
          </cell>
          <cell r="P233">
            <v>7877191250</v>
          </cell>
        </row>
        <row r="234">
          <cell r="C234">
            <v>1000</v>
          </cell>
          <cell r="D234">
            <v>0</v>
          </cell>
          <cell r="E234">
            <v>200</v>
          </cell>
          <cell r="F234">
            <v>0</v>
          </cell>
          <cell r="G234">
            <v>1000</v>
          </cell>
          <cell r="H234">
            <v>0</v>
          </cell>
          <cell r="I234">
            <v>50</v>
          </cell>
          <cell r="J234">
            <v>0</v>
          </cell>
          <cell r="K234">
            <v>1250</v>
          </cell>
          <cell r="L234">
            <v>5000</v>
          </cell>
          <cell r="M234">
            <v>26</v>
          </cell>
          <cell r="P234">
            <v>7877191250</v>
          </cell>
        </row>
        <row r="235">
          <cell r="C235">
            <v>1000</v>
          </cell>
          <cell r="D235">
            <v>0</v>
          </cell>
          <cell r="E235">
            <v>200</v>
          </cell>
          <cell r="F235">
            <v>0</v>
          </cell>
          <cell r="G235">
            <v>1000</v>
          </cell>
          <cell r="H235">
            <v>0</v>
          </cell>
          <cell r="I235">
            <v>50</v>
          </cell>
          <cell r="J235">
            <v>0</v>
          </cell>
          <cell r="K235">
            <v>1250</v>
          </cell>
          <cell r="L235">
            <v>5000</v>
          </cell>
          <cell r="M235">
            <v>26</v>
          </cell>
          <cell r="P235">
            <v>7877191250</v>
          </cell>
        </row>
        <row r="236">
          <cell r="C236">
            <v>1000</v>
          </cell>
          <cell r="D236">
            <v>0</v>
          </cell>
          <cell r="E236">
            <v>200</v>
          </cell>
          <cell r="F236">
            <v>0</v>
          </cell>
          <cell r="G236">
            <v>921</v>
          </cell>
          <cell r="H236">
            <v>0</v>
          </cell>
          <cell r="I236">
            <v>59</v>
          </cell>
          <cell r="J236">
            <v>0</v>
          </cell>
          <cell r="K236">
            <v>1180</v>
          </cell>
          <cell r="L236">
            <v>5921</v>
          </cell>
          <cell r="M236">
            <v>25</v>
          </cell>
          <cell r="P236">
            <v>9784451938</v>
          </cell>
        </row>
        <row r="237">
          <cell r="C237">
            <v>1000</v>
          </cell>
          <cell r="D237">
            <v>0</v>
          </cell>
          <cell r="E237">
            <v>200</v>
          </cell>
          <cell r="F237">
            <v>0</v>
          </cell>
          <cell r="G237">
            <v>1000</v>
          </cell>
          <cell r="H237">
            <v>0</v>
          </cell>
          <cell r="I237">
            <v>60</v>
          </cell>
          <cell r="J237">
            <v>0</v>
          </cell>
          <cell r="K237">
            <v>1260</v>
          </cell>
          <cell r="L237">
            <v>6000</v>
          </cell>
          <cell r="M237">
            <v>25</v>
          </cell>
          <cell r="P237">
            <v>9784451938</v>
          </cell>
        </row>
        <row r="238">
          <cell r="C238">
            <v>1000</v>
          </cell>
          <cell r="D238">
            <v>0</v>
          </cell>
          <cell r="E238">
            <v>200</v>
          </cell>
          <cell r="F238">
            <v>0</v>
          </cell>
          <cell r="G238">
            <v>1000</v>
          </cell>
          <cell r="H238">
            <v>0</v>
          </cell>
          <cell r="I238">
            <v>140</v>
          </cell>
          <cell r="J238">
            <v>0</v>
          </cell>
          <cell r="K238">
            <v>1340</v>
          </cell>
          <cell r="L238">
            <v>14000</v>
          </cell>
          <cell r="M238">
            <v>17</v>
          </cell>
          <cell r="P238">
            <v>9784451938</v>
          </cell>
        </row>
        <row r="239">
          <cell r="C239">
            <v>1000</v>
          </cell>
          <cell r="D239">
            <v>0</v>
          </cell>
          <cell r="E239">
            <v>200</v>
          </cell>
          <cell r="F239">
            <v>0</v>
          </cell>
          <cell r="G239">
            <v>1000</v>
          </cell>
          <cell r="H239">
            <v>0</v>
          </cell>
          <cell r="I239">
            <v>60</v>
          </cell>
          <cell r="J239">
            <v>0</v>
          </cell>
          <cell r="K239">
            <v>1260</v>
          </cell>
          <cell r="L239">
            <v>6000</v>
          </cell>
          <cell r="M239">
            <v>25</v>
          </cell>
          <cell r="P239">
            <v>9784451938</v>
          </cell>
        </row>
        <row r="240">
          <cell r="C240">
            <v>1000</v>
          </cell>
          <cell r="D240">
            <v>0</v>
          </cell>
          <cell r="E240">
            <v>200</v>
          </cell>
          <cell r="F240">
            <v>0</v>
          </cell>
          <cell r="G240">
            <v>1000</v>
          </cell>
          <cell r="H240">
            <v>0</v>
          </cell>
          <cell r="I240">
            <v>60</v>
          </cell>
          <cell r="J240">
            <v>0</v>
          </cell>
          <cell r="K240">
            <v>1260</v>
          </cell>
          <cell r="L240">
            <v>6000</v>
          </cell>
          <cell r="M240">
            <v>25</v>
          </cell>
          <cell r="P240">
            <v>9784451938</v>
          </cell>
        </row>
        <row r="241">
          <cell r="C241">
            <v>0</v>
          </cell>
          <cell r="D241">
            <v>0</v>
          </cell>
          <cell r="E241">
            <v>200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200</v>
          </cell>
          <cell r="L241">
            <v>0</v>
          </cell>
          <cell r="M241">
            <v>0</v>
          </cell>
          <cell r="P241">
            <v>9602816634</v>
          </cell>
        </row>
        <row r="242">
          <cell r="C242">
            <v>0</v>
          </cell>
          <cell r="D242">
            <v>0</v>
          </cell>
          <cell r="E242">
            <v>200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200</v>
          </cell>
          <cell r="L242">
            <v>0</v>
          </cell>
          <cell r="M242">
            <v>0</v>
          </cell>
          <cell r="P242">
            <v>9602816634</v>
          </cell>
        </row>
        <row r="243">
          <cell r="C243">
            <v>0</v>
          </cell>
          <cell r="D243">
            <v>0</v>
          </cell>
          <cell r="E243">
            <v>200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200</v>
          </cell>
          <cell r="L243">
            <v>0</v>
          </cell>
          <cell r="M243">
            <v>0</v>
          </cell>
          <cell r="P243">
            <v>9928208341</v>
          </cell>
        </row>
        <row r="244">
          <cell r="C244">
            <v>0</v>
          </cell>
          <cell r="D244">
            <v>0</v>
          </cell>
          <cell r="E244">
            <v>200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200</v>
          </cell>
          <cell r="L244">
            <v>0</v>
          </cell>
          <cell r="M244">
            <v>0</v>
          </cell>
          <cell r="P244">
            <v>9928208341</v>
          </cell>
        </row>
        <row r="245">
          <cell r="C245">
            <v>0</v>
          </cell>
          <cell r="D245">
            <v>0</v>
          </cell>
          <cell r="E245">
            <v>200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200</v>
          </cell>
          <cell r="L245">
            <v>0</v>
          </cell>
          <cell r="M245">
            <v>0</v>
          </cell>
          <cell r="P245">
            <v>9928208341</v>
          </cell>
        </row>
        <row r="246">
          <cell r="C246">
            <v>0</v>
          </cell>
          <cell r="D246">
            <v>0</v>
          </cell>
          <cell r="E246">
            <v>200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200</v>
          </cell>
          <cell r="L246">
            <v>0</v>
          </cell>
          <cell r="M246">
            <v>0</v>
          </cell>
          <cell r="P246">
            <v>9928208341</v>
          </cell>
        </row>
        <row r="247">
          <cell r="C247">
            <v>0</v>
          </cell>
          <cell r="D247">
            <v>0</v>
          </cell>
          <cell r="E247">
            <v>200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200</v>
          </cell>
          <cell r="L247">
            <v>0</v>
          </cell>
          <cell r="M247">
            <v>0</v>
          </cell>
          <cell r="P247">
            <v>9928208341</v>
          </cell>
        </row>
        <row r="248">
          <cell r="C248">
            <v>1000</v>
          </cell>
          <cell r="D248">
            <v>0</v>
          </cell>
          <cell r="E248">
            <v>168</v>
          </cell>
          <cell r="F248">
            <v>0</v>
          </cell>
          <cell r="G248">
            <v>1000</v>
          </cell>
          <cell r="H248">
            <v>0</v>
          </cell>
          <cell r="I248">
            <v>290</v>
          </cell>
          <cell r="J248">
            <v>0</v>
          </cell>
          <cell r="K248">
            <v>1458</v>
          </cell>
          <cell r="L248">
            <v>29000</v>
          </cell>
          <cell r="M248">
            <v>2</v>
          </cell>
          <cell r="P248">
            <v>9729252118</v>
          </cell>
        </row>
        <row r="249">
          <cell r="C249">
            <v>1000</v>
          </cell>
          <cell r="D249">
            <v>0</v>
          </cell>
          <cell r="E249">
            <v>200</v>
          </cell>
          <cell r="F249">
            <v>0</v>
          </cell>
          <cell r="G249">
            <v>1000</v>
          </cell>
          <cell r="H249">
            <v>0</v>
          </cell>
          <cell r="I249">
            <v>290</v>
          </cell>
          <cell r="J249">
            <v>0</v>
          </cell>
          <cell r="K249">
            <v>1490</v>
          </cell>
          <cell r="L249">
            <v>29000</v>
          </cell>
          <cell r="M249">
            <v>2</v>
          </cell>
          <cell r="P249">
            <v>9782606781</v>
          </cell>
        </row>
        <row r="250">
          <cell r="C250">
            <v>1000</v>
          </cell>
          <cell r="D250">
            <v>0</v>
          </cell>
          <cell r="E250">
            <v>200</v>
          </cell>
          <cell r="F250">
            <v>0</v>
          </cell>
          <cell r="G250">
            <v>1000</v>
          </cell>
          <cell r="H250">
            <v>0</v>
          </cell>
          <cell r="I250">
            <v>290</v>
          </cell>
          <cell r="J250">
            <v>0</v>
          </cell>
          <cell r="K250">
            <v>1490</v>
          </cell>
          <cell r="L250">
            <v>29000</v>
          </cell>
          <cell r="M250">
            <v>2</v>
          </cell>
          <cell r="P250">
            <v>9782606781</v>
          </cell>
        </row>
        <row r="251">
          <cell r="C251">
            <v>1000</v>
          </cell>
          <cell r="D251">
            <v>0</v>
          </cell>
          <cell r="E251">
            <v>200</v>
          </cell>
          <cell r="F251">
            <v>0</v>
          </cell>
          <cell r="G251">
            <v>1000</v>
          </cell>
          <cell r="H251">
            <v>0</v>
          </cell>
          <cell r="I251">
            <v>290</v>
          </cell>
          <cell r="J251">
            <v>0</v>
          </cell>
          <cell r="K251">
            <v>1490</v>
          </cell>
          <cell r="L251">
            <v>29000</v>
          </cell>
          <cell r="M251">
            <v>2</v>
          </cell>
          <cell r="P251">
            <v>9782606781</v>
          </cell>
        </row>
        <row r="252">
          <cell r="C252">
            <v>0</v>
          </cell>
          <cell r="D252">
            <v>0</v>
          </cell>
          <cell r="E252">
            <v>200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200</v>
          </cell>
          <cell r="L252">
            <v>0</v>
          </cell>
          <cell r="M252">
            <v>0</v>
          </cell>
          <cell r="P252">
            <v>9782606781</v>
          </cell>
        </row>
        <row r="253">
          <cell r="C253">
            <v>1000</v>
          </cell>
          <cell r="D253">
            <v>0</v>
          </cell>
          <cell r="E253">
            <v>200</v>
          </cell>
          <cell r="F253">
            <v>0</v>
          </cell>
          <cell r="G253">
            <v>1000</v>
          </cell>
          <cell r="H253">
            <v>0</v>
          </cell>
          <cell r="I253">
            <v>60</v>
          </cell>
          <cell r="J253">
            <v>0</v>
          </cell>
          <cell r="K253">
            <v>1260</v>
          </cell>
          <cell r="L253">
            <v>6000</v>
          </cell>
          <cell r="M253">
            <v>25</v>
          </cell>
          <cell r="P253">
            <v>9783982680</v>
          </cell>
        </row>
        <row r="254">
          <cell r="C254">
            <v>1000</v>
          </cell>
          <cell r="D254">
            <v>0</v>
          </cell>
          <cell r="E254">
            <v>0</v>
          </cell>
          <cell r="F254">
            <v>0</v>
          </cell>
          <cell r="G254">
            <v>1000</v>
          </cell>
          <cell r="H254">
            <v>0</v>
          </cell>
          <cell r="I254">
            <v>60</v>
          </cell>
          <cell r="J254">
            <v>0</v>
          </cell>
          <cell r="K254">
            <v>1060</v>
          </cell>
          <cell r="L254">
            <v>6000</v>
          </cell>
          <cell r="M254">
            <v>25</v>
          </cell>
          <cell r="P254">
            <v>9783982680</v>
          </cell>
        </row>
        <row r="255">
          <cell r="C255">
            <v>1000</v>
          </cell>
          <cell r="D255">
            <v>0</v>
          </cell>
          <cell r="E255">
            <v>200</v>
          </cell>
          <cell r="F255">
            <v>0</v>
          </cell>
          <cell r="G255">
            <v>1000</v>
          </cell>
          <cell r="H255">
            <v>0</v>
          </cell>
          <cell r="I255">
            <v>60</v>
          </cell>
          <cell r="J255">
            <v>0</v>
          </cell>
          <cell r="K255">
            <v>1260</v>
          </cell>
          <cell r="L255">
            <v>6000</v>
          </cell>
          <cell r="M255">
            <v>25</v>
          </cell>
          <cell r="P255">
            <v>9783982680</v>
          </cell>
        </row>
        <row r="256">
          <cell r="C256">
            <v>1000</v>
          </cell>
          <cell r="D256">
            <v>0</v>
          </cell>
          <cell r="E256">
            <v>200</v>
          </cell>
          <cell r="F256">
            <v>0</v>
          </cell>
          <cell r="G256">
            <v>1000</v>
          </cell>
          <cell r="H256">
            <v>0</v>
          </cell>
          <cell r="I256">
            <v>60</v>
          </cell>
          <cell r="J256">
            <v>0</v>
          </cell>
          <cell r="K256">
            <v>1260</v>
          </cell>
          <cell r="L256">
            <v>6000</v>
          </cell>
          <cell r="M256">
            <v>25</v>
          </cell>
          <cell r="P256">
            <v>9783982680</v>
          </cell>
        </row>
        <row r="257">
          <cell r="C257">
            <v>1000</v>
          </cell>
          <cell r="D257">
            <v>0</v>
          </cell>
          <cell r="E257">
            <v>200</v>
          </cell>
          <cell r="F257">
            <v>0</v>
          </cell>
          <cell r="G257">
            <v>1000</v>
          </cell>
          <cell r="H257">
            <v>0</v>
          </cell>
          <cell r="I257">
            <v>60</v>
          </cell>
          <cell r="J257">
            <v>0</v>
          </cell>
          <cell r="K257">
            <v>1260</v>
          </cell>
          <cell r="L257">
            <v>6000</v>
          </cell>
          <cell r="M257">
            <v>25</v>
          </cell>
          <cell r="P257">
            <v>9783982680</v>
          </cell>
        </row>
        <row r="258">
          <cell r="C258">
            <v>1000</v>
          </cell>
          <cell r="D258">
            <v>0</v>
          </cell>
          <cell r="E258">
            <v>200</v>
          </cell>
          <cell r="F258">
            <v>0</v>
          </cell>
          <cell r="G258">
            <v>1000</v>
          </cell>
          <cell r="H258">
            <v>0</v>
          </cell>
          <cell r="I258">
            <v>60</v>
          </cell>
          <cell r="J258">
            <v>0</v>
          </cell>
          <cell r="K258">
            <v>1260</v>
          </cell>
          <cell r="L258">
            <v>6000</v>
          </cell>
          <cell r="M258">
            <v>25</v>
          </cell>
          <cell r="P258">
            <v>9783982680</v>
          </cell>
        </row>
        <row r="259">
          <cell r="C259">
            <v>1000</v>
          </cell>
          <cell r="D259">
            <v>0</v>
          </cell>
          <cell r="E259">
            <v>200</v>
          </cell>
          <cell r="F259">
            <v>0</v>
          </cell>
          <cell r="G259">
            <v>1000</v>
          </cell>
          <cell r="H259">
            <v>0</v>
          </cell>
          <cell r="I259">
            <v>60</v>
          </cell>
          <cell r="J259">
            <v>0</v>
          </cell>
          <cell r="K259">
            <v>1260</v>
          </cell>
          <cell r="L259">
            <v>6000</v>
          </cell>
          <cell r="M259">
            <v>25</v>
          </cell>
          <cell r="P259">
            <v>9783982680</v>
          </cell>
        </row>
        <row r="260">
          <cell r="C260">
            <v>1000</v>
          </cell>
          <cell r="D260">
            <v>0</v>
          </cell>
          <cell r="E260">
            <v>0</v>
          </cell>
          <cell r="F260">
            <v>0</v>
          </cell>
          <cell r="G260">
            <v>1000</v>
          </cell>
          <cell r="H260">
            <v>0</v>
          </cell>
          <cell r="I260">
            <v>370</v>
          </cell>
          <cell r="J260">
            <v>0</v>
          </cell>
          <cell r="K260">
            <v>1370</v>
          </cell>
          <cell r="L260">
            <v>37000</v>
          </cell>
          <cell r="M260">
            <v>4</v>
          </cell>
          <cell r="P260">
            <v>6367846106</v>
          </cell>
        </row>
        <row r="261">
          <cell r="C261">
            <v>1000</v>
          </cell>
          <cell r="D261">
            <v>0</v>
          </cell>
          <cell r="E261">
            <v>0</v>
          </cell>
          <cell r="F261">
            <v>0</v>
          </cell>
          <cell r="G261">
            <v>1000</v>
          </cell>
          <cell r="H261">
            <v>0</v>
          </cell>
          <cell r="I261">
            <v>370</v>
          </cell>
          <cell r="J261">
            <v>0</v>
          </cell>
          <cell r="K261">
            <v>1370</v>
          </cell>
          <cell r="L261">
            <v>37000</v>
          </cell>
          <cell r="M261">
            <v>4</v>
          </cell>
          <cell r="P261">
            <v>6367846106</v>
          </cell>
        </row>
        <row r="262">
          <cell r="C262">
            <v>1000</v>
          </cell>
          <cell r="D262">
            <v>0</v>
          </cell>
          <cell r="E262">
            <v>0</v>
          </cell>
          <cell r="F262">
            <v>0</v>
          </cell>
          <cell r="G262">
            <v>1000</v>
          </cell>
          <cell r="H262">
            <v>0</v>
          </cell>
          <cell r="I262">
            <v>370</v>
          </cell>
          <cell r="J262">
            <v>0</v>
          </cell>
          <cell r="K262">
            <v>1370</v>
          </cell>
          <cell r="L262">
            <v>37000</v>
          </cell>
          <cell r="M262">
            <v>4</v>
          </cell>
          <cell r="P262">
            <v>6367846106</v>
          </cell>
        </row>
        <row r="263">
          <cell r="C263">
            <v>1000</v>
          </cell>
          <cell r="D263">
            <v>0</v>
          </cell>
          <cell r="E263">
            <v>0</v>
          </cell>
          <cell r="F263">
            <v>0</v>
          </cell>
          <cell r="G263">
            <v>1000</v>
          </cell>
          <cell r="H263">
            <v>0</v>
          </cell>
          <cell r="I263">
            <v>260</v>
          </cell>
          <cell r="J263">
            <v>0</v>
          </cell>
          <cell r="K263">
            <v>1260</v>
          </cell>
          <cell r="L263">
            <v>26000</v>
          </cell>
          <cell r="M263">
            <v>15</v>
          </cell>
          <cell r="P263">
            <v>91667880643</v>
          </cell>
        </row>
        <row r="264">
          <cell r="C264">
            <v>1000</v>
          </cell>
          <cell r="D264">
            <v>0</v>
          </cell>
          <cell r="E264">
            <v>0</v>
          </cell>
          <cell r="F264">
            <v>0</v>
          </cell>
          <cell r="G264">
            <v>1000</v>
          </cell>
          <cell r="H264">
            <v>0</v>
          </cell>
          <cell r="I264">
            <v>260</v>
          </cell>
          <cell r="J264">
            <v>0</v>
          </cell>
          <cell r="K264">
            <v>1260</v>
          </cell>
          <cell r="L264">
            <v>26000</v>
          </cell>
          <cell r="M264">
            <v>15</v>
          </cell>
          <cell r="P264">
            <v>91667880643</v>
          </cell>
        </row>
        <row r="265">
          <cell r="C265">
            <v>1000</v>
          </cell>
          <cell r="D265">
            <v>0</v>
          </cell>
          <cell r="E265">
            <v>0</v>
          </cell>
          <cell r="F265">
            <v>0</v>
          </cell>
          <cell r="G265">
            <v>1000</v>
          </cell>
          <cell r="H265">
            <v>0</v>
          </cell>
          <cell r="I265">
            <v>260</v>
          </cell>
          <cell r="J265">
            <v>0</v>
          </cell>
          <cell r="K265">
            <v>1260</v>
          </cell>
          <cell r="L265">
            <v>26000</v>
          </cell>
          <cell r="M265">
            <v>15</v>
          </cell>
          <cell r="P265">
            <v>91667880643</v>
          </cell>
        </row>
        <row r="266">
          <cell r="C266">
            <v>1000</v>
          </cell>
          <cell r="D266">
            <v>148</v>
          </cell>
          <cell r="E266">
            <v>2176</v>
          </cell>
          <cell r="F266">
            <v>590</v>
          </cell>
          <cell r="G266">
            <v>11000</v>
          </cell>
          <cell r="H266">
            <v>0</v>
          </cell>
          <cell r="I266">
            <v>1360</v>
          </cell>
          <cell r="J266">
            <v>0</v>
          </cell>
          <cell r="K266">
            <v>15126</v>
          </cell>
          <cell r="L266">
            <v>17000</v>
          </cell>
          <cell r="M266">
            <v>8</v>
          </cell>
          <cell r="P266">
            <v>9928304255</v>
          </cell>
        </row>
        <row r="267">
          <cell r="C267">
            <v>1000</v>
          </cell>
          <cell r="D267">
            <v>0</v>
          </cell>
          <cell r="E267">
            <v>1642</v>
          </cell>
          <cell r="F267">
            <v>330</v>
          </cell>
          <cell r="G267">
            <v>11000</v>
          </cell>
          <cell r="H267">
            <v>0</v>
          </cell>
          <cell r="I267">
            <v>1360</v>
          </cell>
          <cell r="J267">
            <v>0</v>
          </cell>
          <cell r="K267">
            <v>14332</v>
          </cell>
          <cell r="L267">
            <v>17000</v>
          </cell>
          <cell r="M267">
            <v>8</v>
          </cell>
          <cell r="P267">
            <v>9928304255</v>
          </cell>
        </row>
        <row r="268">
          <cell r="C268">
            <v>0</v>
          </cell>
          <cell r="D268">
            <v>6430</v>
          </cell>
          <cell r="E268">
            <v>3127</v>
          </cell>
          <cell r="F268">
            <v>1759</v>
          </cell>
          <cell r="G268">
            <v>0</v>
          </cell>
          <cell r="H268">
            <v>6278</v>
          </cell>
          <cell r="I268">
            <v>0</v>
          </cell>
          <cell r="J268">
            <v>0</v>
          </cell>
          <cell r="K268">
            <v>11164</v>
          </cell>
          <cell r="L268">
            <v>0</v>
          </cell>
          <cell r="M268">
            <v>0</v>
          </cell>
          <cell r="P268">
            <v>9660326055</v>
          </cell>
        </row>
        <row r="269">
          <cell r="C269">
            <v>0</v>
          </cell>
          <cell r="D269">
            <v>8448</v>
          </cell>
          <cell r="E269">
            <v>3600</v>
          </cell>
          <cell r="F269">
            <v>2027</v>
          </cell>
          <cell r="G269">
            <v>630</v>
          </cell>
          <cell r="H269">
            <v>8533</v>
          </cell>
          <cell r="I269">
            <v>196</v>
          </cell>
          <cell r="J269">
            <v>0</v>
          </cell>
          <cell r="K269">
            <v>14986</v>
          </cell>
          <cell r="L269">
            <v>630</v>
          </cell>
          <cell r="M269">
            <v>22</v>
          </cell>
          <cell r="P269">
            <v>9660326055</v>
          </cell>
        </row>
        <row r="270">
          <cell r="C270">
            <v>0</v>
          </cell>
          <cell r="D270">
            <v>10427</v>
          </cell>
          <cell r="E270">
            <v>3600</v>
          </cell>
          <cell r="F270">
            <v>2027</v>
          </cell>
          <cell r="G270">
            <v>8500</v>
          </cell>
          <cell r="H270">
            <v>11007</v>
          </cell>
          <cell r="I270">
            <v>510</v>
          </cell>
          <cell r="J270">
            <v>0</v>
          </cell>
          <cell r="K270">
            <v>25644</v>
          </cell>
          <cell r="L270">
            <v>8500</v>
          </cell>
          <cell r="M270">
            <v>22</v>
          </cell>
          <cell r="P270">
            <v>9660326055</v>
          </cell>
        </row>
        <row r="271">
          <cell r="C271">
            <v>0</v>
          </cell>
          <cell r="D271">
            <v>10427</v>
          </cell>
          <cell r="E271">
            <v>3600</v>
          </cell>
          <cell r="F271">
            <v>2027</v>
          </cell>
          <cell r="G271">
            <v>8500</v>
          </cell>
          <cell r="H271">
            <v>11007</v>
          </cell>
          <cell r="I271">
            <v>510</v>
          </cell>
          <cell r="J271">
            <v>0</v>
          </cell>
          <cell r="K271">
            <v>25644</v>
          </cell>
          <cell r="L271">
            <v>8500</v>
          </cell>
          <cell r="M271">
            <v>22</v>
          </cell>
          <cell r="P271">
            <v>9660326055</v>
          </cell>
        </row>
        <row r="272">
          <cell r="C272">
            <v>0</v>
          </cell>
          <cell r="D272">
            <v>10427</v>
          </cell>
          <cell r="E272">
            <v>3600</v>
          </cell>
          <cell r="F272">
            <v>2027</v>
          </cell>
          <cell r="G272">
            <v>8500</v>
          </cell>
          <cell r="H272">
            <v>11007</v>
          </cell>
          <cell r="I272">
            <v>510</v>
          </cell>
          <cell r="J272">
            <v>0</v>
          </cell>
          <cell r="K272">
            <v>25644</v>
          </cell>
          <cell r="L272">
            <v>8500</v>
          </cell>
          <cell r="M272">
            <v>22</v>
          </cell>
          <cell r="P272">
            <v>9660326055</v>
          </cell>
        </row>
        <row r="273">
          <cell r="C273">
            <v>0</v>
          </cell>
          <cell r="D273">
            <v>0</v>
          </cell>
          <cell r="E273">
            <v>200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200</v>
          </cell>
          <cell r="L273">
            <v>0</v>
          </cell>
          <cell r="M273">
            <v>0</v>
          </cell>
          <cell r="P273">
            <v>9929257249</v>
          </cell>
        </row>
        <row r="274">
          <cell r="C274">
            <v>0</v>
          </cell>
          <cell r="D274">
            <v>0</v>
          </cell>
          <cell r="E274">
            <v>200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200</v>
          </cell>
          <cell r="L274">
            <v>0</v>
          </cell>
          <cell r="M274">
            <v>0</v>
          </cell>
          <cell r="P274">
            <v>9929257249</v>
          </cell>
        </row>
        <row r="275">
          <cell r="C275">
            <v>0</v>
          </cell>
          <cell r="D275">
            <v>0</v>
          </cell>
          <cell r="E275">
            <v>200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200</v>
          </cell>
          <cell r="L275">
            <v>0</v>
          </cell>
          <cell r="M275">
            <v>0</v>
          </cell>
          <cell r="P275">
            <v>9929257249</v>
          </cell>
        </row>
        <row r="276"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P276">
            <v>9929257249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P277">
            <v>9929257249</v>
          </cell>
        </row>
        <row r="278">
          <cell r="C278">
            <v>0</v>
          </cell>
          <cell r="D278">
            <v>0</v>
          </cell>
          <cell r="E278">
            <v>200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200</v>
          </cell>
          <cell r="L278">
            <v>0</v>
          </cell>
          <cell r="M278">
            <v>0</v>
          </cell>
          <cell r="P278">
            <v>9929257249</v>
          </cell>
        </row>
        <row r="279">
          <cell r="C279">
            <v>0</v>
          </cell>
          <cell r="D279">
            <v>0</v>
          </cell>
          <cell r="E279">
            <v>200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200</v>
          </cell>
          <cell r="L279">
            <v>0</v>
          </cell>
          <cell r="M279">
            <v>0</v>
          </cell>
          <cell r="P279">
            <v>9929257249</v>
          </cell>
        </row>
        <row r="280">
          <cell r="C280">
            <v>0</v>
          </cell>
          <cell r="D280">
            <v>0</v>
          </cell>
          <cell r="E280">
            <v>200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200</v>
          </cell>
          <cell r="L280">
            <v>0</v>
          </cell>
          <cell r="M280">
            <v>0</v>
          </cell>
          <cell r="P280">
            <v>9929257249</v>
          </cell>
        </row>
        <row r="281">
          <cell r="C281">
            <v>1000</v>
          </cell>
          <cell r="D281">
            <v>0</v>
          </cell>
          <cell r="E281">
            <v>200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200</v>
          </cell>
          <cell r="L281">
            <v>0</v>
          </cell>
          <cell r="M281">
            <v>0</v>
          </cell>
          <cell r="P281">
            <v>9314298877</v>
          </cell>
        </row>
        <row r="282">
          <cell r="C282">
            <v>1000</v>
          </cell>
          <cell r="D282">
            <v>0</v>
          </cell>
          <cell r="E282">
            <v>200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200</v>
          </cell>
          <cell r="L282">
            <v>0</v>
          </cell>
          <cell r="M282">
            <v>0</v>
          </cell>
          <cell r="P282">
            <v>9314298877</v>
          </cell>
        </row>
        <row r="283">
          <cell r="C283">
            <v>1000</v>
          </cell>
          <cell r="D283">
            <v>0</v>
          </cell>
          <cell r="E283">
            <v>200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200</v>
          </cell>
          <cell r="L283">
            <v>0</v>
          </cell>
          <cell r="M283">
            <v>0</v>
          </cell>
          <cell r="P283">
            <v>9314298877</v>
          </cell>
        </row>
        <row r="284">
          <cell r="C284">
            <v>1000</v>
          </cell>
          <cell r="D284">
            <v>0</v>
          </cell>
          <cell r="E284">
            <v>200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200</v>
          </cell>
          <cell r="L284">
            <v>0</v>
          </cell>
          <cell r="M284">
            <v>0</v>
          </cell>
          <cell r="P284">
            <v>9314298877</v>
          </cell>
        </row>
        <row r="285">
          <cell r="C285">
            <v>1000</v>
          </cell>
          <cell r="D285">
            <v>0</v>
          </cell>
          <cell r="E285">
            <v>200</v>
          </cell>
          <cell r="F285">
            <v>0</v>
          </cell>
          <cell r="G285">
            <v>0</v>
          </cell>
          <cell r="H285">
            <v>0</v>
          </cell>
          <cell r="I285">
            <v>11</v>
          </cell>
          <cell r="J285">
            <v>0</v>
          </cell>
          <cell r="K285">
            <v>211</v>
          </cell>
          <cell r="L285">
            <v>1100</v>
          </cell>
          <cell r="M285">
            <v>28</v>
          </cell>
          <cell r="P285">
            <v>9314298877</v>
          </cell>
        </row>
        <row r="286">
          <cell r="C286">
            <v>0</v>
          </cell>
          <cell r="D286">
            <v>0</v>
          </cell>
          <cell r="E286">
            <v>200</v>
          </cell>
          <cell r="F286">
            <v>0</v>
          </cell>
          <cell r="G286">
            <v>0</v>
          </cell>
          <cell r="H286">
            <v>0</v>
          </cell>
          <cell r="I286">
            <v>300</v>
          </cell>
          <cell r="J286">
            <v>0</v>
          </cell>
          <cell r="K286">
            <v>500</v>
          </cell>
          <cell r="L286">
            <v>30000</v>
          </cell>
          <cell r="M286">
            <v>2</v>
          </cell>
          <cell r="P286">
            <v>9928695433</v>
          </cell>
        </row>
        <row r="287">
          <cell r="C287">
            <v>0</v>
          </cell>
          <cell r="D287">
            <v>0</v>
          </cell>
          <cell r="E287">
            <v>200</v>
          </cell>
          <cell r="F287">
            <v>0</v>
          </cell>
          <cell r="G287">
            <v>0</v>
          </cell>
          <cell r="H287">
            <v>0</v>
          </cell>
          <cell r="I287">
            <v>300</v>
          </cell>
          <cell r="J287">
            <v>0</v>
          </cell>
          <cell r="K287">
            <v>500</v>
          </cell>
          <cell r="L287">
            <v>30000</v>
          </cell>
          <cell r="M287">
            <v>2</v>
          </cell>
          <cell r="P287">
            <v>9928695433</v>
          </cell>
        </row>
        <row r="288">
          <cell r="C288">
            <v>0</v>
          </cell>
          <cell r="D288">
            <v>0</v>
          </cell>
          <cell r="E288">
            <v>200</v>
          </cell>
          <cell r="F288">
            <v>0</v>
          </cell>
          <cell r="G288">
            <v>0</v>
          </cell>
          <cell r="H288">
            <v>0</v>
          </cell>
          <cell r="I288">
            <v>300</v>
          </cell>
          <cell r="J288">
            <v>0</v>
          </cell>
          <cell r="K288">
            <v>500</v>
          </cell>
          <cell r="L288">
            <v>30000</v>
          </cell>
          <cell r="M288">
            <v>2</v>
          </cell>
          <cell r="P288">
            <v>9928695433</v>
          </cell>
        </row>
        <row r="289">
          <cell r="C289">
            <v>750</v>
          </cell>
          <cell r="D289">
            <v>10910</v>
          </cell>
          <cell r="E289">
            <v>3200</v>
          </cell>
          <cell r="F289">
            <v>1660</v>
          </cell>
          <cell r="G289">
            <v>15000</v>
          </cell>
          <cell r="H289">
            <v>11978</v>
          </cell>
          <cell r="I289">
            <v>4320</v>
          </cell>
          <cell r="J289">
            <v>0</v>
          </cell>
          <cell r="K289">
            <v>36158</v>
          </cell>
          <cell r="L289">
            <v>27000</v>
          </cell>
          <cell r="M289">
            <v>24</v>
          </cell>
          <cell r="P289">
            <v>8094770777</v>
          </cell>
        </row>
        <row r="290">
          <cell r="C290">
            <v>750</v>
          </cell>
          <cell r="D290">
            <v>11131</v>
          </cell>
          <cell r="E290">
            <v>3200</v>
          </cell>
          <cell r="F290">
            <v>1667</v>
          </cell>
          <cell r="G290">
            <v>15000</v>
          </cell>
          <cell r="H290">
            <v>12247</v>
          </cell>
          <cell r="I290">
            <v>4498</v>
          </cell>
          <cell r="J290">
            <v>0</v>
          </cell>
          <cell r="K290">
            <v>36612</v>
          </cell>
          <cell r="L290">
            <v>27000</v>
          </cell>
          <cell r="M290">
            <v>24</v>
          </cell>
          <cell r="P290">
            <v>8094770777</v>
          </cell>
        </row>
        <row r="291">
          <cell r="C291">
            <v>750</v>
          </cell>
          <cell r="D291">
            <v>11998</v>
          </cell>
          <cell r="E291">
            <v>3200</v>
          </cell>
          <cell r="F291">
            <v>1667</v>
          </cell>
          <cell r="G291">
            <v>15000</v>
          </cell>
          <cell r="H291">
            <v>13331</v>
          </cell>
          <cell r="I291">
            <v>5400</v>
          </cell>
          <cell r="J291">
            <v>0</v>
          </cell>
          <cell r="K291">
            <v>38598</v>
          </cell>
          <cell r="L291">
            <v>27000</v>
          </cell>
          <cell r="M291">
            <v>24</v>
          </cell>
          <cell r="P291">
            <v>8094770777</v>
          </cell>
        </row>
        <row r="292">
          <cell r="C292">
            <v>750</v>
          </cell>
          <cell r="D292">
            <v>11998</v>
          </cell>
          <cell r="E292">
            <v>3200</v>
          </cell>
          <cell r="F292">
            <v>1667</v>
          </cell>
          <cell r="G292">
            <v>15000</v>
          </cell>
          <cell r="H292">
            <v>13331</v>
          </cell>
          <cell r="I292">
            <v>5400</v>
          </cell>
          <cell r="J292">
            <v>0</v>
          </cell>
          <cell r="K292">
            <v>38598</v>
          </cell>
          <cell r="L292">
            <v>27000</v>
          </cell>
          <cell r="M292">
            <v>24</v>
          </cell>
          <cell r="P292">
            <v>8094770777</v>
          </cell>
        </row>
        <row r="293">
          <cell r="C293">
            <v>750</v>
          </cell>
          <cell r="D293">
            <v>11934</v>
          </cell>
          <cell r="E293">
            <v>3200</v>
          </cell>
          <cell r="F293">
            <v>1587</v>
          </cell>
          <cell r="G293">
            <v>15000</v>
          </cell>
          <cell r="H293">
            <v>13331</v>
          </cell>
          <cell r="I293">
            <v>5400</v>
          </cell>
          <cell r="J293">
            <v>0</v>
          </cell>
          <cell r="K293">
            <v>38518</v>
          </cell>
          <cell r="L293">
            <v>27000</v>
          </cell>
          <cell r="M293">
            <v>24</v>
          </cell>
          <cell r="P293">
            <v>8094770777</v>
          </cell>
        </row>
        <row r="294">
          <cell r="C294">
            <v>1500</v>
          </cell>
          <cell r="D294">
            <v>0</v>
          </cell>
          <cell r="E294">
            <v>123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123</v>
          </cell>
          <cell r="L294">
            <v>-735</v>
          </cell>
          <cell r="M294">
            <v>11</v>
          </cell>
          <cell r="P294">
            <v>9928442678</v>
          </cell>
        </row>
        <row r="295">
          <cell r="C295">
            <v>1500</v>
          </cell>
          <cell r="D295">
            <v>0</v>
          </cell>
          <cell r="E295">
            <v>200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200</v>
          </cell>
          <cell r="L295">
            <v>0</v>
          </cell>
          <cell r="M295">
            <v>0</v>
          </cell>
          <cell r="P295">
            <v>9928442678</v>
          </cell>
        </row>
        <row r="296">
          <cell r="C296">
            <v>1500</v>
          </cell>
          <cell r="D296">
            <v>0</v>
          </cell>
          <cell r="E296">
            <v>200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200</v>
          </cell>
          <cell r="L296">
            <v>0</v>
          </cell>
          <cell r="M296">
            <v>0</v>
          </cell>
          <cell r="P296">
            <v>9928442678</v>
          </cell>
        </row>
        <row r="297">
          <cell r="C297">
            <v>1500</v>
          </cell>
          <cell r="D297">
            <v>0</v>
          </cell>
          <cell r="E297">
            <v>200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200</v>
          </cell>
          <cell r="L297">
            <v>0</v>
          </cell>
          <cell r="M297">
            <v>0</v>
          </cell>
          <cell r="P297">
            <v>9928442678</v>
          </cell>
        </row>
        <row r="298">
          <cell r="C298">
            <v>1500</v>
          </cell>
          <cell r="D298">
            <v>0</v>
          </cell>
          <cell r="E298">
            <v>200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200</v>
          </cell>
          <cell r="L298">
            <v>0</v>
          </cell>
          <cell r="M298">
            <v>0</v>
          </cell>
          <cell r="P298">
            <v>9928442678</v>
          </cell>
        </row>
        <row r="299">
          <cell r="C299">
            <v>27000</v>
          </cell>
          <cell r="D299">
            <v>0</v>
          </cell>
          <cell r="E299">
            <v>198</v>
          </cell>
          <cell r="F299">
            <v>0</v>
          </cell>
          <cell r="G299">
            <v>3000</v>
          </cell>
          <cell r="H299">
            <v>0</v>
          </cell>
          <cell r="I299">
            <v>300</v>
          </cell>
          <cell r="J299">
            <v>0</v>
          </cell>
          <cell r="K299">
            <v>3498</v>
          </cell>
          <cell r="L299">
            <v>30000</v>
          </cell>
          <cell r="M299">
            <v>5</v>
          </cell>
          <cell r="P299">
            <v>9828812727</v>
          </cell>
        </row>
        <row r="300">
          <cell r="C300">
            <v>27000</v>
          </cell>
          <cell r="D300">
            <v>0</v>
          </cell>
          <cell r="E300">
            <v>200</v>
          </cell>
          <cell r="F300">
            <v>0</v>
          </cell>
          <cell r="G300">
            <v>3000</v>
          </cell>
          <cell r="H300">
            <v>0</v>
          </cell>
          <cell r="I300">
            <v>300</v>
          </cell>
          <cell r="J300">
            <v>0</v>
          </cell>
          <cell r="K300">
            <v>3500</v>
          </cell>
          <cell r="L300">
            <v>30000</v>
          </cell>
          <cell r="M300">
            <v>5</v>
          </cell>
          <cell r="P300">
            <v>9828812727</v>
          </cell>
        </row>
        <row r="301">
          <cell r="C301">
            <v>27000</v>
          </cell>
          <cell r="D301">
            <v>0</v>
          </cell>
          <cell r="E301">
            <v>200</v>
          </cell>
          <cell r="F301">
            <v>0</v>
          </cell>
          <cell r="G301">
            <v>3000</v>
          </cell>
          <cell r="H301">
            <v>0</v>
          </cell>
          <cell r="I301">
            <v>300</v>
          </cell>
          <cell r="J301">
            <v>0</v>
          </cell>
          <cell r="K301">
            <v>3500</v>
          </cell>
          <cell r="L301">
            <v>30000</v>
          </cell>
          <cell r="M301">
            <v>5</v>
          </cell>
          <cell r="P301">
            <v>9828812727</v>
          </cell>
        </row>
        <row r="302">
          <cell r="C302">
            <v>27000</v>
          </cell>
          <cell r="D302">
            <v>0</v>
          </cell>
          <cell r="E302">
            <v>200</v>
          </cell>
          <cell r="F302">
            <v>0</v>
          </cell>
          <cell r="G302">
            <v>3000</v>
          </cell>
          <cell r="H302">
            <v>0</v>
          </cell>
          <cell r="I302">
            <v>300</v>
          </cell>
          <cell r="J302">
            <v>0</v>
          </cell>
          <cell r="K302">
            <v>3500</v>
          </cell>
          <cell r="L302">
            <v>30000</v>
          </cell>
          <cell r="M302">
            <v>5</v>
          </cell>
          <cell r="P302">
            <v>9828812727</v>
          </cell>
        </row>
        <row r="303">
          <cell r="C303">
            <v>27000</v>
          </cell>
          <cell r="D303">
            <v>0</v>
          </cell>
          <cell r="E303">
            <v>200</v>
          </cell>
          <cell r="F303">
            <v>0</v>
          </cell>
          <cell r="G303">
            <v>3000</v>
          </cell>
          <cell r="H303">
            <v>0</v>
          </cell>
          <cell r="I303">
            <v>300</v>
          </cell>
          <cell r="J303">
            <v>0</v>
          </cell>
          <cell r="K303">
            <v>3500</v>
          </cell>
          <cell r="L303">
            <v>30000</v>
          </cell>
          <cell r="M303">
            <v>5</v>
          </cell>
          <cell r="P303">
            <v>9828812727</v>
          </cell>
        </row>
        <row r="304">
          <cell r="C304">
            <v>0</v>
          </cell>
          <cell r="D304">
            <v>0</v>
          </cell>
          <cell r="E304">
            <v>184</v>
          </cell>
          <cell r="F304">
            <v>0</v>
          </cell>
          <cell r="G304">
            <v>21900</v>
          </cell>
          <cell r="H304">
            <v>0</v>
          </cell>
          <cell r="I304">
            <v>219</v>
          </cell>
          <cell r="J304">
            <v>0</v>
          </cell>
          <cell r="K304">
            <v>22303</v>
          </cell>
          <cell r="L304">
            <v>21900</v>
          </cell>
          <cell r="M304">
            <v>6</v>
          </cell>
          <cell r="P304">
            <v>9983883495</v>
          </cell>
        </row>
        <row r="305">
          <cell r="C305">
            <v>0</v>
          </cell>
          <cell r="D305">
            <v>0</v>
          </cell>
          <cell r="E305">
            <v>200</v>
          </cell>
          <cell r="F305">
            <v>0</v>
          </cell>
          <cell r="G305">
            <v>21900</v>
          </cell>
          <cell r="H305">
            <v>0</v>
          </cell>
          <cell r="I305">
            <v>219</v>
          </cell>
          <cell r="J305">
            <v>0</v>
          </cell>
          <cell r="K305">
            <v>22319</v>
          </cell>
          <cell r="L305">
            <v>21900</v>
          </cell>
          <cell r="M305">
            <v>6</v>
          </cell>
          <cell r="P305">
            <v>9983883495</v>
          </cell>
        </row>
        <row r="306">
          <cell r="C306">
            <v>433</v>
          </cell>
          <cell r="D306">
            <v>0</v>
          </cell>
          <cell r="E306">
            <v>198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198</v>
          </cell>
          <cell r="L306">
            <v>0</v>
          </cell>
          <cell r="M306">
            <v>0</v>
          </cell>
          <cell r="P306">
            <v>8003245618</v>
          </cell>
        </row>
        <row r="307">
          <cell r="C307">
            <v>700</v>
          </cell>
          <cell r="D307">
            <v>0</v>
          </cell>
          <cell r="E307">
            <v>200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200</v>
          </cell>
          <cell r="L307">
            <v>0</v>
          </cell>
          <cell r="M307">
            <v>0</v>
          </cell>
          <cell r="P307">
            <v>8003245618</v>
          </cell>
        </row>
        <row r="308">
          <cell r="C308">
            <v>700</v>
          </cell>
          <cell r="D308">
            <v>0</v>
          </cell>
          <cell r="E308">
            <v>200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200</v>
          </cell>
          <cell r="L308">
            <v>0</v>
          </cell>
          <cell r="M308">
            <v>0</v>
          </cell>
          <cell r="P308">
            <v>8003245618</v>
          </cell>
        </row>
        <row r="309">
          <cell r="C309">
            <v>700</v>
          </cell>
          <cell r="D309">
            <v>0</v>
          </cell>
          <cell r="E309">
            <v>200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200</v>
          </cell>
          <cell r="L309">
            <v>0</v>
          </cell>
          <cell r="M309">
            <v>0</v>
          </cell>
          <cell r="P309">
            <v>8003245618</v>
          </cell>
        </row>
        <row r="310">
          <cell r="C310">
            <v>700</v>
          </cell>
          <cell r="D310">
            <v>0</v>
          </cell>
          <cell r="E310">
            <v>200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200</v>
          </cell>
          <cell r="L310">
            <v>0</v>
          </cell>
          <cell r="M310">
            <v>0</v>
          </cell>
          <cell r="P310">
            <v>8003245618</v>
          </cell>
        </row>
        <row r="311">
          <cell r="C311">
            <v>0</v>
          </cell>
          <cell r="D311">
            <v>0</v>
          </cell>
          <cell r="E311">
            <v>398</v>
          </cell>
          <cell r="F311">
            <v>0</v>
          </cell>
          <cell r="G311">
            <v>18600</v>
          </cell>
          <cell r="H311">
            <v>104</v>
          </cell>
          <cell r="I311">
            <v>372</v>
          </cell>
          <cell r="J311">
            <v>0</v>
          </cell>
          <cell r="K311">
            <v>19474</v>
          </cell>
          <cell r="L311">
            <v>18600</v>
          </cell>
          <cell r="M311">
            <v>6</v>
          </cell>
          <cell r="P311">
            <v>9829669327</v>
          </cell>
        </row>
        <row r="312">
          <cell r="C312">
            <v>0</v>
          </cell>
          <cell r="D312">
            <v>0</v>
          </cell>
          <cell r="E312">
            <v>400</v>
          </cell>
          <cell r="F312">
            <v>8</v>
          </cell>
          <cell r="G312">
            <v>19000</v>
          </cell>
          <cell r="H312">
            <v>105</v>
          </cell>
          <cell r="I312">
            <v>380</v>
          </cell>
          <cell r="J312">
            <v>0</v>
          </cell>
          <cell r="K312">
            <v>19893</v>
          </cell>
          <cell r="L312">
            <v>19000</v>
          </cell>
          <cell r="M312">
            <v>6</v>
          </cell>
          <cell r="P312">
            <v>9829669327</v>
          </cell>
        </row>
        <row r="313">
          <cell r="C313">
            <v>0</v>
          </cell>
          <cell r="D313">
            <v>0</v>
          </cell>
          <cell r="E313">
            <v>400</v>
          </cell>
          <cell r="F313">
            <v>10</v>
          </cell>
          <cell r="G313">
            <v>19000</v>
          </cell>
          <cell r="H313">
            <v>105</v>
          </cell>
          <cell r="I313">
            <v>380</v>
          </cell>
          <cell r="J313">
            <v>0</v>
          </cell>
          <cell r="K313">
            <v>19895</v>
          </cell>
          <cell r="L313">
            <v>19000</v>
          </cell>
          <cell r="M313">
            <v>6</v>
          </cell>
          <cell r="P313">
            <v>9829669327</v>
          </cell>
        </row>
        <row r="314">
          <cell r="C314">
            <v>450</v>
          </cell>
          <cell r="D314">
            <v>0</v>
          </cell>
          <cell r="E314">
            <v>400</v>
          </cell>
          <cell r="F314">
            <v>10</v>
          </cell>
          <cell r="G314">
            <v>6600</v>
          </cell>
          <cell r="H314">
            <v>0</v>
          </cell>
          <cell r="I314">
            <v>680</v>
          </cell>
          <cell r="J314">
            <v>0</v>
          </cell>
          <cell r="K314">
            <v>7690</v>
          </cell>
          <cell r="L314">
            <v>34000</v>
          </cell>
          <cell r="M314">
            <v>9</v>
          </cell>
          <cell r="P314">
            <v>7568229819</v>
          </cell>
        </row>
        <row r="315">
          <cell r="C315">
            <v>450</v>
          </cell>
          <cell r="D315">
            <v>0</v>
          </cell>
          <cell r="E315">
            <v>398</v>
          </cell>
          <cell r="F315">
            <v>10</v>
          </cell>
          <cell r="G315">
            <v>6600</v>
          </cell>
          <cell r="H315">
            <v>0</v>
          </cell>
          <cell r="I315">
            <v>680</v>
          </cell>
          <cell r="J315">
            <v>0</v>
          </cell>
          <cell r="K315">
            <v>7688</v>
          </cell>
          <cell r="L315">
            <v>34000</v>
          </cell>
          <cell r="M315">
            <v>9</v>
          </cell>
          <cell r="P315">
            <v>7568229819</v>
          </cell>
        </row>
        <row r="316">
          <cell r="C316">
            <v>450</v>
          </cell>
          <cell r="D316">
            <v>0</v>
          </cell>
          <cell r="E316">
            <v>400</v>
          </cell>
          <cell r="F316">
            <v>10</v>
          </cell>
          <cell r="G316">
            <v>6600</v>
          </cell>
          <cell r="H316">
            <v>0</v>
          </cell>
          <cell r="I316">
            <v>680</v>
          </cell>
          <cell r="J316">
            <v>0</v>
          </cell>
          <cell r="K316">
            <v>7690</v>
          </cell>
          <cell r="L316">
            <v>34000</v>
          </cell>
          <cell r="M316">
            <v>9</v>
          </cell>
          <cell r="P316">
            <v>7568229819</v>
          </cell>
        </row>
        <row r="317">
          <cell r="C317">
            <v>450</v>
          </cell>
          <cell r="D317">
            <v>0</v>
          </cell>
          <cell r="E317">
            <v>400</v>
          </cell>
          <cell r="F317">
            <v>0</v>
          </cell>
          <cell r="G317">
            <v>6600</v>
          </cell>
          <cell r="H317">
            <v>0</v>
          </cell>
          <cell r="I317">
            <v>680</v>
          </cell>
          <cell r="J317">
            <v>0</v>
          </cell>
          <cell r="K317">
            <v>7680</v>
          </cell>
          <cell r="L317">
            <v>34000</v>
          </cell>
          <cell r="M317">
            <v>9</v>
          </cell>
          <cell r="P317">
            <v>9829622211</v>
          </cell>
        </row>
        <row r="318">
          <cell r="C318">
            <v>450</v>
          </cell>
          <cell r="D318">
            <v>0</v>
          </cell>
          <cell r="E318">
            <v>400</v>
          </cell>
          <cell r="F318">
            <v>10</v>
          </cell>
          <cell r="G318">
            <v>6600</v>
          </cell>
          <cell r="H318">
            <v>0</v>
          </cell>
          <cell r="I318">
            <v>680</v>
          </cell>
          <cell r="J318">
            <v>0</v>
          </cell>
          <cell r="K318">
            <v>7690</v>
          </cell>
          <cell r="L318">
            <v>34000</v>
          </cell>
          <cell r="M318">
            <v>9</v>
          </cell>
          <cell r="P318">
            <v>9829622211</v>
          </cell>
        </row>
        <row r="319">
          <cell r="C319">
            <v>2000</v>
          </cell>
          <cell r="D319">
            <v>0</v>
          </cell>
          <cell r="E319">
            <v>0</v>
          </cell>
          <cell r="F319">
            <v>0</v>
          </cell>
          <cell r="G319">
            <v>3998</v>
          </cell>
          <cell r="H319">
            <v>115</v>
          </cell>
          <cell r="I319">
            <v>640</v>
          </cell>
          <cell r="J319">
            <v>0</v>
          </cell>
          <cell r="K319">
            <v>4753</v>
          </cell>
          <cell r="L319">
            <v>31998</v>
          </cell>
          <cell r="M319">
            <v>6</v>
          </cell>
          <cell r="P319">
            <v>7728037942</v>
          </cell>
        </row>
        <row r="320">
          <cell r="C320">
            <v>1000</v>
          </cell>
          <cell r="D320">
            <v>0</v>
          </cell>
          <cell r="E320">
            <v>400</v>
          </cell>
          <cell r="F320">
            <v>0</v>
          </cell>
          <cell r="G320">
            <v>2000</v>
          </cell>
          <cell r="H320">
            <v>63</v>
          </cell>
          <cell r="I320">
            <v>520</v>
          </cell>
          <cell r="J320">
            <v>0</v>
          </cell>
          <cell r="K320">
            <v>2983</v>
          </cell>
          <cell r="L320">
            <v>26000</v>
          </cell>
          <cell r="M320">
            <v>6</v>
          </cell>
          <cell r="P320">
            <v>7728037942</v>
          </cell>
        </row>
        <row r="321">
          <cell r="C321">
            <v>1000</v>
          </cell>
          <cell r="D321">
            <v>0</v>
          </cell>
          <cell r="E321">
            <v>400</v>
          </cell>
          <cell r="F321">
            <v>0</v>
          </cell>
          <cell r="G321">
            <v>2000</v>
          </cell>
          <cell r="H321">
            <v>61</v>
          </cell>
          <cell r="I321">
            <v>520</v>
          </cell>
          <cell r="J321">
            <v>0</v>
          </cell>
          <cell r="K321">
            <v>2981</v>
          </cell>
          <cell r="L321">
            <v>26000</v>
          </cell>
          <cell r="M321">
            <v>6</v>
          </cell>
          <cell r="P321">
            <v>7728037942</v>
          </cell>
        </row>
        <row r="322">
          <cell r="C322">
            <v>1000</v>
          </cell>
          <cell r="D322">
            <v>0</v>
          </cell>
          <cell r="E322">
            <v>400</v>
          </cell>
          <cell r="F322">
            <v>0</v>
          </cell>
          <cell r="G322">
            <v>2000</v>
          </cell>
          <cell r="H322">
            <v>63</v>
          </cell>
          <cell r="I322">
            <v>520</v>
          </cell>
          <cell r="J322">
            <v>0</v>
          </cell>
          <cell r="K322">
            <v>2983</v>
          </cell>
          <cell r="L322">
            <v>26000</v>
          </cell>
          <cell r="M322">
            <v>6</v>
          </cell>
          <cell r="P322">
            <v>7728037942</v>
          </cell>
        </row>
        <row r="323">
          <cell r="C323">
            <v>1000</v>
          </cell>
          <cell r="D323">
            <v>0</v>
          </cell>
          <cell r="E323">
            <v>400</v>
          </cell>
          <cell r="F323">
            <v>0</v>
          </cell>
          <cell r="G323">
            <v>2000</v>
          </cell>
          <cell r="H323">
            <v>63</v>
          </cell>
          <cell r="I323">
            <v>520</v>
          </cell>
          <cell r="J323">
            <v>0</v>
          </cell>
          <cell r="K323">
            <v>2983</v>
          </cell>
          <cell r="L323">
            <v>26000</v>
          </cell>
          <cell r="M323">
            <v>6</v>
          </cell>
          <cell r="P323">
            <v>7728037942</v>
          </cell>
        </row>
        <row r="324">
          <cell r="C324">
            <v>0</v>
          </cell>
          <cell r="D324">
            <v>0</v>
          </cell>
          <cell r="E324">
            <v>145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145</v>
          </cell>
          <cell r="L324">
            <v>0</v>
          </cell>
          <cell r="M324">
            <v>0</v>
          </cell>
          <cell r="P324">
            <v>9602834274</v>
          </cell>
        </row>
        <row r="325">
          <cell r="C325">
            <v>0</v>
          </cell>
          <cell r="D325">
            <v>0</v>
          </cell>
          <cell r="E325">
            <v>200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200</v>
          </cell>
          <cell r="L325">
            <v>0</v>
          </cell>
          <cell r="M325">
            <v>0</v>
          </cell>
          <cell r="P325">
            <v>9602834274</v>
          </cell>
        </row>
        <row r="326">
          <cell r="C326">
            <v>0</v>
          </cell>
          <cell r="D326">
            <v>0</v>
          </cell>
          <cell r="E326">
            <v>200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200</v>
          </cell>
          <cell r="L326">
            <v>0</v>
          </cell>
          <cell r="M326">
            <v>0</v>
          </cell>
          <cell r="P326">
            <v>9602834274</v>
          </cell>
        </row>
        <row r="327">
          <cell r="C327">
            <v>2100</v>
          </cell>
          <cell r="D327">
            <v>0</v>
          </cell>
          <cell r="E327">
            <v>200</v>
          </cell>
          <cell r="F327">
            <v>0</v>
          </cell>
          <cell r="G327">
            <v>0</v>
          </cell>
          <cell r="H327">
            <v>0</v>
          </cell>
          <cell r="I327">
            <v>185</v>
          </cell>
          <cell r="J327">
            <v>0</v>
          </cell>
          <cell r="K327">
            <v>385</v>
          </cell>
          <cell r="L327">
            <v>18500</v>
          </cell>
          <cell r="M327">
            <v>4</v>
          </cell>
          <cell r="P327">
            <v>9829851393</v>
          </cell>
        </row>
        <row r="328">
          <cell r="C328">
            <v>2100</v>
          </cell>
          <cell r="D328">
            <v>0</v>
          </cell>
          <cell r="E328">
            <v>200</v>
          </cell>
          <cell r="F328">
            <v>0</v>
          </cell>
          <cell r="G328">
            <v>0</v>
          </cell>
          <cell r="H328">
            <v>0</v>
          </cell>
          <cell r="I328">
            <v>185</v>
          </cell>
          <cell r="J328">
            <v>0</v>
          </cell>
          <cell r="K328">
            <v>385</v>
          </cell>
          <cell r="L328">
            <v>18468</v>
          </cell>
          <cell r="M328">
            <v>4</v>
          </cell>
          <cell r="P328">
            <v>9829851393</v>
          </cell>
        </row>
        <row r="329">
          <cell r="C329">
            <v>2100</v>
          </cell>
          <cell r="D329">
            <v>0</v>
          </cell>
          <cell r="E329">
            <v>200</v>
          </cell>
          <cell r="F329">
            <v>0</v>
          </cell>
          <cell r="G329">
            <v>0</v>
          </cell>
          <cell r="H329">
            <v>0</v>
          </cell>
          <cell r="I329">
            <v>186</v>
          </cell>
          <cell r="J329">
            <v>0</v>
          </cell>
          <cell r="K329">
            <v>386</v>
          </cell>
          <cell r="L329">
            <v>18600</v>
          </cell>
          <cell r="M329">
            <v>4</v>
          </cell>
          <cell r="P329">
            <v>9829851393</v>
          </cell>
        </row>
        <row r="330">
          <cell r="C330">
            <v>2100</v>
          </cell>
          <cell r="D330">
            <v>0</v>
          </cell>
          <cell r="E330">
            <v>200</v>
          </cell>
          <cell r="F330">
            <v>0</v>
          </cell>
          <cell r="G330">
            <v>0</v>
          </cell>
          <cell r="H330">
            <v>0</v>
          </cell>
          <cell r="I330">
            <v>178</v>
          </cell>
          <cell r="J330">
            <v>0</v>
          </cell>
          <cell r="K330">
            <v>378</v>
          </cell>
          <cell r="L330">
            <v>17781</v>
          </cell>
          <cell r="M330">
            <v>4</v>
          </cell>
          <cell r="P330">
            <v>9829851393</v>
          </cell>
        </row>
        <row r="331">
          <cell r="C331">
            <v>13100</v>
          </cell>
          <cell r="D331">
            <v>0</v>
          </cell>
          <cell r="E331">
            <v>194</v>
          </cell>
          <cell r="F331">
            <v>0</v>
          </cell>
          <cell r="G331">
            <v>581</v>
          </cell>
          <cell r="H331">
            <v>0</v>
          </cell>
          <cell r="I331">
            <v>137</v>
          </cell>
          <cell r="J331">
            <v>0</v>
          </cell>
          <cell r="K331">
            <v>912</v>
          </cell>
          <cell r="L331">
            <v>13681</v>
          </cell>
          <cell r="M331">
            <v>5</v>
          </cell>
          <cell r="P331">
            <v>9828669365</v>
          </cell>
        </row>
        <row r="332">
          <cell r="C332">
            <v>13100</v>
          </cell>
          <cell r="D332">
            <v>0</v>
          </cell>
          <cell r="E332">
            <v>200</v>
          </cell>
          <cell r="F332">
            <v>0</v>
          </cell>
          <cell r="G332">
            <v>1500</v>
          </cell>
          <cell r="H332">
            <v>0</v>
          </cell>
          <cell r="I332">
            <v>146</v>
          </cell>
          <cell r="J332">
            <v>0</v>
          </cell>
          <cell r="K332">
            <v>1846</v>
          </cell>
          <cell r="L332">
            <v>14600</v>
          </cell>
          <cell r="M332">
            <v>5</v>
          </cell>
          <cell r="P332">
            <v>9828669365</v>
          </cell>
        </row>
        <row r="333">
          <cell r="C333">
            <v>13100</v>
          </cell>
          <cell r="D333">
            <v>0</v>
          </cell>
          <cell r="E333">
            <v>200</v>
          </cell>
          <cell r="F333">
            <v>0</v>
          </cell>
          <cell r="G333">
            <v>1500</v>
          </cell>
          <cell r="H333">
            <v>0</v>
          </cell>
          <cell r="I333">
            <v>146</v>
          </cell>
          <cell r="J333">
            <v>0</v>
          </cell>
          <cell r="K333">
            <v>1846</v>
          </cell>
          <cell r="L333">
            <v>14600</v>
          </cell>
          <cell r="M333">
            <v>5</v>
          </cell>
          <cell r="P333">
            <v>9828669365</v>
          </cell>
        </row>
        <row r="334">
          <cell r="C334">
            <v>1000</v>
          </cell>
          <cell r="D334">
            <v>0</v>
          </cell>
          <cell r="E334">
            <v>200</v>
          </cell>
          <cell r="F334">
            <v>0</v>
          </cell>
          <cell r="G334">
            <v>971</v>
          </cell>
          <cell r="H334">
            <v>0</v>
          </cell>
          <cell r="I334">
            <v>60</v>
          </cell>
          <cell r="J334">
            <v>0</v>
          </cell>
          <cell r="K334">
            <v>1231</v>
          </cell>
          <cell r="L334">
            <v>5971</v>
          </cell>
          <cell r="M334">
            <v>25</v>
          </cell>
          <cell r="P334">
            <v>9929854270</v>
          </cell>
        </row>
        <row r="335">
          <cell r="C335">
            <v>1000</v>
          </cell>
          <cell r="D335">
            <v>0</v>
          </cell>
          <cell r="E335">
            <v>200</v>
          </cell>
          <cell r="F335">
            <v>0</v>
          </cell>
          <cell r="G335">
            <v>1000</v>
          </cell>
          <cell r="H335">
            <v>0</v>
          </cell>
          <cell r="I335">
            <v>60</v>
          </cell>
          <cell r="J335">
            <v>0</v>
          </cell>
          <cell r="K335">
            <v>1260</v>
          </cell>
          <cell r="L335">
            <v>6000</v>
          </cell>
          <cell r="M335">
            <v>25</v>
          </cell>
          <cell r="P335">
            <v>9929854270</v>
          </cell>
        </row>
        <row r="336">
          <cell r="C336">
            <v>1000</v>
          </cell>
          <cell r="D336">
            <v>0</v>
          </cell>
          <cell r="E336">
            <v>200</v>
          </cell>
          <cell r="F336">
            <v>0</v>
          </cell>
          <cell r="G336">
            <v>1000</v>
          </cell>
          <cell r="H336">
            <v>0</v>
          </cell>
          <cell r="I336">
            <v>180</v>
          </cell>
          <cell r="J336">
            <v>0</v>
          </cell>
          <cell r="K336">
            <v>1380</v>
          </cell>
          <cell r="L336">
            <v>18000</v>
          </cell>
          <cell r="M336">
            <v>13</v>
          </cell>
          <cell r="P336">
            <v>9929854270</v>
          </cell>
        </row>
        <row r="337">
          <cell r="C337">
            <v>1000</v>
          </cell>
          <cell r="D337">
            <v>0</v>
          </cell>
          <cell r="E337">
            <v>200</v>
          </cell>
          <cell r="F337">
            <v>0</v>
          </cell>
          <cell r="G337">
            <v>1000</v>
          </cell>
          <cell r="H337">
            <v>0</v>
          </cell>
          <cell r="I337">
            <v>60</v>
          </cell>
          <cell r="J337">
            <v>0</v>
          </cell>
          <cell r="K337">
            <v>1260</v>
          </cell>
          <cell r="L337">
            <v>6000</v>
          </cell>
          <cell r="M337">
            <v>25</v>
          </cell>
          <cell r="P337">
            <v>9929854270</v>
          </cell>
        </row>
        <row r="338">
          <cell r="C338">
            <v>0</v>
          </cell>
          <cell r="D338">
            <v>0</v>
          </cell>
          <cell r="E338">
            <v>200</v>
          </cell>
          <cell r="F338">
            <v>0</v>
          </cell>
          <cell r="G338">
            <v>0</v>
          </cell>
          <cell r="H338">
            <v>0</v>
          </cell>
          <cell r="I338">
            <v>287</v>
          </cell>
          <cell r="J338">
            <v>0</v>
          </cell>
          <cell r="K338">
            <v>487</v>
          </cell>
          <cell r="L338">
            <v>28700</v>
          </cell>
          <cell r="M338">
            <v>1</v>
          </cell>
          <cell r="P338">
            <v>9929854270</v>
          </cell>
        </row>
        <row r="339">
          <cell r="C339">
            <v>1000</v>
          </cell>
          <cell r="D339">
            <v>0</v>
          </cell>
          <cell r="E339">
            <v>800</v>
          </cell>
          <cell r="F339">
            <v>127</v>
          </cell>
          <cell r="G339">
            <v>1000</v>
          </cell>
          <cell r="H339">
            <v>61</v>
          </cell>
          <cell r="I339">
            <v>70</v>
          </cell>
          <cell r="J339">
            <v>0</v>
          </cell>
          <cell r="K339">
            <v>2058</v>
          </cell>
          <cell r="L339">
            <v>7000</v>
          </cell>
          <cell r="M339">
            <v>24</v>
          </cell>
          <cell r="P339">
            <v>9571406393</v>
          </cell>
        </row>
        <row r="340">
          <cell r="C340">
            <v>1000</v>
          </cell>
          <cell r="D340">
            <v>0</v>
          </cell>
          <cell r="E340">
            <v>1244</v>
          </cell>
          <cell r="F340">
            <v>245</v>
          </cell>
          <cell r="G340">
            <v>1000</v>
          </cell>
          <cell r="H340">
            <v>0</v>
          </cell>
          <cell r="I340">
            <v>30</v>
          </cell>
          <cell r="J340">
            <v>0</v>
          </cell>
          <cell r="K340">
            <v>2519</v>
          </cell>
          <cell r="L340">
            <v>3000</v>
          </cell>
          <cell r="M340">
            <v>28</v>
          </cell>
          <cell r="P340">
            <v>9571406393</v>
          </cell>
        </row>
        <row r="341">
          <cell r="C341">
            <v>1000</v>
          </cell>
          <cell r="D341">
            <v>30</v>
          </cell>
          <cell r="E341">
            <v>1800</v>
          </cell>
          <cell r="F341">
            <v>366</v>
          </cell>
          <cell r="G341">
            <v>1000</v>
          </cell>
          <cell r="H341">
            <v>39</v>
          </cell>
          <cell r="I341">
            <v>30</v>
          </cell>
          <cell r="J341">
            <v>0</v>
          </cell>
          <cell r="K341">
            <v>3235</v>
          </cell>
          <cell r="L341">
            <v>3000</v>
          </cell>
          <cell r="M341">
            <v>28</v>
          </cell>
          <cell r="P341">
            <v>9571406393</v>
          </cell>
        </row>
        <row r="342">
          <cell r="C342">
            <v>1000</v>
          </cell>
          <cell r="D342">
            <v>187</v>
          </cell>
          <cell r="E342">
            <v>1372</v>
          </cell>
          <cell r="F342">
            <v>220</v>
          </cell>
          <cell r="G342">
            <v>1188</v>
          </cell>
          <cell r="H342">
            <v>526</v>
          </cell>
          <cell r="I342">
            <v>32</v>
          </cell>
          <cell r="J342">
            <v>0</v>
          </cell>
          <cell r="K342">
            <v>3338</v>
          </cell>
          <cell r="L342">
            <v>3188</v>
          </cell>
          <cell r="M342">
            <v>28</v>
          </cell>
          <cell r="P342">
            <v>9571406393</v>
          </cell>
        </row>
        <row r="343">
          <cell r="C343">
            <v>1000</v>
          </cell>
          <cell r="D343">
            <v>1744</v>
          </cell>
          <cell r="E343">
            <v>3200</v>
          </cell>
          <cell r="F343">
            <v>1270</v>
          </cell>
          <cell r="G343">
            <v>9000</v>
          </cell>
          <cell r="H343">
            <v>2217</v>
          </cell>
          <cell r="I343">
            <v>150</v>
          </cell>
          <cell r="J343">
            <v>0</v>
          </cell>
          <cell r="K343">
            <v>15837</v>
          </cell>
          <cell r="L343">
            <v>15000</v>
          </cell>
          <cell r="M343">
            <v>24</v>
          </cell>
          <cell r="P343">
            <v>9571406393</v>
          </cell>
        </row>
        <row r="344"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P344">
            <v>9785421512</v>
          </cell>
        </row>
        <row r="345"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P345">
            <v>9785421512</v>
          </cell>
        </row>
        <row r="346">
          <cell r="C346">
            <v>5000</v>
          </cell>
          <cell r="D346">
            <v>0</v>
          </cell>
          <cell r="E346">
            <v>0</v>
          </cell>
          <cell r="F346">
            <v>0</v>
          </cell>
          <cell r="G346">
            <v>1624</v>
          </cell>
          <cell r="H346">
            <v>0</v>
          </cell>
          <cell r="I346">
            <v>116</v>
          </cell>
          <cell r="J346">
            <v>0</v>
          </cell>
          <cell r="K346">
            <v>1740</v>
          </cell>
          <cell r="L346">
            <v>11624</v>
          </cell>
          <cell r="M346">
            <v>8</v>
          </cell>
          <cell r="P346">
            <v>9352540044</v>
          </cell>
        </row>
        <row r="347">
          <cell r="C347">
            <v>5000</v>
          </cell>
          <cell r="D347">
            <v>0</v>
          </cell>
          <cell r="E347">
            <v>0</v>
          </cell>
          <cell r="F347">
            <v>0</v>
          </cell>
          <cell r="G347">
            <v>5000</v>
          </cell>
          <cell r="H347">
            <v>0</v>
          </cell>
          <cell r="I347">
            <v>150</v>
          </cell>
          <cell r="J347">
            <v>0</v>
          </cell>
          <cell r="K347">
            <v>5150</v>
          </cell>
          <cell r="L347">
            <v>15000</v>
          </cell>
          <cell r="M347">
            <v>8</v>
          </cell>
          <cell r="P347">
            <v>9352540044</v>
          </cell>
        </row>
        <row r="348">
          <cell r="C348">
            <v>5000</v>
          </cell>
          <cell r="D348">
            <v>0</v>
          </cell>
          <cell r="E348">
            <v>0</v>
          </cell>
          <cell r="F348">
            <v>0</v>
          </cell>
          <cell r="G348">
            <v>5000</v>
          </cell>
          <cell r="H348">
            <v>0</v>
          </cell>
          <cell r="I348">
            <v>150</v>
          </cell>
          <cell r="J348">
            <v>0</v>
          </cell>
          <cell r="K348">
            <v>5150</v>
          </cell>
          <cell r="L348">
            <v>15000</v>
          </cell>
          <cell r="M348">
            <v>8</v>
          </cell>
          <cell r="P348">
            <v>9352540044</v>
          </cell>
        </row>
        <row r="349">
          <cell r="C349">
            <v>5000</v>
          </cell>
          <cell r="D349">
            <v>0</v>
          </cell>
          <cell r="E349">
            <v>0</v>
          </cell>
          <cell r="F349">
            <v>0</v>
          </cell>
          <cell r="G349">
            <v>5000</v>
          </cell>
          <cell r="H349">
            <v>0</v>
          </cell>
          <cell r="I349">
            <v>150</v>
          </cell>
          <cell r="J349">
            <v>0</v>
          </cell>
          <cell r="K349">
            <v>5150</v>
          </cell>
          <cell r="L349">
            <v>15000</v>
          </cell>
          <cell r="M349">
            <v>8</v>
          </cell>
          <cell r="P349">
            <v>9352540044</v>
          </cell>
        </row>
        <row r="350">
          <cell r="C350">
            <v>5000</v>
          </cell>
          <cell r="D350">
            <v>0</v>
          </cell>
          <cell r="E350">
            <v>0</v>
          </cell>
          <cell r="F350">
            <v>0</v>
          </cell>
          <cell r="G350">
            <v>5000</v>
          </cell>
          <cell r="H350">
            <v>0</v>
          </cell>
          <cell r="I350">
            <v>350</v>
          </cell>
          <cell r="J350">
            <v>0</v>
          </cell>
          <cell r="K350">
            <v>5350</v>
          </cell>
          <cell r="L350">
            <v>35000</v>
          </cell>
          <cell r="M350">
            <v>4</v>
          </cell>
          <cell r="P350">
            <v>9352540044</v>
          </cell>
        </row>
        <row r="351">
          <cell r="C351">
            <v>5000</v>
          </cell>
          <cell r="D351">
            <v>0</v>
          </cell>
          <cell r="E351">
            <v>0</v>
          </cell>
          <cell r="F351">
            <v>0</v>
          </cell>
          <cell r="G351">
            <v>5000</v>
          </cell>
          <cell r="H351">
            <v>0</v>
          </cell>
          <cell r="I351">
            <v>350</v>
          </cell>
          <cell r="J351">
            <v>0</v>
          </cell>
          <cell r="K351">
            <v>5350</v>
          </cell>
          <cell r="L351">
            <v>35000</v>
          </cell>
          <cell r="M351">
            <v>4</v>
          </cell>
          <cell r="P351">
            <v>9352540044</v>
          </cell>
        </row>
        <row r="352">
          <cell r="C352">
            <v>6000</v>
          </cell>
          <cell r="D352">
            <v>0</v>
          </cell>
          <cell r="E352">
            <v>0</v>
          </cell>
          <cell r="F352">
            <v>0</v>
          </cell>
          <cell r="G352">
            <v>6000</v>
          </cell>
          <cell r="H352">
            <v>0</v>
          </cell>
          <cell r="I352">
            <v>420</v>
          </cell>
          <cell r="J352">
            <v>0</v>
          </cell>
          <cell r="K352">
            <v>6420</v>
          </cell>
          <cell r="L352">
            <v>42000</v>
          </cell>
          <cell r="M352">
            <v>4</v>
          </cell>
          <cell r="P352">
            <v>9352540044</v>
          </cell>
        </row>
        <row r="353">
          <cell r="C353">
            <v>6000</v>
          </cell>
          <cell r="D353">
            <v>0</v>
          </cell>
          <cell r="E353">
            <v>0</v>
          </cell>
          <cell r="F353">
            <v>0</v>
          </cell>
          <cell r="G353">
            <v>6000</v>
          </cell>
          <cell r="H353">
            <v>0</v>
          </cell>
          <cell r="I353">
            <v>420</v>
          </cell>
          <cell r="J353">
            <v>0</v>
          </cell>
          <cell r="K353">
            <v>6420</v>
          </cell>
          <cell r="L353">
            <v>42000</v>
          </cell>
          <cell r="M353">
            <v>4</v>
          </cell>
          <cell r="P353">
            <v>9352540044</v>
          </cell>
        </row>
        <row r="354">
          <cell r="C354">
            <v>6000</v>
          </cell>
          <cell r="D354">
            <v>0</v>
          </cell>
          <cell r="E354">
            <v>0</v>
          </cell>
          <cell r="F354">
            <v>0</v>
          </cell>
          <cell r="G354">
            <v>6000</v>
          </cell>
          <cell r="H354">
            <v>0</v>
          </cell>
          <cell r="I354">
            <v>420</v>
          </cell>
          <cell r="J354">
            <v>0</v>
          </cell>
          <cell r="K354">
            <v>6420</v>
          </cell>
          <cell r="L354">
            <v>42000</v>
          </cell>
          <cell r="M354">
            <v>4</v>
          </cell>
          <cell r="P354">
            <v>9352540044</v>
          </cell>
        </row>
        <row r="355">
          <cell r="C355">
            <v>0</v>
          </cell>
          <cell r="D355">
            <v>0</v>
          </cell>
          <cell r="E355">
            <v>200</v>
          </cell>
          <cell r="F355">
            <v>0</v>
          </cell>
          <cell r="G355">
            <v>0</v>
          </cell>
          <cell r="H355">
            <v>0</v>
          </cell>
          <cell r="I355">
            <v>501</v>
          </cell>
          <cell r="J355">
            <v>0</v>
          </cell>
          <cell r="K355">
            <v>701</v>
          </cell>
          <cell r="L355">
            <v>50050</v>
          </cell>
          <cell r="M355">
            <v>28</v>
          </cell>
          <cell r="P355">
            <v>9829252118</v>
          </cell>
        </row>
        <row r="356">
          <cell r="C356">
            <v>2000</v>
          </cell>
          <cell r="D356">
            <v>0</v>
          </cell>
          <cell r="E356">
            <v>0</v>
          </cell>
          <cell r="F356">
            <v>0</v>
          </cell>
          <cell r="G356">
            <v>772</v>
          </cell>
          <cell r="H356">
            <v>0</v>
          </cell>
          <cell r="I356">
            <v>68</v>
          </cell>
          <cell r="J356">
            <v>0</v>
          </cell>
          <cell r="K356">
            <v>840</v>
          </cell>
          <cell r="L356">
            <v>6772</v>
          </cell>
          <cell r="M356">
            <v>12</v>
          </cell>
          <cell r="P356">
            <v>8005850367</v>
          </cell>
        </row>
        <row r="357">
          <cell r="C357">
            <v>0</v>
          </cell>
          <cell r="D357">
            <v>0</v>
          </cell>
          <cell r="E357">
            <v>200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200</v>
          </cell>
          <cell r="L357">
            <v>0</v>
          </cell>
          <cell r="M357">
            <v>0</v>
          </cell>
          <cell r="P357">
            <v>9799787631</v>
          </cell>
        </row>
        <row r="358">
          <cell r="C358">
            <v>0</v>
          </cell>
          <cell r="D358">
            <v>0</v>
          </cell>
          <cell r="E358">
            <v>200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200</v>
          </cell>
          <cell r="L358">
            <v>0</v>
          </cell>
          <cell r="M358">
            <v>0</v>
          </cell>
          <cell r="P358">
            <v>9799787631</v>
          </cell>
        </row>
        <row r="359">
          <cell r="C359">
            <v>0</v>
          </cell>
          <cell r="D359">
            <v>0</v>
          </cell>
          <cell r="E359">
            <v>1200</v>
          </cell>
          <cell r="F359">
            <v>161</v>
          </cell>
          <cell r="G359">
            <v>6000</v>
          </cell>
          <cell r="H359">
            <v>78</v>
          </cell>
          <cell r="I359">
            <v>360</v>
          </cell>
          <cell r="J359">
            <v>0</v>
          </cell>
          <cell r="K359">
            <v>7799</v>
          </cell>
          <cell r="L359">
            <v>6000</v>
          </cell>
          <cell r="M359">
            <v>6</v>
          </cell>
          <cell r="P359">
            <v>8003886885</v>
          </cell>
        </row>
        <row r="360">
          <cell r="C360">
            <v>0</v>
          </cell>
          <cell r="D360">
            <v>0</v>
          </cell>
          <cell r="E360">
            <v>1200</v>
          </cell>
          <cell r="F360">
            <v>161</v>
          </cell>
          <cell r="G360">
            <v>4613</v>
          </cell>
          <cell r="H360">
            <v>57</v>
          </cell>
          <cell r="I360">
            <v>276</v>
          </cell>
          <cell r="J360">
            <v>0</v>
          </cell>
          <cell r="K360">
            <v>6307</v>
          </cell>
          <cell r="L360">
            <v>4613</v>
          </cell>
          <cell r="M360">
            <v>6</v>
          </cell>
          <cell r="P360">
            <v>8003886885</v>
          </cell>
        </row>
        <row r="361">
          <cell r="C361">
            <v>1000</v>
          </cell>
          <cell r="D361">
            <v>0</v>
          </cell>
          <cell r="E361">
            <v>396</v>
          </cell>
          <cell r="F361">
            <v>10</v>
          </cell>
          <cell r="G361">
            <v>2000</v>
          </cell>
          <cell r="H361">
            <v>60</v>
          </cell>
          <cell r="I361">
            <v>400</v>
          </cell>
          <cell r="J361">
            <v>0</v>
          </cell>
          <cell r="K361">
            <v>2866</v>
          </cell>
          <cell r="L361">
            <v>20000</v>
          </cell>
          <cell r="M361">
            <v>2</v>
          </cell>
          <cell r="P361">
            <v>8952009200</v>
          </cell>
        </row>
        <row r="362">
          <cell r="C362">
            <v>0</v>
          </cell>
          <cell r="D362">
            <v>192</v>
          </cell>
          <cell r="E362">
            <v>800</v>
          </cell>
          <cell r="F362">
            <v>51</v>
          </cell>
          <cell r="G362">
            <v>14200</v>
          </cell>
          <cell r="H362">
            <v>717</v>
          </cell>
          <cell r="I362">
            <v>284</v>
          </cell>
          <cell r="J362">
            <v>0</v>
          </cell>
          <cell r="K362">
            <v>16052</v>
          </cell>
          <cell r="L362">
            <v>14200</v>
          </cell>
          <cell r="M362">
            <v>7</v>
          </cell>
          <cell r="P362">
            <v>8386966572</v>
          </cell>
        </row>
        <row r="363">
          <cell r="C363">
            <v>0</v>
          </cell>
          <cell r="D363">
            <v>202</v>
          </cell>
          <cell r="E363">
            <v>800</v>
          </cell>
          <cell r="F363">
            <v>51</v>
          </cell>
          <cell r="G363">
            <v>15000</v>
          </cell>
          <cell r="H363">
            <v>758</v>
          </cell>
          <cell r="I363">
            <v>300</v>
          </cell>
          <cell r="J363">
            <v>0</v>
          </cell>
          <cell r="K363">
            <v>16909</v>
          </cell>
          <cell r="L363">
            <v>15000</v>
          </cell>
          <cell r="M363">
            <v>7</v>
          </cell>
          <cell r="P363">
            <v>8386966572</v>
          </cell>
        </row>
        <row r="364">
          <cell r="C364">
            <v>1000</v>
          </cell>
          <cell r="D364">
            <v>20</v>
          </cell>
          <cell r="E364">
            <v>800</v>
          </cell>
          <cell r="F364">
            <v>51</v>
          </cell>
          <cell r="G364">
            <v>4781</v>
          </cell>
          <cell r="H364">
            <v>344</v>
          </cell>
          <cell r="I364">
            <v>356</v>
          </cell>
          <cell r="J364">
            <v>0</v>
          </cell>
          <cell r="K364">
            <v>6332</v>
          </cell>
          <cell r="L364">
            <v>17781</v>
          </cell>
          <cell r="M364">
            <v>7</v>
          </cell>
          <cell r="P364">
            <v>8386966572</v>
          </cell>
        </row>
        <row r="365">
          <cell r="C365">
            <v>11300</v>
          </cell>
          <cell r="D365">
            <v>0</v>
          </cell>
          <cell r="E365">
            <v>195</v>
          </cell>
          <cell r="F365">
            <v>0</v>
          </cell>
          <cell r="G365">
            <v>0</v>
          </cell>
          <cell r="H365">
            <v>0</v>
          </cell>
          <cell r="I365">
            <v>88</v>
          </cell>
          <cell r="J365">
            <v>0</v>
          </cell>
          <cell r="K365">
            <v>283</v>
          </cell>
          <cell r="L365">
            <v>8753</v>
          </cell>
          <cell r="M365">
            <v>5</v>
          </cell>
          <cell r="P365">
            <v>9983762227</v>
          </cell>
        </row>
        <row r="366">
          <cell r="C366">
            <v>12900</v>
          </cell>
          <cell r="D366">
            <v>0</v>
          </cell>
          <cell r="E366">
            <v>200</v>
          </cell>
          <cell r="F366">
            <v>0</v>
          </cell>
          <cell r="G366">
            <v>1500</v>
          </cell>
          <cell r="H366">
            <v>0</v>
          </cell>
          <cell r="I366">
            <v>144</v>
          </cell>
          <cell r="J366">
            <v>0</v>
          </cell>
          <cell r="K366">
            <v>1844</v>
          </cell>
          <cell r="L366">
            <v>14400</v>
          </cell>
          <cell r="M366">
            <v>5</v>
          </cell>
          <cell r="P366">
            <v>9983762227</v>
          </cell>
        </row>
        <row r="367">
          <cell r="C367">
            <v>12900</v>
          </cell>
          <cell r="D367">
            <v>0</v>
          </cell>
          <cell r="E367">
            <v>200</v>
          </cell>
          <cell r="F367">
            <v>0</v>
          </cell>
          <cell r="G367">
            <v>1500</v>
          </cell>
          <cell r="H367">
            <v>0</v>
          </cell>
          <cell r="I367">
            <v>144</v>
          </cell>
          <cell r="J367">
            <v>0</v>
          </cell>
          <cell r="K367">
            <v>1844</v>
          </cell>
          <cell r="L367">
            <v>14400</v>
          </cell>
          <cell r="M367">
            <v>5</v>
          </cell>
          <cell r="P367">
            <v>9983762227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120</v>
          </cell>
          <cell r="J368">
            <v>0</v>
          </cell>
          <cell r="K368">
            <v>120</v>
          </cell>
          <cell r="L368">
            <v>12000</v>
          </cell>
          <cell r="M368">
            <v>1</v>
          </cell>
          <cell r="P368">
            <v>9983762227</v>
          </cell>
        </row>
        <row r="369">
          <cell r="C369">
            <v>0</v>
          </cell>
          <cell r="D369">
            <v>0</v>
          </cell>
          <cell r="E369">
            <v>200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200</v>
          </cell>
          <cell r="L369">
            <v>0</v>
          </cell>
          <cell r="M369">
            <v>0</v>
          </cell>
          <cell r="P369">
            <v>9983762227</v>
          </cell>
        </row>
        <row r="370">
          <cell r="C370">
            <v>1000</v>
          </cell>
          <cell r="D370">
            <v>0</v>
          </cell>
          <cell r="E370">
            <v>200</v>
          </cell>
          <cell r="F370">
            <v>0</v>
          </cell>
          <cell r="G370">
            <v>1000</v>
          </cell>
          <cell r="H370">
            <v>0</v>
          </cell>
          <cell r="I370">
            <v>100</v>
          </cell>
          <cell r="J370">
            <v>0</v>
          </cell>
          <cell r="K370">
            <v>1300</v>
          </cell>
          <cell r="L370">
            <v>10000</v>
          </cell>
          <cell r="M370">
            <v>11</v>
          </cell>
          <cell r="P370">
            <v>9785337392</v>
          </cell>
        </row>
        <row r="371">
          <cell r="C371">
            <v>300</v>
          </cell>
          <cell r="D371">
            <v>0</v>
          </cell>
          <cell r="E371">
            <v>257</v>
          </cell>
          <cell r="F371">
            <v>3</v>
          </cell>
          <cell r="G371">
            <v>0</v>
          </cell>
          <cell r="H371">
            <v>0</v>
          </cell>
          <cell r="I371">
            <v>31</v>
          </cell>
          <cell r="J371">
            <v>0</v>
          </cell>
          <cell r="K371">
            <v>291</v>
          </cell>
          <cell r="L371">
            <v>3100</v>
          </cell>
          <cell r="M371">
            <v>4</v>
          </cell>
          <cell r="P371">
            <v>9785337392</v>
          </cell>
        </row>
        <row r="372">
          <cell r="C372">
            <v>300</v>
          </cell>
          <cell r="D372">
            <v>0</v>
          </cell>
          <cell r="E372">
            <v>200</v>
          </cell>
          <cell r="F372">
            <v>0</v>
          </cell>
          <cell r="G372">
            <v>0</v>
          </cell>
          <cell r="H372">
            <v>0</v>
          </cell>
          <cell r="I372">
            <v>22</v>
          </cell>
          <cell r="J372">
            <v>0</v>
          </cell>
          <cell r="K372">
            <v>222</v>
          </cell>
          <cell r="L372">
            <v>2210</v>
          </cell>
          <cell r="M372">
            <v>4</v>
          </cell>
          <cell r="P372">
            <v>9785337392</v>
          </cell>
        </row>
        <row r="373">
          <cell r="C373">
            <v>1000</v>
          </cell>
          <cell r="D373">
            <v>0</v>
          </cell>
          <cell r="E373">
            <v>200</v>
          </cell>
          <cell r="F373">
            <v>0</v>
          </cell>
          <cell r="G373">
            <v>1000</v>
          </cell>
          <cell r="H373">
            <v>0</v>
          </cell>
          <cell r="I373">
            <v>70</v>
          </cell>
          <cell r="J373">
            <v>0</v>
          </cell>
          <cell r="K373">
            <v>1270</v>
          </cell>
          <cell r="L373">
            <v>7000</v>
          </cell>
          <cell r="M373">
            <v>14</v>
          </cell>
          <cell r="P373">
            <v>9785337392</v>
          </cell>
        </row>
        <row r="374">
          <cell r="C374">
            <v>2000</v>
          </cell>
          <cell r="D374">
            <v>0</v>
          </cell>
          <cell r="E374">
            <v>200</v>
          </cell>
          <cell r="F374">
            <v>0</v>
          </cell>
          <cell r="G374">
            <v>3572</v>
          </cell>
          <cell r="H374">
            <v>79</v>
          </cell>
          <cell r="I374">
            <v>376</v>
          </cell>
          <cell r="J374">
            <v>0</v>
          </cell>
          <cell r="K374">
            <v>4227</v>
          </cell>
          <cell r="L374">
            <v>37572</v>
          </cell>
          <cell r="M374">
            <v>3</v>
          </cell>
          <cell r="P374">
            <v>7791888847</v>
          </cell>
        </row>
        <row r="375">
          <cell r="C375">
            <v>0</v>
          </cell>
          <cell r="D375">
            <v>0</v>
          </cell>
          <cell r="E375">
            <v>200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200</v>
          </cell>
          <cell r="L375">
            <v>0</v>
          </cell>
          <cell r="M375">
            <v>0</v>
          </cell>
          <cell r="P375">
            <v>7791888847</v>
          </cell>
        </row>
        <row r="376">
          <cell r="C376">
            <v>700</v>
          </cell>
          <cell r="D376">
            <v>0</v>
          </cell>
          <cell r="E376">
            <v>200</v>
          </cell>
          <cell r="F376">
            <v>0</v>
          </cell>
          <cell r="G376">
            <v>700</v>
          </cell>
          <cell r="H376">
            <v>0</v>
          </cell>
          <cell r="I376">
            <v>18</v>
          </cell>
          <cell r="J376">
            <v>0</v>
          </cell>
          <cell r="K376">
            <v>918</v>
          </cell>
          <cell r="L376">
            <v>1800</v>
          </cell>
          <cell r="M376">
            <v>27</v>
          </cell>
          <cell r="P376">
            <v>7791888847</v>
          </cell>
        </row>
        <row r="377">
          <cell r="C377">
            <v>21000</v>
          </cell>
          <cell r="D377">
            <v>0</v>
          </cell>
          <cell r="E377">
            <v>0</v>
          </cell>
          <cell r="F377">
            <v>0</v>
          </cell>
          <cell r="G377">
            <v>1000</v>
          </cell>
          <cell r="H377">
            <v>0</v>
          </cell>
          <cell r="I377">
            <v>220</v>
          </cell>
          <cell r="J377">
            <v>0</v>
          </cell>
          <cell r="K377">
            <v>1220</v>
          </cell>
          <cell r="L377">
            <v>22000</v>
          </cell>
          <cell r="M377">
            <v>9</v>
          </cell>
          <cell r="P377">
            <v>9602489968</v>
          </cell>
        </row>
        <row r="378">
          <cell r="C378">
            <v>21000</v>
          </cell>
          <cell r="D378">
            <v>0</v>
          </cell>
          <cell r="E378">
            <v>0</v>
          </cell>
          <cell r="F378">
            <v>0</v>
          </cell>
          <cell r="G378">
            <v>1000</v>
          </cell>
          <cell r="H378">
            <v>0</v>
          </cell>
          <cell r="I378">
            <v>220</v>
          </cell>
          <cell r="J378">
            <v>0</v>
          </cell>
          <cell r="K378">
            <v>1220</v>
          </cell>
          <cell r="L378">
            <v>22000</v>
          </cell>
          <cell r="M378">
            <v>9</v>
          </cell>
          <cell r="P378">
            <v>9602489968</v>
          </cell>
        </row>
        <row r="379">
          <cell r="C379">
            <v>500</v>
          </cell>
          <cell r="D379">
            <v>0</v>
          </cell>
          <cell r="E379">
            <v>0</v>
          </cell>
          <cell r="F379">
            <v>0</v>
          </cell>
          <cell r="G379">
            <v>500</v>
          </cell>
          <cell r="H379">
            <v>0</v>
          </cell>
          <cell r="I379">
            <v>285</v>
          </cell>
          <cell r="J379">
            <v>0</v>
          </cell>
          <cell r="K379">
            <v>785</v>
          </cell>
          <cell r="L379">
            <v>28500</v>
          </cell>
          <cell r="M379">
            <v>4</v>
          </cell>
          <cell r="P379">
            <v>9887923580</v>
          </cell>
        </row>
        <row r="380">
          <cell r="C380">
            <v>1400</v>
          </cell>
          <cell r="D380">
            <v>0</v>
          </cell>
          <cell r="E380">
            <v>200</v>
          </cell>
          <cell r="F380">
            <v>0</v>
          </cell>
          <cell r="G380">
            <v>0</v>
          </cell>
          <cell r="H380">
            <v>0</v>
          </cell>
          <cell r="I380">
            <v>129</v>
          </cell>
          <cell r="J380">
            <v>0</v>
          </cell>
          <cell r="K380">
            <v>329</v>
          </cell>
          <cell r="L380">
            <v>12938</v>
          </cell>
          <cell r="M380">
            <v>4</v>
          </cell>
          <cell r="P380">
            <v>9983266659</v>
          </cell>
        </row>
        <row r="381">
          <cell r="C381">
            <v>1500</v>
          </cell>
          <cell r="D381">
            <v>0</v>
          </cell>
          <cell r="E381">
            <v>0</v>
          </cell>
          <cell r="F381">
            <v>0</v>
          </cell>
          <cell r="G381">
            <v>1500</v>
          </cell>
          <cell r="H381">
            <v>0</v>
          </cell>
          <cell r="I381">
            <v>195</v>
          </cell>
          <cell r="J381">
            <v>0</v>
          </cell>
          <cell r="K381">
            <v>1695</v>
          </cell>
          <cell r="L381">
            <v>19500</v>
          </cell>
          <cell r="M381">
            <v>8</v>
          </cell>
          <cell r="P381">
            <v>9929216977</v>
          </cell>
        </row>
        <row r="382">
          <cell r="C382">
            <v>1000</v>
          </cell>
          <cell r="D382">
            <v>0</v>
          </cell>
          <cell r="E382">
            <v>200</v>
          </cell>
          <cell r="F382">
            <v>0</v>
          </cell>
          <cell r="G382">
            <v>0</v>
          </cell>
          <cell r="H382">
            <v>0</v>
          </cell>
          <cell r="I382">
            <v>77</v>
          </cell>
          <cell r="J382">
            <v>0</v>
          </cell>
          <cell r="K382">
            <v>277</v>
          </cell>
          <cell r="L382">
            <v>7680</v>
          </cell>
          <cell r="M382">
            <v>12</v>
          </cell>
          <cell r="P382">
            <v>9929216977</v>
          </cell>
        </row>
        <row r="383">
          <cell r="C383">
            <v>1500</v>
          </cell>
          <cell r="D383">
            <v>0</v>
          </cell>
          <cell r="E383">
            <v>0</v>
          </cell>
          <cell r="F383">
            <v>0</v>
          </cell>
          <cell r="G383">
            <v>1500</v>
          </cell>
          <cell r="H383">
            <v>0</v>
          </cell>
          <cell r="I383">
            <v>135</v>
          </cell>
          <cell r="J383">
            <v>0</v>
          </cell>
          <cell r="K383">
            <v>1635</v>
          </cell>
          <cell r="L383">
            <v>13500</v>
          </cell>
          <cell r="M383">
            <v>12</v>
          </cell>
          <cell r="P383">
            <v>9929216977</v>
          </cell>
        </row>
        <row r="384">
          <cell r="C384">
            <v>0</v>
          </cell>
          <cell r="D384">
            <v>18035</v>
          </cell>
          <cell r="E384">
            <v>4400</v>
          </cell>
          <cell r="F384">
            <v>3284</v>
          </cell>
          <cell r="G384">
            <v>18414</v>
          </cell>
          <cell r="H384">
            <v>19260</v>
          </cell>
          <cell r="I384">
            <v>4113</v>
          </cell>
          <cell r="J384">
            <v>0</v>
          </cell>
          <cell r="K384">
            <v>49471</v>
          </cell>
          <cell r="L384">
            <v>18414</v>
          </cell>
          <cell r="M384">
            <v>23</v>
          </cell>
          <cell r="P384">
            <v>9782358409</v>
          </cell>
        </row>
        <row r="385">
          <cell r="C385">
            <v>0</v>
          </cell>
          <cell r="D385">
            <v>18200</v>
          </cell>
          <cell r="E385">
            <v>4400</v>
          </cell>
          <cell r="F385">
            <v>3301</v>
          </cell>
          <cell r="G385">
            <v>18500</v>
          </cell>
          <cell r="H385">
            <v>19449</v>
          </cell>
          <cell r="I385">
            <v>4135</v>
          </cell>
          <cell r="J385">
            <v>0</v>
          </cell>
          <cell r="K385">
            <v>49785</v>
          </cell>
          <cell r="L385">
            <v>18500</v>
          </cell>
          <cell r="M385">
            <v>23</v>
          </cell>
          <cell r="P385">
            <v>9782358409</v>
          </cell>
        </row>
        <row r="386">
          <cell r="C386">
            <v>0</v>
          </cell>
          <cell r="D386">
            <v>0</v>
          </cell>
          <cell r="E386">
            <v>200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200</v>
          </cell>
          <cell r="L386">
            <v>0</v>
          </cell>
          <cell r="M386">
            <v>0</v>
          </cell>
          <cell r="P386">
            <v>9314110308</v>
          </cell>
        </row>
        <row r="387">
          <cell r="C387">
            <v>0</v>
          </cell>
          <cell r="D387">
            <v>0</v>
          </cell>
          <cell r="E387">
            <v>200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200</v>
          </cell>
          <cell r="L387">
            <v>0</v>
          </cell>
          <cell r="M387">
            <v>0</v>
          </cell>
          <cell r="P387">
            <v>9314110308</v>
          </cell>
        </row>
        <row r="388">
          <cell r="C388">
            <v>18000</v>
          </cell>
          <cell r="D388">
            <v>0</v>
          </cell>
          <cell r="E388">
            <v>200</v>
          </cell>
          <cell r="F388">
            <v>0</v>
          </cell>
          <cell r="G388">
            <v>2000</v>
          </cell>
          <cell r="H388">
            <v>0</v>
          </cell>
          <cell r="I388">
            <v>200</v>
          </cell>
          <cell r="J388">
            <v>0</v>
          </cell>
          <cell r="K388">
            <v>2400</v>
          </cell>
          <cell r="L388">
            <v>20000</v>
          </cell>
          <cell r="M388">
            <v>5</v>
          </cell>
          <cell r="P388">
            <v>9314110308</v>
          </cell>
        </row>
        <row r="389">
          <cell r="C389">
            <v>0</v>
          </cell>
          <cell r="D389">
            <v>0</v>
          </cell>
          <cell r="E389">
            <v>200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200</v>
          </cell>
          <cell r="L389">
            <v>0</v>
          </cell>
          <cell r="M389">
            <v>0</v>
          </cell>
          <cell r="P389">
            <v>9314110308</v>
          </cell>
        </row>
        <row r="390">
          <cell r="C390">
            <v>1000</v>
          </cell>
          <cell r="D390">
            <v>0</v>
          </cell>
          <cell r="E390">
            <v>200</v>
          </cell>
          <cell r="F390">
            <v>0</v>
          </cell>
          <cell r="G390">
            <v>1000</v>
          </cell>
          <cell r="H390">
            <v>0</v>
          </cell>
          <cell r="I390">
            <v>290</v>
          </cell>
          <cell r="J390">
            <v>0</v>
          </cell>
          <cell r="K390">
            <v>1490</v>
          </cell>
          <cell r="L390">
            <v>29000</v>
          </cell>
          <cell r="M390">
            <v>10</v>
          </cell>
          <cell r="P390">
            <v>9314110308</v>
          </cell>
        </row>
        <row r="391">
          <cell r="C391">
            <v>5000</v>
          </cell>
          <cell r="D391">
            <v>0</v>
          </cell>
          <cell r="E391">
            <v>0</v>
          </cell>
          <cell r="F391">
            <v>0</v>
          </cell>
          <cell r="G391">
            <v>5000</v>
          </cell>
          <cell r="H391">
            <v>0</v>
          </cell>
          <cell r="I391">
            <v>350</v>
          </cell>
          <cell r="J391">
            <v>0</v>
          </cell>
          <cell r="K391">
            <v>5350</v>
          </cell>
          <cell r="L391">
            <v>35000</v>
          </cell>
          <cell r="M391">
            <v>4</v>
          </cell>
          <cell r="P391">
            <v>9352540044</v>
          </cell>
        </row>
        <row r="392">
          <cell r="C392">
            <v>0</v>
          </cell>
          <cell r="D392">
            <v>0</v>
          </cell>
          <cell r="E392">
            <v>200</v>
          </cell>
          <cell r="F392">
            <v>0</v>
          </cell>
          <cell r="G392">
            <v>0</v>
          </cell>
          <cell r="H392">
            <v>0</v>
          </cell>
          <cell r="I392">
            <v>162</v>
          </cell>
          <cell r="J392">
            <v>0</v>
          </cell>
          <cell r="K392">
            <v>362</v>
          </cell>
          <cell r="L392">
            <v>16151</v>
          </cell>
          <cell r="M392">
            <v>3</v>
          </cell>
          <cell r="P392">
            <v>9983381763</v>
          </cell>
        </row>
        <row r="393">
          <cell r="C393">
            <v>0</v>
          </cell>
          <cell r="D393">
            <v>0</v>
          </cell>
          <cell r="E393">
            <v>200</v>
          </cell>
          <cell r="F393">
            <v>0</v>
          </cell>
          <cell r="G393">
            <v>0</v>
          </cell>
          <cell r="H393">
            <v>0</v>
          </cell>
          <cell r="I393">
            <v>162</v>
          </cell>
          <cell r="J393">
            <v>0</v>
          </cell>
          <cell r="K393">
            <v>362</v>
          </cell>
          <cell r="L393">
            <v>16200</v>
          </cell>
          <cell r="M393">
            <v>3</v>
          </cell>
          <cell r="P393">
            <v>9983381763</v>
          </cell>
        </row>
        <row r="394">
          <cell r="C394">
            <v>0</v>
          </cell>
          <cell r="D394">
            <v>0</v>
          </cell>
          <cell r="E394">
            <v>200</v>
          </cell>
          <cell r="F394">
            <v>0</v>
          </cell>
          <cell r="G394">
            <v>0</v>
          </cell>
          <cell r="H394">
            <v>0</v>
          </cell>
          <cell r="I394">
            <v>162</v>
          </cell>
          <cell r="J394">
            <v>0</v>
          </cell>
          <cell r="K394">
            <v>362</v>
          </cell>
          <cell r="L394">
            <v>16200</v>
          </cell>
          <cell r="M394">
            <v>3</v>
          </cell>
          <cell r="P394">
            <v>9983381763</v>
          </cell>
        </row>
        <row r="395">
          <cell r="C395">
            <v>0</v>
          </cell>
          <cell r="D395">
            <v>0</v>
          </cell>
          <cell r="E395">
            <v>200</v>
          </cell>
          <cell r="F395">
            <v>0</v>
          </cell>
          <cell r="G395">
            <v>0</v>
          </cell>
          <cell r="H395">
            <v>0</v>
          </cell>
          <cell r="I395">
            <v>162</v>
          </cell>
          <cell r="J395">
            <v>0</v>
          </cell>
          <cell r="K395">
            <v>362</v>
          </cell>
          <cell r="L395">
            <v>16200</v>
          </cell>
          <cell r="M395">
            <v>3</v>
          </cell>
          <cell r="P395">
            <v>9983381763</v>
          </cell>
        </row>
        <row r="396">
          <cell r="C396">
            <v>0</v>
          </cell>
          <cell r="D396">
            <v>0</v>
          </cell>
          <cell r="E396">
            <v>200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200</v>
          </cell>
          <cell r="L396">
            <v>0</v>
          </cell>
          <cell r="M396">
            <v>0</v>
          </cell>
          <cell r="P396">
            <v>9983381763</v>
          </cell>
        </row>
        <row r="397">
          <cell r="C397">
            <v>0</v>
          </cell>
          <cell r="D397">
            <v>0</v>
          </cell>
          <cell r="E397">
            <v>200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200</v>
          </cell>
          <cell r="L397">
            <v>0</v>
          </cell>
          <cell r="M397">
            <v>0</v>
          </cell>
          <cell r="P397">
            <v>9983381763</v>
          </cell>
        </row>
        <row r="398">
          <cell r="C398">
            <v>0</v>
          </cell>
          <cell r="D398">
            <v>15754</v>
          </cell>
          <cell r="E398">
            <v>4147</v>
          </cell>
          <cell r="F398">
            <v>2849</v>
          </cell>
          <cell r="G398">
            <v>14272</v>
          </cell>
          <cell r="H398">
            <v>16843</v>
          </cell>
          <cell r="I398">
            <v>2300</v>
          </cell>
          <cell r="J398">
            <v>0</v>
          </cell>
          <cell r="K398">
            <v>40411</v>
          </cell>
          <cell r="L398">
            <v>14272</v>
          </cell>
          <cell r="M398">
            <v>21</v>
          </cell>
          <cell r="P398">
            <v>9785062902</v>
          </cell>
        </row>
        <row r="399">
          <cell r="C399">
            <v>600</v>
          </cell>
          <cell r="D399">
            <v>0</v>
          </cell>
          <cell r="E399">
            <v>200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200</v>
          </cell>
          <cell r="L399">
            <v>0</v>
          </cell>
          <cell r="M399">
            <v>0</v>
          </cell>
          <cell r="P399">
            <v>8947800094</v>
          </cell>
        </row>
        <row r="400">
          <cell r="C400">
            <v>600</v>
          </cell>
          <cell r="D400">
            <v>0</v>
          </cell>
          <cell r="E400">
            <v>200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200</v>
          </cell>
          <cell r="L400">
            <v>0</v>
          </cell>
          <cell r="M400">
            <v>0</v>
          </cell>
          <cell r="P400">
            <v>8947800094</v>
          </cell>
        </row>
        <row r="401">
          <cell r="C401">
            <v>600</v>
          </cell>
          <cell r="D401">
            <v>0</v>
          </cell>
          <cell r="E401">
            <v>200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200</v>
          </cell>
          <cell r="L401">
            <v>0</v>
          </cell>
          <cell r="M401">
            <v>0</v>
          </cell>
          <cell r="P401">
            <v>8947800094</v>
          </cell>
        </row>
        <row r="402">
          <cell r="C402">
            <v>600</v>
          </cell>
          <cell r="D402">
            <v>0</v>
          </cell>
          <cell r="E402">
            <v>200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200</v>
          </cell>
          <cell r="L402">
            <v>0</v>
          </cell>
          <cell r="M402">
            <v>0</v>
          </cell>
          <cell r="P402">
            <v>8947800094</v>
          </cell>
        </row>
        <row r="403">
          <cell r="C403">
            <v>600</v>
          </cell>
          <cell r="D403">
            <v>0</v>
          </cell>
          <cell r="E403">
            <v>200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200</v>
          </cell>
          <cell r="L403">
            <v>0</v>
          </cell>
          <cell r="M403">
            <v>0</v>
          </cell>
          <cell r="P403">
            <v>8947800094</v>
          </cell>
        </row>
        <row r="404">
          <cell r="C404">
            <v>0</v>
          </cell>
          <cell r="D404">
            <v>0</v>
          </cell>
          <cell r="E404">
            <v>200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200</v>
          </cell>
          <cell r="L404">
            <v>0</v>
          </cell>
          <cell r="M404">
            <v>0</v>
          </cell>
          <cell r="P404">
            <v>8947800094</v>
          </cell>
        </row>
        <row r="405">
          <cell r="C405">
            <v>1000</v>
          </cell>
          <cell r="D405">
            <v>0</v>
          </cell>
          <cell r="E405">
            <v>200</v>
          </cell>
          <cell r="F405">
            <v>0</v>
          </cell>
          <cell r="G405">
            <v>1000</v>
          </cell>
          <cell r="H405">
            <v>0</v>
          </cell>
          <cell r="I405">
            <v>120</v>
          </cell>
          <cell r="J405">
            <v>0</v>
          </cell>
          <cell r="K405">
            <v>1320</v>
          </cell>
          <cell r="L405">
            <v>12000</v>
          </cell>
          <cell r="M405">
            <v>9</v>
          </cell>
          <cell r="P405">
            <v>7742515326</v>
          </cell>
        </row>
        <row r="406">
          <cell r="C406">
            <v>1000</v>
          </cell>
          <cell r="D406">
            <v>0</v>
          </cell>
          <cell r="E406">
            <v>200</v>
          </cell>
          <cell r="F406">
            <v>0</v>
          </cell>
          <cell r="G406">
            <v>1000</v>
          </cell>
          <cell r="H406">
            <v>0</v>
          </cell>
          <cell r="I406">
            <v>120</v>
          </cell>
          <cell r="J406">
            <v>0</v>
          </cell>
          <cell r="K406">
            <v>1320</v>
          </cell>
          <cell r="L406">
            <v>12000</v>
          </cell>
          <cell r="M406">
            <v>9</v>
          </cell>
          <cell r="P406">
            <v>7742515326</v>
          </cell>
        </row>
        <row r="407">
          <cell r="C407">
            <v>1000</v>
          </cell>
          <cell r="D407">
            <v>0</v>
          </cell>
          <cell r="E407">
            <v>0</v>
          </cell>
          <cell r="F407">
            <v>0</v>
          </cell>
          <cell r="G407">
            <v>784</v>
          </cell>
          <cell r="H407">
            <v>0</v>
          </cell>
          <cell r="I407">
            <v>268</v>
          </cell>
          <cell r="J407">
            <v>0</v>
          </cell>
          <cell r="K407">
            <v>1052</v>
          </cell>
          <cell r="L407">
            <v>26784</v>
          </cell>
          <cell r="M407">
            <v>4</v>
          </cell>
          <cell r="P407">
            <v>7742515326</v>
          </cell>
        </row>
        <row r="408">
          <cell r="C408">
            <v>0</v>
          </cell>
          <cell r="D408">
            <v>0</v>
          </cell>
          <cell r="E408">
            <v>200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200</v>
          </cell>
          <cell r="L408">
            <v>0</v>
          </cell>
          <cell r="M408">
            <v>0</v>
          </cell>
          <cell r="P408">
            <v>7742515326</v>
          </cell>
        </row>
        <row r="409">
          <cell r="C409">
            <v>0</v>
          </cell>
          <cell r="D409">
            <v>0</v>
          </cell>
          <cell r="E409">
            <v>200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200</v>
          </cell>
          <cell r="L409">
            <v>0</v>
          </cell>
          <cell r="M409">
            <v>0</v>
          </cell>
          <cell r="P409">
            <v>7742515326</v>
          </cell>
        </row>
        <row r="410">
          <cell r="C410">
            <v>0</v>
          </cell>
          <cell r="D410">
            <v>0</v>
          </cell>
          <cell r="E410">
            <v>200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200</v>
          </cell>
          <cell r="L410">
            <v>0</v>
          </cell>
          <cell r="M410">
            <v>0</v>
          </cell>
          <cell r="P410">
            <v>7742515326</v>
          </cell>
        </row>
        <row r="411">
          <cell r="C411">
            <v>200</v>
          </cell>
          <cell r="D411">
            <v>0</v>
          </cell>
          <cell r="E411">
            <v>200</v>
          </cell>
          <cell r="F411">
            <v>0</v>
          </cell>
          <cell r="G411">
            <v>0</v>
          </cell>
          <cell r="H411">
            <v>0</v>
          </cell>
          <cell r="I411">
            <v>31</v>
          </cell>
          <cell r="J411">
            <v>0</v>
          </cell>
          <cell r="K411">
            <v>231</v>
          </cell>
          <cell r="L411">
            <v>3143</v>
          </cell>
          <cell r="M411">
            <v>4</v>
          </cell>
          <cell r="P411">
            <v>8233531951</v>
          </cell>
        </row>
        <row r="412">
          <cell r="C412">
            <v>1000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P412">
            <v>8233531951</v>
          </cell>
        </row>
        <row r="413">
          <cell r="C413">
            <v>1000</v>
          </cell>
          <cell r="D413">
            <v>0</v>
          </cell>
          <cell r="E413">
            <v>0</v>
          </cell>
          <cell r="F413">
            <v>0</v>
          </cell>
          <cell r="G413">
            <v>1000</v>
          </cell>
          <cell r="H413">
            <v>0</v>
          </cell>
          <cell r="I413">
            <v>270</v>
          </cell>
          <cell r="J413">
            <v>0</v>
          </cell>
          <cell r="K413">
            <v>1270</v>
          </cell>
          <cell r="L413">
            <v>27000</v>
          </cell>
          <cell r="M413">
            <v>4</v>
          </cell>
          <cell r="P413">
            <v>8233531951</v>
          </cell>
        </row>
        <row r="414">
          <cell r="C414">
            <v>200</v>
          </cell>
          <cell r="D414">
            <v>0</v>
          </cell>
          <cell r="E414">
            <v>200</v>
          </cell>
          <cell r="F414">
            <v>0</v>
          </cell>
          <cell r="G414">
            <v>200</v>
          </cell>
          <cell r="H414">
            <v>0</v>
          </cell>
          <cell r="I414">
            <v>194</v>
          </cell>
          <cell r="J414">
            <v>0</v>
          </cell>
          <cell r="K414">
            <v>594</v>
          </cell>
          <cell r="L414">
            <v>19400</v>
          </cell>
          <cell r="M414">
            <v>4</v>
          </cell>
          <cell r="P414">
            <v>8233531951</v>
          </cell>
        </row>
        <row r="415">
          <cell r="C415">
            <v>200</v>
          </cell>
          <cell r="D415">
            <v>0</v>
          </cell>
          <cell r="E415">
            <v>200</v>
          </cell>
          <cell r="F415">
            <v>0</v>
          </cell>
          <cell r="G415">
            <v>200</v>
          </cell>
          <cell r="H415">
            <v>0</v>
          </cell>
          <cell r="I415">
            <v>194</v>
          </cell>
          <cell r="J415">
            <v>0</v>
          </cell>
          <cell r="K415">
            <v>594</v>
          </cell>
          <cell r="L415">
            <v>19400</v>
          </cell>
          <cell r="M415">
            <v>4</v>
          </cell>
          <cell r="P415">
            <v>8233531951</v>
          </cell>
        </row>
        <row r="416">
          <cell r="C416">
            <v>200</v>
          </cell>
          <cell r="D416">
            <v>0</v>
          </cell>
          <cell r="E416">
            <v>200</v>
          </cell>
          <cell r="F416">
            <v>0</v>
          </cell>
          <cell r="G416">
            <v>200</v>
          </cell>
          <cell r="H416">
            <v>0</v>
          </cell>
          <cell r="I416">
            <v>194</v>
          </cell>
          <cell r="J416">
            <v>0</v>
          </cell>
          <cell r="K416">
            <v>594</v>
          </cell>
          <cell r="L416">
            <v>19400</v>
          </cell>
          <cell r="M416">
            <v>4</v>
          </cell>
          <cell r="P416">
            <v>8233531951</v>
          </cell>
        </row>
        <row r="417">
          <cell r="C417">
            <v>0</v>
          </cell>
          <cell r="D417">
            <v>0</v>
          </cell>
          <cell r="E417">
            <v>200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200</v>
          </cell>
          <cell r="L417">
            <v>0</v>
          </cell>
          <cell r="M417">
            <v>0</v>
          </cell>
          <cell r="P417">
            <v>9929758899</v>
          </cell>
        </row>
        <row r="418">
          <cell r="C418">
            <v>0</v>
          </cell>
          <cell r="D418">
            <v>0</v>
          </cell>
          <cell r="E418">
            <v>200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200</v>
          </cell>
          <cell r="L418">
            <v>0</v>
          </cell>
          <cell r="M418">
            <v>0</v>
          </cell>
          <cell r="P418">
            <v>9929758899</v>
          </cell>
        </row>
        <row r="419">
          <cell r="C419">
            <v>1000</v>
          </cell>
          <cell r="D419">
            <v>0</v>
          </cell>
          <cell r="E419">
            <v>200</v>
          </cell>
          <cell r="F419">
            <v>0</v>
          </cell>
          <cell r="G419">
            <v>0</v>
          </cell>
          <cell r="H419">
            <v>0</v>
          </cell>
          <cell r="I419">
            <v>28</v>
          </cell>
          <cell r="J419">
            <v>0</v>
          </cell>
          <cell r="K419">
            <v>228</v>
          </cell>
          <cell r="L419">
            <v>2754</v>
          </cell>
          <cell r="M419">
            <v>13</v>
          </cell>
          <cell r="P419">
            <v>9929758899</v>
          </cell>
        </row>
        <row r="420">
          <cell r="C420">
            <v>0</v>
          </cell>
          <cell r="D420">
            <v>0</v>
          </cell>
          <cell r="E420">
            <v>200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200</v>
          </cell>
          <cell r="L420">
            <v>0</v>
          </cell>
          <cell r="M420">
            <v>0</v>
          </cell>
          <cell r="P420">
            <v>9929758899</v>
          </cell>
        </row>
        <row r="421">
          <cell r="C421">
            <v>0</v>
          </cell>
          <cell r="D421">
            <v>0</v>
          </cell>
          <cell r="E421">
            <v>200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200</v>
          </cell>
          <cell r="L421">
            <v>0</v>
          </cell>
          <cell r="M421">
            <v>0</v>
          </cell>
          <cell r="P421">
            <v>9929758899</v>
          </cell>
        </row>
        <row r="422">
          <cell r="C422">
            <v>500</v>
          </cell>
          <cell r="D422">
            <v>0</v>
          </cell>
          <cell r="E422">
            <v>200</v>
          </cell>
          <cell r="F422">
            <v>0</v>
          </cell>
          <cell r="G422">
            <v>500</v>
          </cell>
          <cell r="H422">
            <v>0</v>
          </cell>
          <cell r="I422">
            <v>580</v>
          </cell>
          <cell r="J422">
            <v>0</v>
          </cell>
          <cell r="K422">
            <v>1280</v>
          </cell>
          <cell r="L422">
            <v>58000</v>
          </cell>
          <cell r="M422">
            <v>5</v>
          </cell>
          <cell r="P422">
            <v>9928466340</v>
          </cell>
        </row>
        <row r="423">
          <cell r="C423">
            <v>500</v>
          </cell>
          <cell r="D423">
            <v>0</v>
          </cell>
          <cell r="E423">
            <v>200</v>
          </cell>
          <cell r="F423">
            <v>0</v>
          </cell>
          <cell r="G423">
            <v>500</v>
          </cell>
          <cell r="H423">
            <v>0</v>
          </cell>
          <cell r="I423">
            <v>480</v>
          </cell>
          <cell r="J423">
            <v>0</v>
          </cell>
          <cell r="K423">
            <v>1180</v>
          </cell>
          <cell r="L423">
            <v>48000</v>
          </cell>
          <cell r="M423">
            <v>5</v>
          </cell>
          <cell r="P423">
            <v>9928466340</v>
          </cell>
        </row>
        <row r="424">
          <cell r="C424">
            <v>500</v>
          </cell>
          <cell r="D424">
            <v>0</v>
          </cell>
          <cell r="E424">
            <v>200</v>
          </cell>
          <cell r="F424">
            <v>0</v>
          </cell>
          <cell r="G424">
            <v>500</v>
          </cell>
          <cell r="H424">
            <v>0</v>
          </cell>
          <cell r="I424">
            <v>480</v>
          </cell>
          <cell r="J424">
            <v>0</v>
          </cell>
          <cell r="K424">
            <v>1180</v>
          </cell>
          <cell r="L424">
            <v>48000</v>
          </cell>
          <cell r="M424">
            <v>5</v>
          </cell>
          <cell r="P424">
            <v>9928466340</v>
          </cell>
        </row>
        <row r="425">
          <cell r="C425">
            <v>500</v>
          </cell>
          <cell r="D425">
            <v>0</v>
          </cell>
          <cell r="E425">
            <v>200</v>
          </cell>
          <cell r="F425">
            <v>0</v>
          </cell>
          <cell r="G425">
            <v>500</v>
          </cell>
          <cell r="H425">
            <v>0</v>
          </cell>
          <cell r="I425">
            <v>480</v>
          </cell>
          <cell r="J425">
            <v>0</v>
          </cell>
          <cell r="K425">
            <v>1180</v>
          </cell>
          <cell r="L425">
            <v>48000</v>
          </cell>
          <cell r="M425">
            <v>5</v>
          </cell>
          <cell r="P425">
            <v>9928466340</v>
          </cell>
        </row>
        <row r="426">
          <cell r="C426">
            <v>500</v>
          </cell>
          <cell r="D426">
            <v>0</v>
          </cell>
          <cell r="E426">
            <v>200</v>
          </cell>
          <cell r="F426">
            <v>0</v>
          </cell>
          <cell r="G426">
            <v>500</v>
          </cell>
          <cell r="H426">
            <v>0</v>
          </cell>
          <cell r="I426">
            <v>480</v>
          </cell>
          <cell r="J426">
            <v>0</v>
          </cell>
          <cell r="K426">
            <v>1180</v>
          </cell>
          <cell r="L426">
            <v>48000</v>
          </cell>
          <cell r="M426">
            <v>5</v>
          </cell>
          <cell r="P426">
            <v>9928466340</v>
          </cell>
        </row>
        <row r="427">
          <cell r="C427">
            <v>500</v>
          </cell>
          <cell r="D427">
            <v>0</v>
          </cell>
          <cell r="E427">
            <v>200</v>
          </cell>
          <cell r="F427">
            <v>0</v>
          </cell>
          <cell r="G427">
            <v>500</v>
          </cell>
          <cell r="H427">
            <v>0</v>
          </cell>
          <cell r="I427">
            <v>480</v>
          </cell>
          <cell r="J427">
            <v>0</v>
          </cell>
          <cell r="K427">
            <v>1180</v>
          </cell>
          <cell r="L427">
            <v>48000</v>
          </cell>
          <cell r="M427">
            <v>5</v>
          </cell>
          <cell r="P427">
            <v>9928466340</v>
          </cell>
        </row>
        <row r="428">
          <cell r="C428">
            <v>500</v>
          </cell>
          <cell r="D428">
            <v>0</v>
          </cell>
          <cell r="E428">
            <v>200</v>
          </cell>
          <cell r="F428">
            <v>0</v>
          </cell>
          <cell r="G428">
            <v>500</v>
          </cell>
          <cell r="H428">
            <v>0</v>
          </cell>
          <cell r="I428">
            <v>480</v>
          </cell>
          <cell r="J428">
            <v>0</v>
          </cell>
          <cell r="K428">
            <v>1180</v>
          </cell>
          <cell r="L428">
            <v>48000</v>
          </cell>
          <cell r="M428">
            <v>5</v>
          </cell>
          <cell r="P428">
            <v>9928466340</v>
          </cell>
        </row>
        <row r="429">
          <cell r="C429">
            <v>500</v>
          </cell>
          <cell r="D429">
            <v>0</v>
          </cell>
          <cell r="E429">
            <v>200</v>
          </cell>
          <cell r="F429">
            <v>0</v>
          </cell>
          <cell r="G429">
            <v>500</v>
          </cell>
          <cell r="H429">
            <v>0</v>
          </cell>
          <cell r="I429">
            <v>480</v>
          </cell>
          <cell r="J429">
            <v>0</v>
          </cell>
          <cell r="K429">
            <v>1180</v>
          </cell>
          <cell r="L429">
            <v>48000</v>
          </cell>
          <cell r="M429">
            <v>5</v>
          </cell>
          <cell r="P429">
            <v>9928466340</v>
          </cell>
        </row>
        <row r="430">
          <cell r="C430">
            <v>500</v>
          </cell>
          <cell r="D430">
            <v>0</v>
          </cell>
          <cell r="E430">
            <v>200</v>
          </cell>
          <cell r="F430">
            <v>0</v>
          </cell>
          <cell r="G430">
            <v>500</v>
          </cell>
          <cell r="H430">
            <v>0</v>
          </cell>
          <cell r="I430">
            <v>480</v>
          </cell>
          <cell r="J430">
            <v>0</v>
          </cell>
          <cell r="K430">
            <v>1180</v>
          </cell>
          <cell r="L430">
            <v>48000</v>
          </cell>
          <cell r="M430">
            <v>5</v>
          </cell>
          <cell r="P430">
            <v>9928466340</v>
          </cell>
        </row>
        <row r="431">
          <cell r="C431">
            <v>500</v>
          </cell>
          <cell r="D431">
            <v>0</v>
          </cell>
          <cell r="E431">
            <v>200</v>
          </cell>
          <cell r="F431">
            <v>0</v>
          </cell>
          <cell r="G431">
            <v>500</v>
          </cell>
          <cell r="H431">
            <v>0</v>
          </cell>
          <cell r="I431">
            <v>480</v>
          </cell>
          <cell r="J431">
            <v>0</v>
          </cell>
          <cell r="K431">
            <v>1180</v>
          </cell>
          <cell r="L431">
            <v>48000</v>
          </cell>
          <cell r="M431">
            <v>5</v>
          </cell>
          <cell r="P431">
            <v>9928466340</v>
          </cell>
        </row>
        <row r="432">
          <cell r="C432">
            <v>0</v>
          </cell>
          <cell r="D432">
            <v>0</v>
          </cell>
          <cell r="E432">
            <v>200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200</v>
          </cell>
          <cell r="L432">
            <v>0</v>
          </cell>
          <cell r="M432">
            <v>0</v>
          </cell>
          <cell r="P432">
            <v>9887259462</v>
          </cell>
        </row>
        <row r="433">
          <cell r="C433">
            <v>1000</v>
          </cell>
          <cell r="D433">
            <v>0</v>
          </cell>
          <cell r="E433">
            <v>200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200</v>
          </cell>
          <cell r="L433">
            <v>0</v>
          </cell>
          <cell r="M433">
            <v>0</v>
          </cell>
          <cell r="P433">
            <v>9887259462</v>
          </cell>
        </row>
        <row r="434">
          <cell r="C434">
            <v>3000</v>
          </cell>
          <cell r="D434">
            <v>0</v>
          </cell>
          <cell r="E434">
            <v>0</v>
          </cell>
          <cell r="F434">
            <v>0</v>
          </cell>
          <cell r="G434">
            <v>1850</v>
          </cell>
          <cell r="H434">
            <v>33</v>
          </cell>
          <cell r="I434">
            <v>51</v>
          </cell>
          <cell r="J434">
            <v>0</v>
          </cell>
          <cell r="K434">
            <v>1934</v>
          </cell>
          <cell r="L434">
            <v>4850</v>
          </cell>
          <cell r="M434">
            <v>9</v>
          </cell>
          <cell r="P434">
            <v>9887259462</v>
          </cell>
        </row>
        <row r="435">
          <cell r="C435">
            <v>0</v>
          </cell>
          <cell r="D435">
            <v>0</v>
          </cell>
          <cell r="E435">
            <v>200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200</v>
          </cell>
          <cell r="L435">
            <v>0</v>
          </cell>
          <cell r="M435">
            <v>0</v>
          </cell>
          <cell r="P435">
            <v>9887259462</v>
          </cell>
        </row>
        <row r="436">
          <cell r="C436">
            <v>3000</v>
          </cell>
          <cell r="D436">
            <v>0</v>
          </cell>
          <cell r="E436">
            <v>0</v>
          </cell>
          <cell r="F436">
            <v>0</v>
          </cell>
          <cell r="G436">
            <v>1791</v>
          </cell>
          <cell r="H436">
            <v>33</v>
          </cell>
          <cell r="I436">
            <v>50</v>
          </cell>
          <cell r="J436">
            <v>0</v>
          </cell>
          <cell r="K436">
            <v>1874</v>
          </cell>
          <cell r="L436">
            <v>4791</v>
          </cell>
          <cell r="M436">
            <v>9</v>
          </cell>
          <cell r="P436">
            <v>9887259462</v>
          </cell>
        </row>
        <row r="437">
          <cell r="C437">
            <v>0</v>
          </cell>
          <cell r="D437">
            <v>85225</v>
          </cell>
          <cell r="E437">
            <v>5600</v>
          </cell>
          <cell r="F437">
            <v>5999</v>
          </cell>
          <cell r="G437">
            <v>0</v>
          </cell>
          <cell r="H437">
            <v>100532</v>
          </cell>
          <cell r="I437">
            <v>96382</v>
          </cell>
          <cell r="J437">
            <v>3865</v>
          </cell>
          <cell r="K437">
            <v>212378</v>
          </cell>
          <cell r="L437">
            <v>342810</v>
          </cell>
          <cell r="M437">
            <v>28</v>
          </cell>
          <cell r="P437">
            <v>9784624803</v>
          </cell>
        </row>
        <row r="438">
          <cell r="C438">
            <v>500</v>
          </cell>
          <cell r="D438">
            <v>0</v>
          </cell>
          <cell r="E438">
            <v>200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200</v>
          </cell>
          <cell r="L438">
            <v>0</v>
          </cell>
          <cell r="M438">
            <v>0</v>
          </cell>
          <cell r="P438">
            <v>9602250433</v>
          </cell>
        </row>
        <row r="439">
          <cell r="C439">
            <v>500</v>
          </cell>
          <cell r="D439">
            <v>0</v>
          </cell>
          <cell r="E439">
            <v>200</v>
          </cell>
          <cell r="F439">
            <v>0</v>
          </cell>
          <cell r="G439">
            <v>0</v>
          </cell>
          <cell r="H439">
            <v>0</v>
          </cell>
          <cell r="I439">
            <v>57</v>
          </cell>
          <cell r="J439">
            <v>0</v>
          </cell>
          <cell r="K439">
            <v>257</v>
          </cell>
          <cell r="L439">
            <v>5705</v>
          </cell>
          <cell r="M439">
            <v>28</v>
          </cell>
          <cell r="P439">
            <v>9602250433</v>
          </cell>
        </row>
        <row r="440">
          <cell r="C440">
            <v>500</v>
          </cell>
          <cell r="D440">
            <v>0</v>
          </cell>
          <cell r="E440">
            <v>200</v>
          </cell>
          <cell r="F440">
            <v>0</v>
          </cell>
          <cell r="G440">
            <v>500</v>
          </cell>
          <cell r="H440">
            <v>0</v>
          </cell>
          <cell r="I440">
            <v>65</v>
          </cell>
          <cell r="J440">
            <v>0</v>
          </cell>
          <cell r="K440">
            <v>765</v>
          </cell>
          <cell r="L440">
            <v>6500</v>
          </cell>
          <cell r="M440">
            <v>28</v>
          </cell>
          <cell r="P440">
            <v>9602250433</v>
          </cell>
        </row>
        <row r="441">
          <cell r="C441">
            <v>500</v>
          </cell>
          <cell r="D441">
            <v>0</v>
          </cell>
          <cell r="E441">
            <v>200</v>
          </cell>
          <cell r="F441">
            <v>0</v>
          </cell>
          <cell r="G441">
            <v>500</v>
          </cell>
          <cell r="H441">
            <v>0</v>
          </cell>
          <cell r="I441">
            <v>65</v>
          </cell>
          <cell r="J441">
            <v>0</v>
          </cell>
          <cell r="K441">
            <v>765</v>
          </cell>
          <cell r="L441">
            <v>6500</v>
          </cell>
          <cell r="M441">
            <v>28</v>
          </cell>
          <cell r="P441">
            <v>9602250433</v>
          </cell>
        </row>
        <row r="442">
          <cell r="C442">
            <v>500</v>
          </cell>
          <cell r="D442">
            <v>0</v>
          </cell>
          <cell r="E442">
            <v>200</v>
          </cell>
          <cell r="F442">
            <v>0</v>
          </cell>
          <cell r="G442">
            <v>500</v>
          </cell>
          <cell r="H442">
            <v>0</v>
          </cell>
          <cell r="I442">
            <v>65</v>
          </cell>
          <cell r="J442">
            <v>0</v>
          </cell>
          <cell r="K442">
            <v>765</v>
          </cell>
          <cell r="L442">
            <v>6500</v>
          </cell>
          <cell r="M442">
            <v>28</v>
          </cell>
          <cell r="P442">
            <v>9602250433</v>
          </cell>
        </row>
        <row r="443">
          <cell r="C443">
            <v>500</v>
          </cell>
          <cell r="D443">
            <v>0</v>
          </cell>
          <cell r="E443">
            <v>200</v>
          </cell>
          <cell r="F443">
            <v>0</v>
          </cell>
          <cell r="G443">
            <v>500</v>
          </cell>
          <cell r="H443">
            <v>0</v>
          </cell>
          <cell r="I443">
            <v>90</v>
          </cell>
          <cell r="J443">
            <v>0</v>
          </cell>
          <cell r="K443">
            <v>790</v>
          </cell>
          <cell r="L443">
            <v>9000</v>
          </cell>
          <cell r="M443">
            <v>23</v>
          </cell>
          <cell r="P443">
            <v>9929457372</v>
          </cell>
        </row>
        <row r="444">
          <cell r="C444">
            <v>500</v>
          </cell>
          <cell r="D444">
            <v>0</v>
          </cell>
          <cell r="E444">
            <v>200</v>
          </cell>
          <cell r="F444">
            <v>0</v>
          </cell>
          <cell r="G444">
            <v>0</v>
          </cell>
          <cell r="H444">
            <v>0</v>
          </cell>
          <cell r="I444">
            <v>79</v>
          </cell>
          <cell r="J444">
            <v>0</v>
          </cell>
          <cell r="K444">
            <v>279</v>
          </cell>
          <cell r="L444">
            <v>7882</v>
          </cell>
          <cell r="M444">
            <v>23</v>
          </cell>
          <cell r="P444">
            <v>9929457372</v>
          </cell>
        </row>
        <row r="445">
          <cell r="C445">
            <v>500</v>
          </cell>
          <cell r="D445">
            <v>0</v>
          </cell>
          <cell r="E445">
            <v>200</v>
          </cell>
          <cell r="F445">
            <v>0</v>
          </cell>
          <cell r="G445">
            <v>500</v>
          </cell>
          <cell r="H445">
            <v>0</v>
          </cell>
          <cell r="I445">
            <v>90</v>
          </cell>
          <cell r="J445">
            <v>0</v>
          </cell>
          <cell r="K445">
            <v>790</v>
          </cell>
          <cell r="L445">
            <v>9000</v>
          </cell>
          <cell r="M445">
            <v>23</v>
          </cell>
          <cell r="P445">
            <v>9929457372</v>
          </cell>
        </row>
        <row r="446">
          <cell r="C446">
            <v>500</v>
          </cell>
          <cell r="D446">
            <v>0</v>
          </cell>
          <cell r="E446">
            <v>200</v>
          </cell>
          <cell r="F446">
            <v>0</v>
          </cell>
          <cell r="G446">
            <v>500</v>
          </cell>
          <cell r="H446">
            <v>0</v>
          </cell>
          <cell r="I446">
            <v>90</v>
          </cell>
          <cell r="J446">
            <v>0</v>
          </cell>
          <cell r="K446">
            <v>790</v>
          </cell>
          <cell r="L446">
            <v>9000</v>
          </cell>
          <cell r="M446">
            <v>23</v>
          </cell>
          <cell r="P446">
            <v>9929457372</v>
          </cell>
        </row>
        <row r="447">
          <cell r="C447">
            <v>0</v>
          </cell>
          <cell r="D447">
            <v>0</v>
          </cell>
          <cell r="E447">
            <v>200</v>
          </cell>
          <cell r="F447">
            <v>0</v>
          </cell>
          <cell r="G447">
            <v>0</v>
          </cell>
          <cell r="H447">
            <v>0</v>
          </cell>
          <cell r="I447">
            <v>30</v>
          </cell>
          <cell r="J447">
            <v>0</v>
          </cell>
          <cell r="K447">
            <v>230</v>
          </cell>
          <cell r="L447">
            <v>2961</v>
          </cell>
          <cell r="M447">
            <v>3</v>
          </cell>
          <cell r="P447">
            <v>9828072747</v>
          </cell>
        </row>
        <row r="448">
          <cell r="C448">
            <v>0</v>
          </cell>
          <cell r="D448">
            <v>0</v>
          </cell>
          <cell r="E448">
            <v>200</v>
          </cell>
          <cell r="F448">
            <v>0</v>
          </cell>
          <cell r="G448">
            <v>0</v>
          </cell>
          <cell r="H448">
            <v>0</v>
          </cell>
          <cell r="I448">
            <v>36</v>
          </cell>
          <cell r="J448">
            <v>0</v>
          </cell>
          <cell r="K448">
            <v>236</v>
          </cell>
          <cell r="L448">
            <v>3600</v>
          </cell>
          <cell r="M448">
            <v>3</v>
          </cell>
          <cell r="P448">
            <v>9828072747</v>
          </cell>
        </row>
        <row r="449">
          <cell r="C449">
            <v>0</v>
          </cell>
          <cell r="D449">
            <v>0</v>
          </cell>
          <cell r="E449">
            <v>200</v>
          </cell>
          <cell r="F449">
            <v>0</v>
          </cell>
          <cell r="G449">
            <v>0</v>
          </cell>
          <cell r="H449">
            <v>0</v>
          </cell>
          <cell r="I449">
            <v>36</v>
          </cell>
          <cell r="J449">
            <v>0</v>
          </cell>
          <cell r="K449">
            <v>236</v>
          </cell>
          <cell r="L449">
            <v>3600</v>
          </cell>
          <cell r="M449">
            <v>3</v>
          </cell>
          <cell r="P449">
            <v>9828072747</v>
          </cell>
        </row>
        <row r="450">
          <cell r="C450">
            <v>1000</v>
          </cell>
          <cell r="D450">
            <v>0</v>
          </cell>
          <cell r="E450">
            <v>200</v>
          </cell>
          <cell r="F450">
            <v>0</v>
          </cell>
          <cell r="G450">
            <v>1000</v>
          </cell>
          <cell r="H450">
            <v>0</v>
          </cell>
          <cell r="I450">
            <v>90</v>
          </cell>
          <cell r="J450">
            <v>0</v>
          </cell>
          <cell r="K450">
            <v>1290</v>
          </cell>
          <cell r="L450">
            <v>9000</v>
          </cell>
          <cell r="M450">
            <v>12</v>
          </cell>
          <cell r="P450">
            <v>8619882463</v>
          </cell>
        </row>
        <row r="451">
          <cell r="C451">
            <v>0</v>
          </cell>
          <cell r="D451">
            <v>0</v>
          </cell>
          <cell r="E451">
            <v>200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200</v>
          </cell>
          <cell r="L451">
            <v>0</v>
          </cell>
          <cell r="M451">
            <v>0</v>
          </cell>
          <cell r="P451">
            <v>8619882463</v>
          </cell>
        </row>
        <row r="452">
          <cell r="C452">
            <v>0</v>
          </cell>
          <cell r="D452">
            <v>0</v>
          </cell>
          <cell r="E452">
            <v>177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177</v>
          </cell>
          <cell r="L452">
            <v>0</v>
          </cell>
          <cell r="M452">
            <v>0</v>
          </cell>
          <cell r="P452">
            <v>9571402502</v>
          </cell>
        </row>
        <row r="453">
          <cell r="C453">
            <v>0</v>
          </cell>
          <cell r="D453">
            <v>0</v>
          </cell>
          <cell r="E453">
            <v>200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200</v>
          </cell>
          <cell r="L453">
            <v>0</v>
          </cell>
          <cell r="M453">
            <v>0</v>
          </cell>
          <cell r="P453">
            <v>9571402502</v>
          </cell>
        </row>
        <row r="454">
          <cell r="C454">
            <v>0</v>
          </cell>
          <cell r="D454">
            <v>0</v>
          </cell>
          <cell r="E454">
            <v>200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200</v>
          </cell>
          <cell r="L454">
            <v>0</v>
          </cell>
          <cell r="M454">
            <v>0</v>
          </cell>
          <cell r="P454">
            <v>9571402502</v>
          </cell>
        </row>
        <row r="455">
          <cell r="C455">
            <v>1000</v>
          </cell>
          <cell r="D455">
            <v>473</v>
          </cell>
          <cell r="E455">
            <v>2600</v>
          </cell>
          <cell r="F455">
            <v>717</v>
          </cell>
          <cell r="G455">
            <v>2060</v>
          </cell>
          <cell r="H455">
            <v>633</v>
          </cell>
          <cell r="I455">
            <v>31</v>
          </cell>
          <cell r="J455">
            <v>0</v>
          </cell>
          <cell r="K455">
            <v>6041</v>
          </cell>
          <cell r="L455">
            <v>3060</v>
          </cell>
          <cell r="M455">
            <v>19</v>
          </cell>
          <cell r="P455">
            <v>8058431101</v>
          </cell>
        </row>
        <row r="456">
          <cell r="C456">
            <v>1000</v>
          </cell>
          <cell r="D456">
            <v>442</v>
          </cell>
          <cell r="E456">
            <v>2600</v>
          </cell>
          <cell r="F456">
            <v>717</v>
          </cell>
          <cell r="G456">
            <v>2594</v>
          </cell>
          <cell r="H456">
            <v>546</v>
          </cell>
          <cell r="I456">
            <v>36</v>
          </cell>
          <cell r="J456">
            <v>0</v>
          </cell>
          <cell r="K456">
            <v>6493</v>
          </cell>
          <cell r="L456">
            <v>3594</v>
          </cell>
          <cell r="M456">
            <v>19</v>
          </cell>
          <cell r="P456">
            <v>8058431101</v>
          </cell>
        </row>
        <row r="457"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P457">
            <v>8769411411</v>
          </cell>
        </row>
        <row r="458"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P458">
            <v>8769411411</v>
          </cell>
        </row>
        <row r="459"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P459">
            <v>8769411411</v>
          </cell>
        </row>
        <row r="460"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P460">
            <v>8769411411</v>
          </cell>
        </row>
        <row r="461"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P461">
            <v>8769411411</v>
          </cell>
        </row>
        <row r="462">
          <cell r="C462">
            <v>0</v>
          </cell>
          <cell r="D462">
            <v>0</v>
          </cell>
          <cell r="E462">
            <v>137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137</v>
          </cell>
          <cell r="L462">
            <v>0</v>
          </cell>
          <cell r="M462">
            <v>0</v>
          </cell>
          <cell r="P462">
            <v>9667461338</v>
          </cell>
        </row>
        <row r="463">
          <cell r="C463">
            <v>0</v>
          </cell>
          <cell r="D463">
            <v>0</v>
          </cell>
          <cell r="E463">
            <v>200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200</v>
          </cell>
          <cell r="L463">
            <v>0</v>
          </cell>
          <cell r="M463">
            <v>0</v>
          </cell>
          <cell r="P463">
            <v>9667461338</v>
          </cell>
        </row>
        <row r="464">
          <cell r="C464">
            <v>0</v>
          </cell>
          <cell r="D464">
            <v>0</v>
          </cell>
          <cell r="E464">
            <v>200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200</v>
          </cell>
          <cell r="L464">
            <v>0</v>
          </cell>
          <cell r="M464">
            <v>0</v>
          </cell>
          <cell r="P464">
            <v>9667461338</v>
          </cell>
        </row>
        <row r="465">
          <cell r="C465">
            <v>0</v>
          </cell>
          <cell r="D465">
            <v>0</v>
          </cell>
          <cell r="E465">
            <v>200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200</v>
          </cell>
          <cell r="L465">
            <v>0</v>
          </cell>
          <cell r="M465">
            <v>0</v>
          </cell>
          <cell r="P465">
            <v>9667461338</v>
          </cell>
        </row>
        <row r="466">
          <cell r="C466">
            <v>0</v>
          </cell>
          <cell r="D466">
            <v>0</v>
          </cell>
          <cell r="E466">
            <v>200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200</v>
          </cell>
          <cell r="L466">
            <v>0</v>
          </cell>
          <cell r="M466">
            <v>0</v>
          </cell>
          <cell r="P466">
            <v>9667461338</v>
          </cell>
        </row>
        <row r="467">
          <cell r="C467">
            <v>0</v>
          </cell>
          <cell r="D467">
            <v>0</v>
          </cell>
          <cell r="E467">
            <v>200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200</v>
          </cell>
          <cell r="L467">
            <v>0</v>
          </cell>
          <cell r="M467">
            <v>0</v>
          </cell>
          <cell r="P467">
            <v>9667461338</v>
          </cell>
        </row>
        <row r="468">
          <cell r="C468">
            <v>0</v>
          </cell>
          <cell r="D468">
            <v>0</v>
          </cell>
          <cell r="E468">
            <v>200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200</v>
          </cell>
          <cell r="L468">
            <v>0</v>
          </cell>
          <cell r="M468">
            <v>0</v>
          </cell>
          <cell r="P468">
            <v>9667461338</v>
          </cell>
        </row>
        <row r="469">
          <cell r="C469">
            <v>0</v>
          </cell>
          <cell r="D469">
            <v>0</v>
          </cell>
          <cell r="E469">
            <v>125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125</v>
          </cell>
          <cell r="L469">
            <v>0</v>
          </cell>
          <cell r="M469">
            <v>0</v>
          </cell>
          <cell r="P469">
            <v>8562002194</v>
          </cell>
        </row>
        <row r="470">
          <cell r="C470">
            <v>0</v>
          </cell>
          <cell r="D470">
            <v>0</v>
          </cell>
          <cell r="E470">
            <v>200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200</v>
          </cell>
          <cell r="L470">
            <v>0</v>
          </cell>
          <cell r="M470">
            <v>0</v>
          </cell>
          <cell r="P470">
            <v>8562002194</v>
          </cell>
        </row>
        <row r="471">
          <cell r="C471">
            <v>0</v>
          </cell>
          <cell r="D471">
            <v>0</v>
          </cell>
          <cell r="E471">
            <v>200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200</v>
          </cell>
          <cell r="L471">
            <v>0</v>
          </cell>
          <cell r="M471">
            <v>0</v>
          </cell>
          <cell r="P471">
            <v>8562002194</v>
          </cell>
        </row>
        <row r="472">
          <cell r="C472">
            <v>0</v>
          </cell>
          <cell r="D472">
            <v>0</v>
          </cell>
          <cell r="E472">
            <v>200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200</v>
          </cell>
          <cell r="L472">
            <v>0</v>
          </cell>
          <cell r="M472">
            <v>0</v>
          </cell>
          <cell r="P472">
            <v>8562002194</v>
          </cell>
        </row>
        <row r="473">
          <cell r="C473">
            <v>0</v>
          </cell>
          <cell r="D473">
            <v>0</v>
          </cell>
          <cell r="E473">
            <v>200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200</v>
          </cell>
          <cell r="L473">
            <v>0</v>
          </cell>
          <cell r="M473">
            <v>0</v>
          </cell>
          <cell r="P473">
            <v>8562002194</v>
          </cell>
        </row>
        <row r="474">
          <cell r="C474">
            <v>0</v>
          </cell>
          <cell r="D474">
            <v>0</v>
          </cell>
          <cell r="E474">
            <v>200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200</v>
          </cell>
          <cell r="L474">
            <v>0</v>
          </cell>
          <cell r="M474">
            <v>0</v>
          </cell>
          <cell r="P474">
            <v>8562002194</v>
          </cell>
        </row>
        <row r="475">
          <cell r="C475">
            <v>0</v>
          </cell>
          <cell r="D475">
            <v>0</v>
          </cell>
          <cell r="E475">
            <v>200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200</v>
          </cell>
          <cell r="L475">
            <v>0</v>
          </cell>
          <cell r="M475">
            <v>0</v>
          </cell>
          <cell r="P475">
            <v>8562002194</v>
          </cell>
        </row>
        <row r="476">
          <cell r="C476">
            <v>1000</v>
          </cell>
          <cell r="D476">
            <v>0</v>
          </cell>
          <cell r="E476">
            <v>200</v>
          </cell>
          <cell r="F476">
            <v>0</v>
          </cell>
          <cell r="G476">
            <v>1000</v>
          </cell>
          <cell r="H476">
            <v>0</v>
          </cell>
          <cell r="I476">
            <v>170</v>
          </cell>
          <cell r="J476">
            <v>0</v>
          </cell>
          <cell r="K476">
            <v>1370</v>
          </cell>
          <cell r="L476">
            <v>17000</v>
          </cell>
          <cell r="M476">
            <v>4</v>
          </cell>
          <cell r="P476">
            <v>9694390502</v>
          </cell>
        </row>
        <row r="477">
          <cell r="C477">
            <v>0</v>
          </cell>
          <cell r="D477">
            <v>0</v>
          </cell>
          <cell r="E477">
            <v>172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172</v>
          </cell>
          <cell r="L477">
            <v>0</v>
          </cell>
          <cell r="M477">
            <v>0</v>
          </cell>
          <cell r="P477">
            <v>9829093076</v>
          </cell>
        </row>
        <row r="478">
          <cell r="C478">
            <v>0</v>
          </cell>
          <cell r="D478">
            <v>0</v>
          </cell>
          <cell r="E478">
            <v>190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190</v>
          </cell>
          <cell r="L478">
            <v>0</v>
          </cell>
          <cell r="M478">
            <v>0</v>
          </cell>
          <cell r="P478">
            <v>9829093076</v>
          </cell>
        </row>
        <row r="479">
          <cell r="C479">
            <v>0</v>
          </cell>
          <cell r="D479">
            <v>0</v>
          </cell>
          <cell r="E479">
            <v>200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200</v>
          </cell>
          <cell r="L479">
            <v>0</v>
          </cell>
          <cell r="M479">
            <v>0</v>
          </cell>
          <cell r="P479">
            <v>9829093076</v>
          </cell>
        </row>
        <row r="480">
          <cell r="C480">
            <v>0</v>
          </cell>
          <cell r="D480">
            <v>0</v>
          </cell>
          <cell r="E480">
            <v>200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200</v>
          </cell>
          <cell r="L480">
            <v>0</v>
          </cell>
          <cell r="M480">
            <v>0</v>
          </cell>
          <cell r="P480">
            <v>9694119106</v>
          </cell>
        </row>
        <row r="481">
          <cell r="C481">
            <v>0</v>
          </cell>
          <cell r="D481">
            <v>0</v>
          </cell>
          <cell r="E481">
            <v>166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166</v>
          </cell>
          <cell r="L481">
            <v>0</v>
          </cell>
          <cell r="M481">
            <v>0</v>
          </cell>
          <cell r="P481">
            <v>9694119106</v>
          </cell>
        </row>
        <row r="482">
          <cell r="C482">
            <v>0</v>
          </cell>
          <cell r="D482">
            <v>0</v>
          </cell>
          <cell r="E482">
            <v>200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200</v>
          </cell>
          <cell r="L482">
            <v>0</v>
          </cell>
          <cell r="M482">
            <v>0</v>
          </cell>
          <cell r="P482">
            <v>9694119106</v>
          </cell>
        </row>
        <row r="483">
          <cell r="C483">
            <v>0</v>
          </cell>
          <cell r="D483">
            <v>0</v>
          </cell>
          <cell r="E483">
            <v>200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200</v>
          </cell>
          <cell r="L483">
            <v>0</v>
          </cell>
          <cell r="M483">
            <v>0</v>
          </cell>
          <cell r="P483">
            <v>7742016348</v>
          </cell>
        </row>
        <row r="484">
          <cell r="C484">
            <v>0</v>
          </cell>
          <cell r="D484">
            <v>0</v>
          </cell>
          <cell r="E484">
            <v>200</v>
          </cell>
          <cell r="F484">
            <v>0</v>
          </cell>
          <cell r="G484">
            <v>0</v>
          </cell>
          <cell r="H484">
            <v>0</v>
          </cell>
          <cell r="I484">
            <v>180</v>
          </cell>
          <cell r="J484">
            <v>0</v>
          </cell>
          <cell r="K484">
            <v>380</v>
          </cell>
          <cell r="L484">
            <v>18000</v>
          </cell>
          <cell r="M484">
            <v>1</v>
          </cell>
          <cell r="P484">
            <v>7742016348</v>
          </cell>
        </row>
        <row r="485">
          <cell r="C485">
            <v>0</v>
          </cell>
          <cell r="D485">
            <v>0</v>
          </cell>
          <cell r="E485">
            <v>200</v>
          </cell>
          <cell r="F485">
            <v>0</v>
          </cell>
          <cell r="G485">
            <v>0</v>
          </cell>
          <cell r="H485">
            <v>0</v>
          </cell>
          <cell r="I485">
            <v>170</v>
          </cell>
          <cell r="J485">
            <v>0</v>
          </cell>
          <cell r="K485">
            <v>370</v>
          </cell>
          <cell r="L485">
            <v>17000</v>
          </cell>
          <cell r="M485">
            <v>1</v>
          </cell>
          <cell r="P485">
            <v>7742016348</v>
          </cell>
        </row>
        <row r="486">
          <cell r="C486">
            <v>0</v>
          </cell>
          <cell r="D486">
            <v>19934</v>
          </cell>
          <cell r="E486">
            <v>4400</v>
          </cell>
          <cell r="F486">
            <v>3301</v>
          </cell>
          <cell r="G486">
            <v>19000</v>
          </cell>
          <cell r="H486">
            <v>21616</v>
          </cell>
          <cell r="I486">
            <v>3040</v>
          </cell>
          <cell r="J486">
            <v>0</v>
          </cell>
          <cell r="K486">
            <v>51357</v>
          </cell>
          <cell r="L486">
            <v>19000</v>
          </cell>
          <cell r="M486">
            <v>25</v>
          </cell>
          <cell r="P486">
            <v>8562053661</v>
          </cell>
        </row>
        <row r="487">
          <cell r="C487">
            <v>0</v>
          </cell>
          <cell r="D487">
            <v>19879</v>
          </cell>
          <cell r="E487">
            <v>4400</v>
          </cell>
          <cell r="F487">
            <v>3233</v>
          </cell>
          <cell r="G487">
            <v>19000</v>
          </cell>
          <cell r="H487">
            <v>21616</v>
          </cell>
          <cell r="I487">
            <v>3040</v>
          </cell>
          <cell r="J487">
            <v>0</v>
          </cell>
          <cell r="K487">
            <v>51289</v>
          </cell>
          <cell r="L487">
            <v>19000</v>
          </cell>
          <cell r="M487">
            <v>25</v>
          </cell>
          <cell r="P487">
            <v>8562053661</v>
          </cell>
        </row>
        <row r="488">
          <cell r="C488">
            <v>0</v>
          </cell>
          <cell r="D488">
            <v>7671</v>
          </cell>
          <cell r="E488">
            <v>4842</v>
          </cell>
          <cell r="F488">
            <v>4154</v>
          </cell>
          <cell r="G488">
            <v>4212</v>
          </cell>
          <cell r="H488">
            <v>5435</v>
          </cell>
          <cell r="I488">
            <v>672</v>
          </cell>
          <cell r="J488">
            <v>0</v>
          </cell>
          <cell r="K488">
            <v>19315</v>
          </cell>
          <cell r="L488">
            <v>4212</v>
          </cell>
          <cell r="M488">
            <v>22</v>
          </cell>
          <cell r="P488">
            <v>8562053661</v>
          </cell>
        </row>
        <row r="489">
          <cell r="C489">
            <v>1000</v>
          </cell>
          <cell r="D489">
            <v>0</v>
          </cell>
          <cell r="E489">
            <v>0</v>
          </cell>
          <cell r="F489">
            <v>0</v>
          </cell>
          <cell r="G489">
            <v>580</v>
          </cell>
          <cell r="H489">
            <v>0</v>
          </cell>
          <cell r="I489">
            <v>166</v>
          </cell>
          <cell r="J489">
            <v>0</v>
          </cell>
          <cell r="K489">
            <v>746</v>
          </cell>
          <cell r="L489">
            <v>16580</v>
          </cell>
          <cell r="M489">
            <v>14</v>
          </cell>
          <cell r="P489">
            <v>8003247594</v>
          </cell>
        </row>
        <row r="490">
          <cell r="C490">
            <v>1000</v>
          </cell>
          <cell r="D490">
            <v>0</v>
          </cell>
          <cell r="E490">
            <v>0</v>
          </cell>
          <cell r="F490">
            <v>0</v>
          </cell>
          <cell r="G490">
            <v>958</v>
          </cell>
          <cell r="H490">
            <v>0</v>
          </cell>
          <cell r="I490">
            <v>170</v>
          </cell>
          <cell r="J490">
            <v>0</v>
          </cell>
          <cell r="K490">
            <v>1128</v>
          </cell>
          <cell r="L490">
            <v>16958</v>
          </cell>
          <cell r="M490">
            <v>14</v>
          </cell>
          <cell r="P490">
            <v>8003247594</v>
          </cell>
        </row>
        <row r="491">
          <cell r="C491">
            <v>21000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166</v>
          </cell>
          <cell r="J491">
            <v>0</v>
          </cell>
          <cell r="K491">
            <v>166</v>
          </cell>
          <cell r="L491">
            <v>16623</v>
          </cell>
          <cell r="M491">
            <v>9</v>
          </cell>
          <cell r="P491">
            <v>9929835949</v>
          </cell>
        </row>
        <row r="492">
          <cell r="C492">
            <v>0</v>
          </cell>
          <cell r="D492">
            <v>0</v>
          </cell>
          <cell r="E492">
            <v>200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200</v>
          </cell>
          <cell r="L492">
            <v>0</v>
          </cell>
          <cell r="M492">
            <v>0</v>
          </cell>
          <cell r="P492">
            <v>9929835949</v>
          </cell>
        </row>
        <row r="493">
          <cell r="C493">
            <v>0</v>
          </cell>
          <cell r="D493">
            <v>0</v>
          </cell>
          <cell r="E493">
            <v>200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200</v>
          </cell>
          <cell r="L493">
            <v>0</v>
          </cell>
          <cell r="M493">
            <v>0</v>
          </cell>
          <cell r="P493">
            <v>9929835949</v>
          </cell>
        </row>
        <row r="494">
          <cell r="C494">
            <v>0</v>
          </cell>
          <cell r="D494">
            <v>0</v>
          </cell>
          <cell r="E494">
            <v>200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200</v>
          </cell>
          <cell r="L494">
            <v>0</v>
          </cell>
          <cell r="M494">
            <v>0</v>
          </cell>
          <cell r="P494">
            <v>9929835949</v>
          </cell>
        </row>
        <row r="495">
          <cell r="C495">
            <v>0</v>
          </cell>
          <cell r="D495">
            <v>0</v>
          </cell>
          <cell r="E495">
            <v>200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200</v>
          </cell>
          <cell r="L495">
            <v>0</v>
          </cell>
          <cell r="M495">
            <v>0</v>
          </cell>
          <cell r="P495">
            <v>9929835949</v>
          </cell>
        </row>
        <row r="496">
          <cell r="C496">
            <v>1000</v>
          </cell>
          <cell r="D496">
            <v>0</v>
          </cell>
          <cell r="E496">
            <v>0</v>
          </cell>
          <cell r="F496">
            <v>0</v>
          </cell>
          <cell r="G496">
            <v>1000</v>
          </cell>
          <cell r="H496">
            <v>0</v>
          </cell>
          <cell r="I496">
            <v>230</v>
          </cell>
          <cell r="J496">
            <v>0</v>
          </cell>
          <cell r="K496">
            <v>1230</v>
          </cell>
          <cell r="L496">
            <v>23000</v>
          </cell>
          <cell r="M496">
            <v>8</v>
          </cell>
          <cell r="P496">
            <v>9509694070</v>
          </cell>
        </row>
        <row r="497">
          <cell r="C497">
            <v>1000</v>
          </cell>
          <cell r="D497">
            <v>0</v>
          </cell>
          <cell r="E497">
            <v>0</v>
          </cell>
          <cell r="F497">
            <v>0</v>
          </cell>
          <cell r="G497">
            <v>1000</v>
          </cell>
          <cell r="H497">
            <v>0</v>
          </cell>
          <cell r="I497">
            <v>230</v>
          </cell>
          <cell r="J497">
            <v>0</v>
          </cell>
          <cell r="K497">
            <v>1230</v>
          </cell>
          <cell r="L497">
            <v>23000</v>
          </cell>
          <cell r="M497">
            <v>8</v>
          </cell>
          <cell r="P497">
            <v>9509694070</v>
          </cell>
        </row>
        <row r="498">
          <cell r="C498">
            <v>500</v>
          </cell>
          <cell r="D498">
            <v>0</v>
          </cell>
          <cell r="E498">
            <v>200</v>
          </cell>
          <cell r="F498">
            <v>0</v>
          </cell>
          <cell r="G498">
            <v>500</v>
          </cell>
          <cell r="H498">
            <v>0</v>
          </cell>
          <cell r="I498">
            <v>165</v>
          </cell>
          <cell r="J498">
            <v>0</v>
          </cell>
          <cell r="K498">
            <v>865</v>
          </cell>
          <cell r="L498">
            <v>16500</v>
          </cell>
          <cell r="M498">
            <v>8</v>
          </cell>
          <cell r="P498">
            <v>9509694070</v>
          </cell>
        </row>
        <row r="499">
          <cell r="C499">
            <v>500</v>
          </cell>
          <cell r="D499">
            <v>0</v>
          </cell>
          <cell r="E499">
            <v>200</v>
          </cell>
          <cell r="F499">
            <v>0</v>
          </cell>
          <cell r="G499">
            <v>0</v>
          </cell>
          <cell r="H499">
            <v>0</v>
          </cell>
          <cell r="I499">
            <v>149</v>
          </cell>
          <cell r="J499">
            <v>0</v>
          </cell>
          <cell r="K499">
            <v>349</v>
          </cell>
          <cell r="L499">
            <v>14926</v>
          </cell>
          <cell r="M499">
            <v>8</v>
          </cell>
          <cell r="P499">
            <v>9509694070</v>
          </cell>
        </row>
        <row r="500">
          <cell r="C500">
            <v>500</v>
          </cell>
          <cell r="D500">
            <v>0</v>
          </cell>
          <cell r="E500">
            <v>200</v>
          </cell>
          <cell r="F500">
            <v>0</v>
          </cell>
          <cell r="G500">
            <v>500</v>
          </cell>
          <cell r="H500">
            <v>0</v>
          </cell>
          <cell r="I500">
            <v>165</v>
          </cell>
          <cell r="J500">
            <v>0</v>
          </cell>
          <cell r="K500">
            <v>865</v>
          </cell>
          <cell r="L500">
            <v>16500</v>
          </cell>
          <cell r="M500">
            <v>8</v>
          </cell>
          <cell r="P500">
            <v>9509694070</v>
          </cell>
        </row>
        <row r="501">
          <cell r="C501">
            <v>500</v>
          </cell>
          <cell r="D501">
            <v>0</v>
          </cell>
          <cell r="E501">
            <v>200</v>
          </cell>
          <cell r="F501">
            <v>0</v>
          </cell>
          <cell r="G501">
            <v>423</v>
          </cell>
          <cell r="H501">
            <v>0</v>
          </cell>
          <cell r="I501">
            <v>84</v>
          </cell>
          <cell r="J501">
            <v>0</v>
          </cell>
          <cell r="K501">
            <v>707</v>
          </cell>
          <cell r="L501">
            <v>8423</v>
          </cell>
          <cell r="M501">
            <v>24</v>
          </cell>
          <cell r="P501">
            <v>9785280999</v>
          </cell>
        </row>
        <row r="502">
          <cell r="C502">
            <v>0</v>
          </cell>
          <cell r="D502">
            <v>0</v>
          </cell>
          <cell r="E502">
            <v>200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200</v>
          </cell>
          <cell r="L502">
            <v>0</v>
          </cell>
          <cell r="M502">
            <v>0</v>
          </cell>
          <cell r="P502">
            <v>8949159299</v>
          </cell>
        </row>
        <row r="503">
          <cell r="C503">
            <v>2000</v>
          </cell>
          <cell r="D503">
            <v>0</v>
          </cell>
          <cell r="E503">
            <v>200</v>
          </cell>
          <cell r="F503">
            <v>0</v>
          </cell>
          <cell r="G503">
            <v>2000</v>
          </cell>
          <cell r="H503">
            <v>0</v>
          </cell>
          <cell r="I503">
            <v>120</v>
          </cell>
          <cell r="J503">
            <v>0</v>
          </cell>
          <cell r="K503">
            <v>2320</v>
          </cell>
          <cell r="L503">
            <v>12000</v>
          </cell>
          <cell r="M503">
            <v>5</v>
          </cell>
          <cell r="P503">
            <v>8949159299</v>
          </cell>
        </row>
        <row r="504">
          <cell r="C504">
            <v>2000</v>
          </cell>
          <cell r="D504">
            <v>0</v>
          </cell>
          <cell r="E504">
            <v>200</v>
          </cell>
          <cell r="F504">
            <v>0</v>
          </cell>
          <cell r="G504">
            <v>1937</v>
          </cell>
          <cell r="H504">
            <v>0</v>
          </cell>
          <cell r="I504">
            <v>119</v>
          </cell>
          <cell r="J504">
            <v>0</v>
          </cell>
          <cell r="K504">
            <v>2256</v>
          </cell>
          <cell r="L504">
            <v>11937</v>
          </cell>
          <cell r="M504">
            <v>5</v>
          </cell>
          <cell r="P504">
            <v>8949159299</v>
          </cell>
        </row>
        <row r="505">
          <cell r="C505">
            <v>500</v>
          </cell>
          <cell r="D505">
            <v>0</v>
          </cell>
          <cell r="E505">
            <v>200</v>
          </cell>
          <cell r="F505">
            <v>0</v>
          </cell>
          <cell r="G505">
            <v>500</v>
          </cell>
          <cell r="H505">
            <v>0</v>
          </cell>
          <cell r="I505">
            <v>95</v>
          </cell>
          <cell r="J505">
            <v>0</v>
          </cell>
          <cell r="K505">
            <v>795</v>
          </cell>
          <cell r="L505">
            <v>9500</v>
          </cell>
          <cell r="M505">
            <v>22</v>
          </cell>
          <cell r="P505">
            <v>9680688645</v>
          </cell>
        </row>
        <row r="506">
          <cell r="C506">
            <v>500</v>
          </cell>
          <cell r="D506">
            <v>0</v>
          </cell>
          <cell r="E506">
            <v>200</v>
          </cell>
          <cell r="F506">
            <v>0</v>
          </cell>
          <cell r="G506">
            <v>500</v>
          </cell>
          <cell r="H506">
            <v>0</v>
          </cell>
          <cell r="I506">
            <v>95</v>
          </cell>
          <cell r="J506">
            <v>0</v>
          </cell>
          <cell r="K506">
            <v>795</v>
          </cell>
          <cell r="L506">
            <v>9500</v>
          </cell>
          <cell r="M506">
            <v>22</v>
          </cell>
          <cell r="P506">
            <v>9680688645</v>
          </cell>
        </row>
        <row r="507">
          <cell r="C507">
            <v>500</v>
          </cell>
          <cell r="D507">
            <v>0</v>
          </cell>
          <cell r="E507">
            <v>200</v>
          </cell>
          <cell r="F507">
            <v>0</v>
          </cell>
          <cell r="G507">
            <v>500</v>
          </cell>
          <cell r="H507">
            <v>0</v>
          </cell>
          <cell r="I507">
            <v>95</v>
          </cell>
          <cell r="J507">
            <v>0</v>
          </cell>
          <cell r="K507">
            <v>795</v>
          </cell>
          <cell r="L507">
            <v>9500</v>
          </cell>
          <cell r="M507">
            <v>22</v>
          </cell>
          <cell r="P507">
            <v>9680688645</v>
          </cell>
        </row>
        <row r="508">
          <cell r="C508">
            <v>500</v>
          </cell>
          <cell r="D508">
            <v>0</v>
          </cell>
          <cell r="E508">
            <v>200</v>
          </cell>
          <cell r="F508">
            <v>0</v>
          </cell>
          <cell r="G508">
            <v>500</v>
          </cell>
          <cell r="H508">
            <v>0</v>
          </cell>
          <cell r="I508">
            <v>95</v>
          </cell>
          <cell r="J508">
            <v>0</v>
          </cell>
          <cell r="K508">
            <v>795</v>
          </cell>
          <cell r="L508">
            <v>9500</v>
          </cell>
          <cell r="M508">
            <v>22</v>
          </cell>
          <cell r="P508">
            <v>9680688645</v>
          </cell>
        </row>
        <row r="509">
          <cell r="C509">
            <v>500</v>
          </cell>
          <cell r="D509">
            <v>0</v>
          </cell>
          <cell r="E509">
            <v>200</v>
          </cell>
          <cell r="F509">
            <v>0</v>
          </cell>
          <cell r="G509">
            <v>0</v>
          </cell>
          <cell r="H509">
            <v>0</v>
          </cell>
          <cell r="I509">
            <v>41</v>
          </cell>
          <cell r="J509">
            <v>0</v>
          </cell>
          <cell r="K509">
            <v>241</v>
          </cell>
          <cell r="L509">
            <v>4064</v>
          </cell>
          <cell r="M509">
            <v>22</v>
          </cell>
          <cell r="P509">
            <v>9680688645</v>
          </cell>
        </row>
        <row r="510">
          <cell r="C510">
            <v>0</v>
          </cell>
          <cell r="D510">
            <v>0</v>
          </cell>
          <cell r="E510">
            <v>200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200</v>
          </cell>
          <cell r="L510">
            <v>0</v>
          </cell>
          <cell r="M510">
            <v>0</v>
          </cell>
          <cell r="P510">
            <v>9352230042</v>
          </cell>
        </row>
        <row r="511">
          <cell r="C511">
            <v>0</v>
          </cell>
          <cell r="D511">
            <v>0</v>
          </cell>
          <cell r="E511">
            <v>200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200</v>
          </cell>
          <cell r="L511">
            <v>0</v>
          </cell>
          <cell r="M511">
            <v>0</v>
          </cell>
          <cell r="P511">
            <v>9352230042</v>
          </cell>
        </row>
        <row r="512">
          <cell r="C512">
            <v>0</v>
          </cell>
          <cell r="D512">
            <v>0</v>
          </cell>
          <cell r="E512">
            <v>989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989</v>
          </cell>
          <cell r="L512">
            <v>0</v>
          </cell>
          <cell r="M512">
            <v>0</v>
          </cell>
          <cell r="P512">
            <v>9782135618</v>
          </cell>
        </row>
        <row r="513">
          <cell r="C513">
            <v>1500</v>
          </cell>
          <cell r="D513">
            <v>0</v>
          </cell>
          <cell r="E513">
            <v>0</v>
          </cell>
          <cell r="F513">
            <v>0</v>
          </cell>
          <cell r="G513">
            <v>1500</v>
          </cell>
          <cell r="H513">
            <v>0</v>
          </cell>
          <cell r="I513">
            <v>300</v>
          </cell>
          <cell r="J513">
            <v>0</v>
          </cell>
          <cell r="K513">
            <v>1800</v>
          </cell>
          <cell r="L513">
            <v>30000</v>
          </cell>
          <cell r="M513">
            <v>1</v>
          </cell>
          <cell r="P513">
            <v>8741978113</v>
          </cell>
        </row>
        <row r="514">
          <cell r="C514">
            <v>1500</v>
          </cell>
          <cell r="D514">
            <v>0</v>
          </cell>
          <cell r="E514">
            <v>0</v>
          </cell>
          <cell r="F514">
            <v>0</v>
          </cell>
          <cell r="G514">
            <v>1500</v>
          </cell>
          <cell r="H514">
            <v>0</v>
          </cell>
          <cell r="I514">
            <v>300</v>
          </cell>
          <cell r="J514">
            <v>0</v>
          </cell>
          <cell r="K514">
            <v>1800</v>
          </cell>
          <cell r="L514">
            <v>30000</v>
          </cell>
          <cell r="M514">
            <v>1</v>
          </cell>
          <cell r="P514">
            <v>8741978113</v>
          </cell>
        </row>
        <row r="515">
          <cell r="C515">
            <v>1500</v>
          </cell>
          <cell r="D515">
            <v>0</v>
          </cell>
          <cell r="E515">
            <v>0</v>
          </cell>
          <cell r="F515">
            <v>0</v>
          </cell>
          <cell r="G515">
            <v>1500</v>
          </cell>
          <cell r="H515">
            <v>0</v>
          </cell>
          <cell r="I515">
            <v>300</v>
          </cell>
          <cell r="J515">
            <v>0</v>
          </cell>
          <cell r="K515">
            <v>1800</v>
          </cell>
          <cell r="L515">
            <v>30000</v>
          </cell>
          <cell r="M515">
            <v>1</v>
          </cell>
          <cell r="P515">
            <v>8741978113</v>
          </cell>
        </row>
        <row r="516">
          <cell r="C516">
            <v>1500</v>
          </cell>
          <cell r="D516">
            <v>0</v>
          </cell>
          <cell r="E516">
            <v>0</v>
          </cell>
          <cell r="F516">
            <v>0</v>
          </cell>
          <cell r="G516">
            <v>1500</v>
          </cell>
          <cell r="H516">
            <v>0</v>
          </cell>
          <cell r="I516">
            <v>300</v>
          </cell>
          <cell r="J516">
            <v>0</v>
          </cell>
          <cell r="K516">
            <v>1800</v>
          </cell>
          <cell r="L516">
            <v>30000</v>
          </cell>
          <cell r="M516">
            <v>1</v>
          </cell>
          <cell r="P516">
            <v>8741978113</v>
          </cell>
        </row>
        <row r="517">
          <cell r="C517">
            <v>0</v>
          </cell>
          <cell r="D517">
            <v>0</v>
          </cell>
          <cell r="E517">
            <v>200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200</v>
          </cell>
          <cell r="L517">
            <v>0</v>
          </cell>
          <cell r="M517">
            <v>0</v>
          </cell>
          <cell r="P517">
            <v>8003245618</v>
          </cell>
        </row>
        <row r="518">
          <cell r="C518">
            <v>0</v>
          </cell>
          <cell r="D518">
            <v>0</v>
          </cell>
          <cell r="E518">
            <v>200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200</v>
          </cell>
          <cell r="L518">
            <v>0</v>
          </cell>
          <cell r="M518">
            <v>0</v>
          </cell>
          <cell r="P518">
            <v>8003245618</v>
          </cell>
        </row>
        <row r="519">
          <cell r="C519">
            <v>200</v>
          </cell>
          <cell r="D519">
            <v>0</v>
          </cell>
          <cell r="E519">
            <v>200</v>
          </cell>
          <cell r="F519">
            <v>0</v>
          </cell>
          <cell r="G519">
            <v>200</v>
          </cell>
          <cell r="H519">
            <v>0</v>
          </cell>
          <cell r="I519">
            <v>246</v>
          </cell>
          <cell r="J519">
            <v>0</v>
          </cell>
          <cell r="K519">
            <v>646</v>
          </cell>
          <cell r="L519">
            <v>24600</v>
          </cell>
          <cell r="M519">
            <v>28</v>
          </cell>
          <cell r="P519">
            <v>9929194619</v>
          </cell>
        </row>
        <row r="520">
          <cell r="C520">
            <v>200</v>
          </cell>
          <cell r="D520">
            <v>0</v>
          </cell>
          <cell r="E520">
            <v>200</v>
          </cell>
          <cell r="F520">
            <v>0</v>
          </cell>
          <cell r="G520">
            <v>200</v>
          </cell>
          <cell r="H520">
            <v>0</v>
          </cell>
          <cell r="I520">
            <v>246</v>
          </cell>
          <cell r="J520">
            <v>0</v>
          </cell>
          <cell r="K520">
            <v>646</v>
          </cell>
          <cell r="L520">
            <v>24600</v>
          </cell>
          <cell r="M520">
            <v>28</v>
          </cell>
          <cell r="P520">
            <v>9929194619</v>
          </cell>
        </row>
        <row r="521">
          <cell r="C521">
            <v>200</v>
          </cell>
          <cell r="D521">
            <v>0</v>
          </cell>
          <cell r="E521">
            <v>200</v>
          </cell>
          <cell r="F521">
            <v>0</v>
          </cell>
          <cell r="G521">
            <v>200</v>
          </cell>
          <cell r="H521">
            <v>0</v>
          </cell>
          <cell r="I521">
            <v>246</v>
          </cell>
          <cell r="J521">
            <v>0</v>
          </cell>
          <cell r="K521">
            <v>646</v>
          </cell>
          <cell r="L521">
            <v>24600</v>
          </cell>
          <cell r="M521">
            <v>28</v>
          </cell>
          <cell r="P521">
            <v>9929194619</v>
          </cell>
        </row>
        <row r="522">
          <cell r="C522">
            <v>200</v>
          </cell>
          <cell r="D522">
            <v>0</v>
          </cell>
          <cell r="E522">
            <v>200</v>
          </cell>
          <cell r="F522">
            <v>0</v>
          </cell>
          <cell r="G522">
            <v>200</v>
          </cell>
          <cell r="H522">
            <v>0</v>
          </cell>
          <cell r="I522">
            <v>246</v>
          </cell>
          <cell r="J522">
            <v>0</v>
          </cell>
          <cell r="K522">
            <v>646</v>
          </cell>
          <cell r="L522">
            <v>24600</v>
          </cell>
          <cell r="M522">
            <v>28</v>
          </cell>
          <cell r="P522">
            <v>9929194619</v>
          </cell>
        </row>
        <row r="523">
          <cell r="C523">
            <v>200</v>
          </cell>
          <cell r="D523">
            <v>0</v>
          </cell>
          <cell r="E523">
            <v>200</v>
          </cell>
          <cell r="F523">
            <v>0</v>
          </cell>
          <cell r="G523">
            <v>200</v>
          </cell>
          <cell r="H523">
            <v>0</v>
          </cell>
          <cell r="I523">
            <v>246</v>
          </cell>
          <cell r="J523">
            <v>0</v>
          </cell>
          <cell r="K523">
            <v>646</v>
          </cell>
          <cell r="L523">
            <v>24600</v>
          </cell>
          <cell r="M523">
            <v>28</v>
          </cell>
          <cell r="P523">
            <v>9929194619</v>
          </cell>
        </row>
        <row r="524">
          <cell r="C524">
            <v>0</v>
          </cell>
          <cell r="D524">
            <v>0</v>
          </cell>
          <cell r="E524">
            <v>200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200</v>
          </cell>
          <cell r="L524">
            <v>0</v>
          </cell>
          <cell r="M524">
            <v>0</v>
          </cell>
          <cell r="P524">
            <v>9982361246</v>
          </cell>
        </row>
        <row r="525">
          <cell r="C525">
            <v>0</v>
          </cell>
          <cell r="D525">
            <v>0</v>
          </cell>
          <cell r="E525">
            <v>200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200</v>
          </cell>
          <cell r="L525">
            <v>0</v>
          </cell>
          <cell r="M525">
            <v>0</v>
          </cell>
          <cell r="P525">
            <v>9982361246</v>
          </cell>
        </row>
        <row r="526">
          <cell r="C526">
            <v>0</v>
          </cell>
          <cell r="D526">
            <v>0</v>
          </cell>
          <cell r="E526">
            <v>200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200</v>
          </cell>
          <cell r="L526">
            <v>0</v>
          </cell>
          <cell r="M526">
            <v>0</v>
          </cell>
          <cell r="P526">
            <v>9982361246</v>
          </cell>
        </row>
        <row r="527">
          <cell r="C527">
            <v>0</v>
          </cell>
          <cell r="D527">
            <v>0</v>
          </cell>
          <cell r="E527">
            <v>200</v>
          </cell>
          <cell r="F527">
            <v>0</v>
          </cell>
          <cell r="G527">
            <v>0</v>
          </cell>
          <cell r="H527">
            <v>154</v>
          </cell>
          <cell r="I527">
            <v>224</v>
          </cell>
          <cell r="J527">
            <v>0</v>
          </cell>
          <cell r="K527">
            <v>578</v>
          </cell>
          <cell r="L527">
            <v>21000</v>
          </cell>
          <cell r="M527">
            <v>1</v>
          </cell>
          <cell r="P527">
            <v>9982361246</v>
          </cell>
        </row>
        <row r="528">
          <cell r="C528">
            <v>0</v>
          </cell>
          <cell r="D528">
            <v>0</v>
          </cell>
          <cell r="E528">
            <v>200</v>
          </cell>
          <cell r="F528">
            <v>0</v>
          </cell>
          <cell r="G528">
            <v>0</v>
          </cell>
          <cell r="H528">
            <v>152</v>
          </cell>
          <cell r="I528">
            <v>144</v>
          </cell>
          <cell r="J528">
            <v>0</v>
          </cell>
          <cell r="K528">
            <v>496</v>
          </cell>
          <cell r="L528">
            <v>12970</v>
          </cell>
          <cell r="M528">
            <v>1</v>
          </cell>
          <cell r="P528">
            <v>9982361246</v>
          </cell>
        </row>
        <row r="529">
          <cell r="C529">
            <v>200</v>
          </cell>
          <cell r="D529">
            <v>0</v>
          </cell>
          <cell r="E529">
            <v>200</v>
          </cell>
          <cell r="F529">
            <v>0</v>
          </cell>
          <cell r="G529">
            <v>200</v>
          </cell>
          <cell r="H529">
            <v>0</v>
          </cell>
          <cell r="I529">
            <v>246</v>
          </cell>
          <cell r="J529">
            <v>0</v>
          </cell>
          <cell r="K529">
            <v>646</v>
          </cell>
          <cell r="L529">
            <v>24600</v>
          </cell>
          <cell r="M529">
            <v>28</v>
          </cell>
          <cell r="P529">
            <v>9664229613</v>
          </cell>
        </row>
        <row r="530">
          <cell r="C530">
            <v>200</v>
          </cell>
          <cell r="D530">
            <v>0</v>
          </cell>
          <cell r="E530">
            <v>200</v>
          </cell>
          <cell r="F530">
            <v>0</v>
          </cell>
          <cell r="G530">
            <v>0</v>
          </cell>
          <cell r="H530">
            <v>0</v>
          </cell>
          <cell r="I530">
            <v>231</v>
          </cell>
          <cell r="J530">
            <v>0</v>
          </cell>
          <cell r="K530">
            <v>431</v>
          </cell>
          <cell r="L530">
            <v>23100</v>
          </cell>
          <cell r="M530">
            <v>28</v>
          </cell>
          <cell r="P530">
            <v>9664229613</v>
          </cell>
        </row>
        <row r="531">
          <cell r="C531">
            <v>200</v>
          </cell>
          <cell r="D531">
            <v>0</v>
          </cell>
          <cell r="E531">
            <v>200</v>
          </cell>
          <cell r="F531">
            <v>0</v>
          </cell>
          <cell r="G531">
            <v>0</v>
          </cell>
          <cell r="H531">
            <v>0</v>
          </cell>
          <cell r="I531">
            <v>130</v>
          </cell>
          <cell r="J531">
            <v>0</v>
          </cell>
          <cell r="K531">
            <v>330</v>
          </cell>
          <cell r="L531">
            <v>12999</v>
          </cell>
          <cell r="M531">
            <v>28</v>
          </cell>
          <cell r="P531">
            <v>9664229613</v>
          </cell>
        </row>
        <row r="532">
          <cell r="C532">
            <v>200</v>
          </cell>
          <cell r="D532">
            <v>0</v>
          </cell>
          <cell r="E532">
            <v>200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200</v>
          </cell>
          <cell r="L532">
            <v>0</v>
          </cell>
          <cell r="M532">
            <v>0</v>
          </cell>
          <cell r="P532">
            <v>9664229613</v>
          </cell>
        </row>
        <row r="533">
          <cell r="C533">
            <v>500</v>
          </cell>
          <cell r="D533">
            <v>0</v>
          </cell>
          <cell r="E533">
            <v>200</v>
          </cell>
          <cell r="F533">
            <v>0</v>
          </cell>
          <cell r="G533">
            <v>0</v>
          </cell>
          <cell r="H533">
            <v>0</v>
          </cell>
          <cell r="I533">
            <v>507</v>
          </cell>
          <cell r="J533">
            <v>0</v>
          </cell>
          <cell r="K533">
            <v>707</v>
          </cell>
          <cell r="L533">
            <v>50734</v>
          </cell>
          <cell r="M533">
            <v>5</v>
          </cell>
          <cell r="P533">
            <v>9664229613</v>
          </cell>
        </row>
        <row r="534">
          <cell r="C534">
            <v>500</v>
          </cell>
          <cell r="D534">
            <v>0</v>
          </cell>
          <cell r="E534">
            <v>200</v>
          </cell>
          <cell r="F534">
            <v>0</v>
          </cell>
          <cell r="G534">
            <v>500</v>
          </cell>
          <cell r="H534">
            <v>0</v>
          </cell>
          <cell r="I534">
            <v>580</v>
          </cell>
          <cell r="J534">
            <v>0</v>
          </cell>
          <cell r="K534">
            <v>1280</v>
          </cell>
          <cell r="L534">
            <v>58000</v>
          </cell>
          <cell r="M534">
            <v>5</v>
          </cell>
          <cell r="P534">
            <v>9664229613</v>
          </cell>
        </row>
        <row r="535">
          <cell r="C535">
            <v>500</v>
          </cell>
          <cell r="D535">
            <v>0</v>
          </cell>
          <cell r="E535">
            <v>200</v>
          </cell>
          <cell r="F535">
            <v>0</v>
          </cell>
          <cell r="G535">
            <v>500</v>
          </cell>
          <cell r="H535">
            <v>0</v>
          </cell>
          <cell r="I535">
            <v>480</v>
          </cell>
          <cell r="J535">
            <v>0</v>
          </cell>
          <cell r="K535">
            <v>1180</v>
          </cell>
          <cell r="L535">
            <v>48000</v>
          </cell>
          <cell r="M535">
            <v>5</v>
          </cell>
          <cell r="P535">
            <v>9664229613</v>
          </cell>
        </row>
        <row r="536">
          <cell r="C536">
            <v>250</v>
          </cell>
          <cell r="D536">
            <v>0</v>
          </cell>
          <cell r="E536">
            <v>200</v>
          </cell>
          <cell r="F536">
            <v>0</v>
          </cell>
          <cell r="G536">
            <v>0</v>
          </cell>
          <cell r="H536">
            <v>0</v>
          </cell>
          <cell r="I536">
            <v>485</v>
          </cell>
          <cell r="J536">
            <v>0</v>
          </cell>
          <cell r="K536">
            <v>685</v>
          </cell>
          <cell r="L536">
            <v>48500</v>
          </cell>
          <cell r="M536">
            <v>5</v>
          </cell>
          <cell r="P536">
            <v>9664229613</v>
          </cell>
        </row>
        <row r="537">
          <cell r="C537">
            <v>250</v>
          </cell>
          <cell r="D537">
            <v>0</v>
          </cell>
          <cell r="E537">
            <v>200</v>
          </cell>
          <cell r="F537">
            <v>0</v>
          </cell>
          <cell r="G537">
            <v>0</v>
          </cell>
          <cell r="H537">
            <v>0</v>
          </cell>
          <cell r="I537">
            <v>485</v>
          </cell>
          <cell r="J537">
            <v>0</v>
          </cell>
          <cell r="K537">
            <v>685</v>
          </cell>
          <cell r="L537">
            <v>48500</v>
          </cell>
          <cell r="M537">
            <v>5</v>
          </cell>
          <cell r="P537">
            <v>9664229613</v>
          </cell>
        </row>
        <row r="538">
          <cell r="C538">
            <v>250</v>
          </cell>
          <cell r="D538">
            <v>0</v>
          </cell>
          <cell r="E538">
            <v>200</v>
          </cell>
          <cell r="F538">
            <v>0</v>
          </cell>
          <cell r="G538">
            <v>0</v>
          </cell>
          <cell r="H538">
            <v>0</v>
          </cell>
          <cell r="I538">
            <v>485</v>
          </cell>
          <cell r="J538">
            <v>0</v>
          </cell>
          <cell r="K538">
            <v>685</v>
          </cell>
          <cell r="L538">
            <v>48500</v>
          </cell>
          <cell r="M538">
            <v>5</v>
          </cell>
          <cell r="P538">
            <v>9664229613</v>
          </cell>
        </row>
        <row r="539">
          <cell r="C539">
            <v>0</v>
          </cell>
          <cell r="D539">
            <v>4076</v>
          </cell>
          <cell r="E539">
            <v>5368</v>
          </cell>
          <cell r="F539">
            <v>5434</v>
          </cell>
          <cell r="G539">
            <v>0</v>
          </cell>
          <cell r="H539">
            <v>0</v>
          </cell>
          <cell r="I539">
            <v>1796</v>
          </cell>
          <cell r="J539">
            <v>200</v>
          </cell>
          <cell r="K539">
            <v>12798</v>
          </cell>
          <cell r="L539">
            <v>8756</v>
          </cell>
          <cell r="M539">
            <v>28</v>
          </cell>
          <cell r="P539">
            <v>935113848530</v>
          </cell>
        </row>
        <row r="540">
          <cell r="C540">
            <v>500</v>
          </cell>
          <cell r="D540">
            <v>0</v>
          </cell>
          <cell r="E540">
            <v>0</v>
          </cell>
          <cell r="F540">
            <v>0</v>
          </cell>
          <cell r="G540">
            <v>500</v>
          </cell>
          <cell r="H540">
            <v>0</v>
          </cell>
          <cell r="I540">
            <v>250</v>
          </cell>
          <cell r="J540">
            <v>0</v>
          </cell>
          <cell r="K540">
            <v>750</v>
          </cell>
          <cell r="L540">
            <v>25000</v>
          </cell>
          <cell r="M540">
            <v>11</v>
          </cell>
          <cell r="P540">
            <v>9680409946</v>
          </cell>
        </row>
        <row r="541">
          <cell r="C541">
            <v>1000</v>
          </cell>
          <cell r="D541">
            <v>0</v>
          </cell>
          <cell r="E541">
            <v>0</v>
          </cell>
          <cell r="F541">
            <v>0</v>
          </cell>
          <cell r="G541">
            <v>1000</v>
          </cell>
          <cell r="H541">
            <v>0</v>
          </cell>
          <cell r="I541">
            <v>0</v>
          </cell>
          <cell r="J541">
            <v>0</v>
          </cell>
          <cell r="K541">
            <v>1000</v>
          </cell>
          <cell r="L541">
            <v>30000</v>
          </cell>
          <cell r="M541">
            <v>1</v>
          </cell>
          <cell r="P541">
            <v>9680409946</v>
          </cell>
        </row>
        <row r="542">
          <cell r="C542">
            <v>1000</v>
          </cell>
          <cell r="D542">
            <v>0</v>
          </cell>
          <cell r="E542">
            <v>0</v>
          </cell>
          <cell r="F542">
            <v>0</v>
          </cell>
          <cell r="G542">
            <v>1000</v>
          </cell>
          <cell r="H542">
            <v>0</v>
          </cell>
          <cell r="I542">
            <v>240</v>
          </cell>
          <cell r="J542">
            <v>0</v>
          </cell>
          <cell r="K542">
            <v>1240</v>
          </cell>
          <cell r="L542">
            <v>24000</v>
          </cell>
          <cell r="M542">
            <v>7</v>
          </cell>
          <cell r="P542">
            <v>9680409946</v>
          </cell>
        </row>
        <row r="543">
          <cell r="C543">
            <v>500</v>
          </cell>
          <cell r="D543">
            <v>0</v>
          </cell>
          <cell r="E543">
            <v>200</v>
          </cell>
          <cell r="F543">
            <v>0</v>
          </cell>
          <cell r="G543">
            <v>477</v>
          </cell>
          <cell r="H543">
            <v>0</v>
          </cell>
          <cell r="I543">
            <v>170</v>
          </cell>
          <cell r="J543">
            <v>0</v>
          </cell>
          <cell r="K543">
            <v>847</v>
          </cell>
          <cell r="L543">
            <v>16977</v>
          </cell>
          <cell r="M543">
            <v>7</v>
          </cell>
          <cell r="P543">
            <v>9680409946</v>
          </cell>
        </row>
        <row r="544">
          <cell r="C544">
            <v>0</v>
          </cell>
          <cell r="D544">
            <v>17456</v>
          </cell>
          <cell r="E544">
            <v>5582</v>
          </cell>
          <cell r="F544">
            <v>5957</v>
          </cell>
          <cell r="G544">
            <v>0</v>
          </cell>
          <cell r="H544">
            <v>15863</v>
          </cell>
          <cell r="I544">
            <v>14812</v>
          </cell>
          <cell r="J544">
            <v>529</v>
          </cell>
          <cell r="K544">
            <v>42743</v>
          </cell>
          <cell r="L544">
            <v>52900</v>
          </cell>
          <cell r="M544">
            <v>28</v>
          </cell>
          <cell r="P544">
            <v>9829285694</v>
          </cell>
        </row>
        <row r="545">
          <cell r="C545">
            <v>0</v>
          </cell>
          <cell r="D545">
            <v>7789</v>
          </cell>
          <cell r="E545">
            <v>5569</v>
          </cell>
          <cell r="F545">
            <v>5925</v>
          </cell>
          <cell r="G545">
            <v>0</v>
          </cell>
          <cell r="H545">
            <v>3811</v>
          </cell>
          <cell r="I545">
            <v>3556</v>
          </cell>
          <cell r="J545">
            <v>127</v>
          </cell>
          <cell r="K545">
            <v>18988</v>
          </cell>
          <cell r="L545">
            <v>12700</v>
          </cell>
          <cell r="M545">
            <v>28</v>
          </cell>
          <cell r="P545">
            <v>9887814589</v>
          </cell>
        </row>
        <row r="546">
          <cell r="C546">
            <v>0</v>
          </cell>
          <cell r="D546">
            <v>0</v>
          </cell>
          <cell r="E546">
            <v>200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200</v>
          </cell>
          <cell r="L546">
            <v>0</v>
          </cell>
          <cell r="M546">
            <v>0</v>
          </cell>
          <cell r="P546">
            <v>9928410700</v>
          </cell>
        </row>
        <row r="547">
          <cell r="C547">
            <v>0</v>
          </cell>
          <cell r="D547">
            <v>0</v>
          </cell>
          <cell r="E547">
            <v>200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200</v>
          </cell>
          <cell r="L547">
            <v>0</v>
          </cell>
          <cell r="M547">
            <v>0</v>
          </cell>
          <cell r="P547">
            <v>9529285842</v>
          </cell>
        </row>
        <row r="548">
          <cell r="C548">
            <v>0</v>
          </cell>
          <cell r="D548">
            <v>0</v>
          </cell>
          <cell r="E548">
            <v>200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200</v>
          </cell>
          <cell r="L548">
            <v>0</v>
          </cell>
          <cell r="M548">
            <v>0</v>
          </cell>
          <cell r="P548">
            <v>9529285842</v>
          </cell>
        </row>
        <row r="549">
          <cell r="C549">
            <v>0</v>
          </cell>
          <cell r="D549">
            <v>0</v>
          </cell>
          <cell r="E549">
            <v>200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200</v>
          </cell>
          <cell r="L549">
            <v>0</v>
          </cell>
          <cell r="M549">
            <v>0</v>
          </cell>
          <cell r="P549">
            <v>9529285842</v>
          </cell>
        </row>
        <row r="550">
          <cell r="C550">
            <v>1000</v>
          </cell>
          <cell r="D550">
            <v>0</v>
          </cell>
          <cell r="E550">
            <v>0</v>
          </cell>
          <cell r="F550">
            <v>0</v>
          </cell>
          <cell r="G550">
            <v>1000</v>
          </cell>
          <cell r="H550">
            <v>0</v>
          </cell>
          <cell r="I550">
            <v>280</v>
          </cell>
          <cell r="J550">
            <v>0</v>
          </cell>
          <cell r="K550">
            <v>1280</v>
          </cell>
          <cell r="L550">
            <v>28000</v>
          </cell>
          <cell r="M550">
            <v>3</v>
          </cell>
          <cell r="P550">
            <v>9351353093</v>
          </cell>
        </row>
        <row r="551">
          <cell r="C551">
            <v>1000</v>
          </cell>
          <cell r="D551">
            <v>0</v>
          </cell>
          <cell r="E551">
            <v>0</v>
          </cell>
          <cell r="F551">
            <v>0</v>
          </cell>
          <cell r="G551">
            <v>1000</v>
          </cell>
          <cell r="H551">
            <v>0</v>
          </cell>
          <cell r="I551">
            <v>280</v>
          </cell>
          <cell r="J551">
            <v>0</v>
          </cell>
          <cell r="K551">
            <v>1280</v>
          </cell>
          <cell r="L551">
            <v>28000</v>
          </cell>
          <cell r="M551">
            <v>3</v>
          </cell>
          <cell r="P551">
            <v>9351353093</v>
          </cell>
        </row>
        <row r="552">
          <cell r="C552">
            <v>1000</v>
          </cell>
          <cell r="D552">
            <v>0</v>
          </cell>
          <cell r="E552">
            <v>0</v>
          </cell>
          <cell r="F552">
            <v>0</v>
          </cell>
          <cell r="G552">
            <v>1000</v>
          </cell>
          <cell r="H552">
            <v>0</v>
          </cell>
          <cell r="I552">
            <v>280</v>
          </cell>
          <cell r="J552">
            <v>0</v>
          </cell>
          <cell r="K552">
            <v>1280</v>
          </cell>
          <cell r="L552">
            <v>28000</v>
          </cell>
          <cell r="M552">
            <v>3</v>
          </cell>
          <cell r="P552">
            <v>9351353093</v>
          </cell>
        </row>
        <row r="553">
          <cell r="C553">
            <v>1000</v>
          </cell>
          <cell r="D553">
            <v>0</v>
          </cell>
          <cell r="E553">
            <v>0</v>
          </cell>
          <cell r="F553">
            <v>0</v>
          </cell>
          <cell r="G553">
            <v>1000</v>
          </cell>
          <cell r="H553">
            <v>0</v>
          </cell>
          <cell r="I553">
            <v>280</v>
          </cell>
          <cell r="J553">
            <v>0</v>
          </cell>
          <cell r="K553">
            <v>1280</v>
          </cell>
          <cell r="L553">
            <v>28000</v>
          </cell>
          <cell r="M553">
            <v>3</v>
          </cell>
          <cell r="P553">
            <v>9351353093</v>
          </cell>
        </row>
        <row r="554">
          <cell r="C554">
            <v>0</v>
          </cell>
          <cell r="D554">
            <v>0</v>
          </cell>
          <cell r="E554">
            <v>200</v>
          </cell>
          <cell r="F554">
            <v>0</v>
          </cell>
          <cell r="G554">
            <v>0</v>
          </cell>
          <cell r="H554">
            <v>0</v>
          </cell>
          <cell r="I554">
            <v>180</v>
          </cell>
          <cell r="J554">
            <v>0</v>
          </cell>
          <cell r="K554">
            <v>380</v>
          </cell>
          <cell r="L554">
            <v>18000</v>
          </cell>
          <cell r="M554">
            <v>2</v>
          </cell>
          <cell r="P554">
            <v>9782865220</v>
          </cell>
        </row>
        <row r="555">
          <cell r="C555">
            <v>0</v>
          </cell>
          <cell r="D555">
            <v>0</v>
          </cell>
          <cell r="E555">
            <v>200</v>
          </cell>
          <cell r="F555">
            <v>0</v>
          </cell>
          <cell r="G555">
            <v>18000</v>
          </cell>
          <cell r="H555">
            <v>0</v>
          </cell>
          <cell r="I555">
            <v>180</v>
          </cell>
          <cell r="J555">
            <v>0</v>
          </cell>
          <cell r="K555">
            <v>18380</v>
          </cell>
          <cell r="L555">
            <v>18000</v>
          </cell>
          <cell r="M555">
            <v>6</v>
          </cell>
          <cell r="P555">
            <v>9782865220</v>
          </cell>
        </row>
        <row r="556"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P556">
            <v>9829708536</v>
          </cell>
        </row>
        <row r="557">
          <cell r="C557">
            <v>0</v>
          </cell>
          <cell r="D557">
            <v>0</v>
          </cell>
          <cell r="E557">
            <v>200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200</v>
          </cell>
          <cell r="L557">
            <v>0</v>
          </cell>
          <cell r="M557">
            <v>0</v>
          </cell>
          <cell r="P557">
            <v>9829708536</v>
          </cell>
        </row>
        <row r="558">
          <cell r="C558">
            <v>0</v>
          </cell>
          <cell r="D558">
            <v>0</v>
          </cell>
          <cell r="E558">
            <v>200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200</v>
          </cell>
          <cell r="L558">
            <v>0</v>
          </cell>
          <cell r="M558">
            <v>0</v>
          </cell>
          <cell r="P558">
            <v>9399047760</v>
          </cell>
        </row>
        <row r="559">
          <cell r="C559">
            <v>0</v>
          </cell>
          <cell r="D559">
            <v>0</v>
          </cell>
          <cell r="E559">
            <v>200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200</v>
          </cell>
          <cell r="L559">
            <v>-80</v>
          </cell>
          <cell r="M559">
            <v>19</v>
          </cell>
          <cell r="P559">
            <v>9399047760</v>
          </cell>
        </row>
        <row r="560">
          <cell r="C560">
            <v>250</v>
          </cell>
          <cell r="D560">
            <v>0</v>
          </cell>
          <cell r="E560">
            <v>200</v>
          </cell>
          <cell r="F560">
            <v>0</v>
          </cell>
          <cell r="G560">
            <v>250</v>
          </cell>
          <cell r="H560">
            <v>0</v>
          </cell>
          <cell r="I560">
            <v>165</v>
          </cell>
          <cell r="J560">
            <v>0</v>
          </cell>
          <cell r="K560">
            <v>615</v>
          </cell>
          <cell r="L560">
            <v>16500</v>
          </cell>
          <cell r="M560">
            <v>15</v>
          </cell>
          <cell r="P560">
            <v>8000025359</v>
          </cell>
        </row>
        <row r="561">
          <cell r="C561">
            <v>900</v>
          </cell>
          <cell r="D561">
            <v>0</v>
          </cell>
          <cell r="E561">
            <v>200</v>
          </cell>
          <cell r="F561">
            <v>0</v>
          </cell>
          <cell r="G561">
            <v>0</v>
          </cell>
          <cell r="H561">
            <v>0</v>
          </cell>
          <cell r="I561">
            <v>75</v>
          </cell>
          <cell r="J561">
            <v>0</v>
          </cell>
          <cell r="K561">
            <v>275</v>
          </cell>
          <cell r="L561">
            <v>7516</v>
          </cell>
          <cell r="M561">
            <v>4</v>
          </cell>
          <cell r="P561">
            <v>8561054892</v>
          </cell>
        </row>
        <row r="562">
          <cell r="C562">
            <v>0</v>
          </cell>
          <cell r="D562">
            <v>5595</v>
          </cell>
          <cell r="E562">
            <v>4401</v>
          </cell>
          <cell r="F562">
            <v>3305</v>
          </cell>
          <cell r="G562">
            <v>3050</v>
          </cell>
          <cell r="H562">
            <v>4155</v>
          </cell>
          <cell r="I562">
            <v>682</v>
          </cell>
          <cell r="J562">
            <v>0</v>
          </cell>
          <cell r="K562">
            <v>15593</v>
          </cell>
          <cell r="L562">
            <v>3050</v>
          </cell>
          <cell r="M562">
            <v>22</v>
          </cell>
          <cell r="P562">
            <v>9784270274</v>
          </cell>
        </row>
        <row r="563">
          <cell r="C563">
            <v>0</v>
          </cell>
          <cell r="D563">
            <v>0</v>
          </cell>
          <cell r="E563">
            <v>200</v>
          </cell>
          <cell r="F563">
            <v>2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202</v>
          </cell>
          <cell r="L563">
            <v>0</v>
          </cell>
          <cell r="M563">
            <v>0</v>
          </cell>
          <cell r="P563">
            <v>9829450072</v>
          </cell>
        </row>
        <row r="564">
          <cell r="C564">
            <v>0</v>
          </cell>
          <cell r="D564">
            <v>0</v>
          </cell>
          <cell r="E564">
            <v>200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200</v>
          </cell>
          <cell r="L564">
            <v>0</v>
          </cell>
          <cell r="M564">
            <v>0</v>
          </cell>
          <cell r="P564">
            <v>9829450072</v>
          </cell>
        </row>
        <row r="565">
          <cell r="C565">
            <v>0</v>
          </cell>
          <cell r="D565">
            <v>0</v>
          </cell>
          <cell r="E565">
            <v>200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200</v>
          </cell>
          <cell r="L565">
            <v>0</v>
          </cell>
          <cell r="M565">
            <v>0</v>
          </cell>
          <cell r="P565">
            <v>9829450072</v>
          </cell>
        </row>
        <row r="566">
          <cell r="C566">
            <v>0</v>
          </cell>
          <cell r="D566">
            <v>0</v>
          </cell>
          <cell r="E566">
            <v>200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200</v>
          </cell>
          <cell r="L566">
            <v>0</v>
          </cell>
          <cell r="M566">
            <v>0</v>
          </cell>
          <cell r="P566">
            <v>9829450072</v>
          </cell>
        </row>
        <row r="567">
          <cell r="C567">
            <v>0</v>
          </cell>
          <cell r="D567">
            <v>0</v>
          </cell>
          <cell r="E567">
            <v>200</v>
          </cell>
          <cell r="F567">
            <v>0</v>
          </cell>
          <cell r="G567">
            <v>0</v>
          </cell>
          <cell r="H567">
            <v>0</v>
          </cell>
          <cell r="I567">
            <v>123</v>
          </cell>
          <cell r="J567">
            <v>0</v>
          </cell>
          <cell r="K567">
            <v>323</v>
          </cell>
          <cell r="L567">
            <v>12268</v>
          </cell>
          <cell r="M567">
            <v>3</v>
          </cell>
          <cell r="P567">
            <v>9829642938</v>
          </cell>
        </row>
        <row r="568">
          <cell r="C568">
            <v>0</v>
          </cell>
          <cell r="D568">
            <v>0</v>
          </cell>
          <cell r="E568">
            <v>200</v>
          </cell>
          <cell r="F568">
            <v>0</v>
          </cell>
          <cell r="G568">
            <v>0</v>
          </cell>
          <cell r="H568">
            <v>0</v>
          </cell>
          <cell r="I568">
            <v>130</v>
          </cell>
          <cell r="J568">
            <v>0</v>
          </cell>
          <cell r="K568">
            <v>330</v>
          </cell>
          <cell r="L568">
            <v>13000</v>
          </cell>
          <cell r="M568">
            <v>3</v>
          </cell>
          <cell r="P568">
            <v>9829642938</v>
          </cell>
        </row>
        <row r="569">
          <cell r="C569">
            <v>0</v>
          </cell>
          <cell r="D569">
            <v>0</v>
          </cell>
          <cell r="E569">
            <v>200</v>
          </cell>
          <cell r="F569">
            <v>0</v>
          </cell>
          <cell r="G569">
            <v>0</v>
          </cell>
          <cell r="H569">
            <v>0</v>
          </cell>
          <cell r="I569">
            <v>125</v>
          </cell>
          <cell r="J569">
            <v>0</v>
          </cell>
          <cell r="K569">
            <v>325</v>
          </cell>
          <cell r="L569">
            <v>12500</v>
          </cell>
          <cell r="M569">
            <v>3</v>
          </cell>
          <cell r="P569">
            <v>9829642938</v>
          </cell>
        </row>
        <row r="570">
          <cell r="C570">
            <v>0</v>
          </cell>
          <cell r="D570">
            <v>0</v>
          </cell>
          <cell r="E570">
            <v>100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100</v>
          </cell>
          <cell r="L570">
            <v>0</v>
          </cell>
          <cell r="M570">
            <v>0</v>
          </cell>
          <cell r="P570">
            <v>968068892425</v>
          </cell>
        </row>
        <row r="571">
          <cell r="C571">
            <v>0</v>
          </cell>
          <cell r="D571">
            <v>0</v>
          </cell>
          <cell r="E571">
            <v>57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57</v>
          </cell>
          <cell r="L571">
            <v>0</v>
          </cell>
          <cell r="M571">
            <v>0</v>
          </cell>
          <cell r="P571">
            <v>968068892425</v>
          </cell>
        </row>
        <row r="572">
          <cell r="C572">
            <v>0</v>
          </cell>
          <cell r="D572">
            <v>31</v>
          </cell>
          <cell r="E572">
            <v>1800</v>
          </cell>
          <cell r="F572">
            <v>406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2206</v>
          </cell>
          <cell r="L572">
            <v>0</v>
          </cell>
          <cell r="M572">
            <v>0</v>
          </cell>
          <cell r="P572">
            <v>9602637651</v>
          </cell>
        </row>
        <row r="573">
          <cell r="C573">
            <v>500</v>
          </cell>
          <cell r="D573">
            <v>31</v>
          </cell>
          <cell r="E573">
            <v>1800</v>
          </cell>
          <cell r="F573">
            <v>406</v>
          </cell>
          <cell r="G573">
            <v>1259</v>
          </cell>
          <cell r="H573">
            <v>0</v>
          </cell>
          <cell r="I573">
            <v>1152</v>
          </cell>
          <cell r="J573">
            <v>0</v>
          </cell>
          <cell r="K573">
            <v>4617</v>
          </cell>
          <cell r="L573">
            <v>12759</v>
          </cell>
          <cell r="M573">
            <v>17</v>
          </cell>
          <cell r="P573">
            <v>9602637651</v>
          </cell>
        </row>
        <row r="574">
          <cell r="C574">
            <v>500</v>
          </cell>
          <cell r="D574">
            <v>31</v>
          </cell>
          <cell r="E574">
            <v>1800</v>
          </cell>
          <cell r="F574">
            <v>406</v>
          </cell>
          <cell r="G574">
            <v>2106</v>
          </cell>
          <cell r="H574">
            <v>0</v>
          </cell>
          <cell r="I574">
            <v>1224</v>
          </cell>
          <cell r="J574">
            <v>0</v>
          </cell>
          <cell r="K574">
            <v>5536</v>
          </cell>
          <cell r="L574">
            <v>13606</v>
          </cell>
          <cell r="M574">
            <v>17</v>
          </cell>
          <cell r="P574">
            <v>9602637651</v>
          </cell>
        </row>
        <row r="575">
          <cell r="C575">
            <v>0</v>
          </cell>
          <cell r="D575">
            <v>0</v>
          </cell>
          <cell r="E575">
            <v>200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200</v>
          </cell>
          <cell r="L575">
            <v>0</v>
          </cell>
          <cell r="M575">
            <v>0</v>
          </cell>
          <cell r="P575">
            <v>9982965532</v>
          </cell>
        </row>
        <row r="576">
          <cell r="C576">
            <v>0</v>
          </cell>
          <cell r="D576">
            <v>0</v>
          </cell>
          <cell r="E576">
            <v>200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200</v>
          </cell>
          <cell r="L576">
            <v>0</v>
          </cell>
          <cell r="M576">
            <v>0</v>
          </cell>
          <cell r="P576">
            <v>9982965532</v>
          </cell>
        </row>
        <row r="577">
          <cell r="C577">
            <v>0</v>
          </cell>
          <cell r="D577">
            <v>0</v>
          </cell>
          <cell r="E577">
            <v>200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200</v>
          </cell>
          <cell r="L577">
            <v>0</v>
          </cell>
          <cell r="M577">
            <v>0</v>
          </cell>
          <cell r="P577">
            <v>9982965532</v>
          </cell>
        </row>
        <row r="578">
          <cell r="C578">
            <v>0</v>
          </cell>
          <cell r="D578">
            <v>0</v>
          </cell>
          <cell r="E578">
            <v>200</v>
          </cell>
          <cell r="F578">
            <v>0</v>
          </cell>
          <cell r="G578">
            <v>17300</v>
          </cell>
          <cell r="H578">
            <v>0</v>
          </cell>
          <cell r="I578">
            <v>173</v>
          </cell>
          <cell r="J578">
            <v>0</v>
          </cell>
          <cell r="K578">
            <v>17673</v>
          </cell>
          <cell r="L578">
            <v>17300</v>
          </cell>
          <cell r="M578">
            <v>6</v>
          </cell>
          <cell r="P578">
            <v>9667061763</v>
          </cell>
        </row>
        <row r="579">
          <cell r="C579">
            <v>1000</v>
          </cell>
          <cell r="D579">
            <v>0</v>
          </cell>
          <cell r="E579">
            <v>200</v>
          </cell>
          <cell r="F579">
            <v>0</v>
          </cell>
          <cell r="G579">
            <v>1000</v>
          </cell>
          <cell r="H579">
            <v>0</v>
          </cell>
          <cell r="I579">
            <v>130</v>
          </cell>
          <cell r="J579">
            <v>0</v>
          </cell>
          <cell r="K579">
            <v>1330</v>
          </cell>
          <cell r="L579">
            <v>13000</v>
          </cell>
          <cell r="M579">
            <v>8</v>
          </cell>
          <cell r="P579">
            <v>9667061763</v>
          </cell>
        </row>
        <row r="580">
          <cell r="C580">
            <v>0</v>
          </cell>
          <cell r="D580">
            <v>0</v>
          </cell>
          <cell r="E580">
            <v>200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200</v>
          </cell>
          <cell r="L580">
            <v>0</v>
          </cell>
          <cell r="M580">
            <v>0</v>
          </cell>
          <cell r="P580">
            <v>9772972215</v>
          </cell>
        </row>
        <row r="581">
          <cell r="C581">
            <v>0</v>
          </cell>
          <cell r="D581">
            <v>0</v>
          </cell>
          <cell r="E581">
            <v>800</v>
          </cell>
          <cell r="F581">
            <v>63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863</v>
          </cell>
          <cell r="L581">
            <v>0</v>
          </cell>
          <cell r="M581">
            <v>0</v>
          </cell>
          <cell r="P581">
            <v>9602318478</v>
          </cell>
        </row>
        <row r="582">
          <cell r="C582">
            <v>0</v>
          </cell>
          <cell r="D582">
            <v>0</v>
          </cell>
          <cell r="E582">
            <v>737</v>
          </cell>
          <cell r="F582">
            <v>46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783</v>
          </cell>
          <cell r="L582">
            <v>0</v>
          </cell>
          <cell r="M582">
            <v>0</v>
          </cell>
          <cell r="P582">
            <v>9602318478</v>
          </cell>
        </row>
        <row r="583">
          <cell r="C583">
            <v>200</v>
          </cell>
          <cell r="D583">
            <v>0</v>
          </cell>
          <cell r="E583">
            <v>200</v>
          </cell>
          <cell r="F583">
            <v>0</v>
          </cell>
          <cell r="G583">
            <v>200</v>
          </cell>
          <cell r="H583">
            <v>0</v>
          </cell>
          <cell r="I583">
            <v>246</v>
          </cell>
          <cell r="J583">
            <v>0</v>
          </cell>
          <cell r="K583">
            <v>646</v>
          </cell>
          <cell r="L583">
            <v>24600</v>
          </cell>
          <cell r="M583">
            <v>28</v>
          </cell>
          <cell r="P583">
            <v>9929194619</v>
          </cell>
        </row>
        <row r="584">
          <cell r="C584">
            <v>200</v>
          </cell>
          <cell r="D584">
            <v>0</v>
          </cell>
          <cell r="E584">
            <v>200</v>
          </cell>
          <cell r="F584">
            <v>0</v>
          </cell>
          <cell r="G584">
            <v>200</v>
          </cell>
          <cell r="H584">
            <v>0</v>
          </cell>
          <cell r="I584">
            <v>246</v>
          </cell>
          <cell r="J584">
            <v>0</v>
          </cell>
          <cell r="K584">
            <v>646</v>
          </cell>
          <cell r="L584">
            <v>24600</v>
          </cell>
          <cell r="M584">
            <v>28</v>
          </cell>
          <cell r="P584">
            <v>9929194619</v>
          </cell>
        </row>
        <row r="585">
          <cell r="C585">
            <v>200</v>
          </cell>
          <cell r="D585">
            <v>0</v>
          </cell>
          <cell r="E585">
            <v>200</v>
          </cell>
          <cell r="F585">
            <v>0</v>
          </cell>
          <cell r="G585">
            <v>200</v>
          </cell>
          <cell r="H585">
            <v>0</v>
          </cell>
          <cell r="I585">
            <v>246</v>
          </cell>
          <cell r="J585">
            <v>0</v>
          </cell>
          <cell r="K585">
            <v>646</v>
          </cell>
          <cell r="L585">
            <v>24600</v>
          </cell>
          <cell r="M585">
            <v>28</v>
          </cell>
          <cell r="P585">
            <v>9929194619</v>
          </cell>
        </row>
        <row r="586">
          <cell r="C586">
            <v>200</v>
          </cell>
          <cell r="D586">
            <v>0</v>
          </cell>
          <cell r="E586">
            <v>200</v>
          </cell>
          <cell r="F586">
            <v>0</v>
          </cell>
          <cell r="G586">
            <v>200</v>
          </cell>
          <cell r="H586">
            <v>0</v>
          </cell>
          <cell r="I586">
            <v>246</v>
          </cell>
          <cell r="J586">
            <v>0</v>
          </cell>
          <cell r="K586">
            <v>646</v>
          </cell>
          <cell r="L586">
            <v>24600</v>
          </cell>
          <cell r="M586">
            <v>28</v>
          </cell>
          <cell r="P586">
            <v>9929194619</v>
          </cell>
        </row>
        <row r="587">
          <cell r="C587">
            <v>200</v>
          </cell>
          <cell r="D587">
            <v>0</v>
          </cell>
          <cell r="E587">
            <v>200</v>
          </cell>
          <cell r="F587">
            <v>0</v>
          </cell>
          <cell r="G587">
            <v>200</v>
          </cell>
          <cell r="H587">
            <v>0</v>
          </cell>
          <cell r="I587">
            <v>246</v>
          </cell>
          <cell r="J587">
            <v>0</v>
          </cell>
          <cell r="K587">
            <v>646</v>
          </cell>
          <cell r="L587">
            <v>24600</v>
          </cell>
          <cell r="M587">
            <v>28</v>
          </cell>
          <cell r="P587">
            <v>9929194619</v>
          </cell>
        </row>
        <row r="588">
          <cell r="C588">
            <v>200</v>
          </cell>
          <cell r="D588">
            <v>0</v>
          </cell>
          <cell r="E588">
            <v>200</v>
          </cell>
          <cell r="F588">
            <v>0</v>
          </cell>
          <cell r="G588">
            <v>200</v>
          </cell>
          <cell r="H588">
            <v>0</v>
          </cell>
          <cell r="I588">
            <v>246</v>
          </cell>
          <cell r="J588">
            <v>0</v>
          </cell>
          <cell r="K588">
            <v>646</v>
          </cell>
          <cell r="L588">
            <v>24600</v>
          </cell>
          <cell r="M588">
            <v>28</v>
          </cell>
          <cell r="P588">
            <v>9929194619</v>
          </cell>
        </row>
        <row r="589">
          <cell r="C589">
            <v>200</v>
          </cell>
          <cell r="D589">
            <v>0</v>
          </cell>
          <cell r="E589">
            <v>200</v>
          </cell>
          <cell r="F589">
            <v>0</v>
          </cell>
          <cell r="G589">
            <v>200</v>
          </cell>
          <cell r="H589">
            <v>0</v>
          </cell>
          <cell r="I589">
            <v>246</v>
          </cell>
          <cell r="J589">
            <v>0</v>
          </cell>
          <cell r="K589">
            <v>646</v>
          </cell>
          <cell r="L589">
            <v>24600</v>
          </cell>
          <cell r="M589">
            <v>28</v>
          </cell>
          <cell r="P589">
            <v>9929194619</v>
          </cell>
        </row>
        <row r="590">
          <cell r="C590">
            <v>200</v>
          </cell>
          <cell r="D590">
            <v>0</v>
          </cell>
          <cell r="E590">
            <v>200</v>
          </cell>
          <cell r="F590">
            <v>0</v>
          </cell>
          <cell r="G590">
            <v>0</v>
          </cell>
          <cell r="H590">
            <v>0</v>
          </cell>
          <cell r="I590">
            <v>244</v>
          </cell>
          <cell r="J590">
            <v>0</v>
          </cell>
          <cell r="K590">
            <v>444</v>
          </cell>
          <cell r="L590">
            <v>24400</v>
          </cell>
          <cell r="M590">
            <v>28</v>
          </cell>
          <cell r="P590">
            <v>9982447051</v>
          </cell>
        </row>
        <row r="591">
          <cell r="C591">
            <v>200</v>
          </cell>
          <cell r="D591">
            <v>0</v>
          </cell>
          <cell r="E591">
            <v>200</v>
          </cell>
          <cell r="F591">
            <v>0</v>
          </cell>
          <cell r="G591">
            <v>0</v>
          </cell>
          <cell r="H591">
            <v>0</v>
          </cell>
          <cell r="I591">
            <v>244</v>
          </cell>
          <cell r="J591">
            <v>0</v>
          </cell>
          <cell r="K591">
            <v>444</v>
          </cell>
          <cell r="L591">
            <v>24400</v>
          </cell>
          <cell r="M591">
            <v>28</v>
          </cell>
          <cell r="P591">
            <v>9982447051</v>
          </cell>
        </row>
        <row r="592">
          <cell r="C592">
            <v>200</v>
          </cell>
          <cell r="D592">
            <v>0</v>
          </cell>
          <cell r="E592">
            <v>200</v>
          </cell>
          <cell r="F592">
            <v>0</v>
          </cell>
          <cell r="G592">
            <v>181</v>
          </cell>
          <cell r="H592">
            <v>0</v>
          </cell>
          <cell r="I592">
            <v>246</v>
          </cell>
          <cell r="J592">
            <v>0</v>
          </cell>
          <cell r="K592">
            <v>627</v>
          </cell>
          <cell r="L592">
            <v>24581</v>
          </cell>
          <cell r="M592">
            <v>28</v>
          </cell>
          <cell r="P592">
            <v>9982447051</v>
          </cell>
        </row>
        <row r="593">
          <cell r="C593">
            <v>200</v>
          </cell>
          <cell r="D593">
            <v>0</v>
          </cell>
          <cell r="E593">
            <v>200</v>
          </cell>
          <cell r="F593">
            <v>0</v>
          </cell>
          <cell r="G593">
            <v>200</v>
          </cell>
          <cell r="H593">
            <v>0</v>
          </cell>
          <cell r="I593">
            <v>246</v>
          </cell>
          <cell r="J593">
            <v>0</v>
          </cell>
          <cell r="K593">
            <v>646</v>
          </cell>
          <cell r="L593">
            <v>24600</v>
          </cell>
          <cell r="M593">
            <v>28</v>
          </cell>
          <cell r="P593">
            <v>9982447051</v>
          </cell>
        </row>
        <row r="594">
          <cell r="C594">
            <v>200</v>
          </cell>
          <cell r="D594">
            <v>0</v>
          </cell>
          <cell r="E594">
            <v>200</v>
          </cell>
          <cell r="F594">
            <v>0</v>
          </cell>
          <cell r="G594">
            <v>200</v>
          </cell>
          <cell r="H594">
            <v>0</v>
          </cell>
          <cell r="I594">
            <v>246</v>
          </cell>
          <cell r="J594">
            <v>0</v>
          </cell>
          <cell r="K594">
            <v>646</v>
          </cell>
          <cell r="L594">
            <v>24600</v>
          </cell>
          <cell r="M594">
            <v>28</v>
          </cell>
          <cell r="P594">
            <v>9982447051</v>
          </cell>
        </row>
        <row r="595">
          <cell r="C595">
            <v>200</v>
          </cell>
          <cell r="D595">
            <v>0</v>
          </cell>
          <cell r="E595">
            <v>200</v>
          </cell>
          <cell r="F595">
            <v>0</v>
          </cell>
          <cell r="G595">
            <v>200</v>
          </cell>
          <cell r="H595">
            <v>0</v>
          </cell>
          <cell r="I595">
            <v>246</v>
          </cell>
          <cell r="J595">
            <v>0</v>
          </cell>
          <cell r="K595">
            <v>646</v>
          </cell>
          <cell r="L595">
            <v>24600</v>
          </cell>
          <cell r="M595">
            <v>28</v>
          </cell>
          <cell r="P595">
            <v>9982447051</v>
          </cell>
        </row>
        <row r="596">
          <cell r="C596">
            <v>200</v>
          </cell>
          <cell r="D596">
            <v>0</v>
          </cell>
          <cell r="E596">
            <v>200</v>
          </cell>
          <cell r="F596">
            <v>0</v>
          </cell>
          <cell r="G596">
            <v>200</v>
          </cell>
          <cell r="H596">
            <v>0</v>
          </cell>
          <cell r="I596">
            <v>246</v>
          </cell>
          <cell r="J596">
            <v>0</v>
          </cell>
          <cell r="K596">
            <v>646</v>
          </cell>
          <cell r="L596">
            <v>24600</v>
          </cell>
          <cell r="M596">
            <v>28</v>
          </cell>
          <cell r="P596">
            <v>9982447051</v>
          </cell>
        </row>
        <row r="597">
          <cell r="C597">
            <v>200</v>
          </cell>
          <cell r="D597">
            <v>0</v>
          </cell>
          <cell r="E597">
            <v>200</v>
          </cell>
          <cell r="F597">
            <v>0</v>
          </cell>
          <cell r="G597">
            <v>200</v>
          </cell>
          <cell r="H597">
            <v>0</v>
          </cell>
          <cell r="I597">
            <v>246</v>
          </cell>
          <cell r="J597">
            <v>0</v>
          </cell>
          <cell r="K597">
            <v>646</v>
          </cell>
          <cell r="L597">
            <v>24600</v>
          </cell>
          <cell r="M597">
            <v>28</v>
          </cell>
          <cell r="P597">
            <v>9982447051</v>
          </cell>
        </row>
        <row r="598">
          <cell r="C598">
            <v>200</v>
          </cell>
          <cell r="D598">
            <v>0</v>
          </cell>
          <cell r="E598">
            <v>200</v>
          </cell>
          <cell r="F598">
            <v>0</v>
          </cell>
          <cell r="G598">
            <v>0</v>
          </cell>
          <cell r="H598">
            <v>0</v>
          </cell>
          <cell r="I598">
            <v>242</v>
          </cell>
          <cell r="J598">
            <v>0</v>
          </cell>
          <cell r="K598">
            <v>442</v>
          </cell>
          <cell r="L598">
            <v>24234</v>
          </cell>
          <cell r="M598">
            <v>28</v>
          </cell>
          <cell r="P598">
            <v>9982447051</v>
          </cell>
        </row>
        <row r="599">
          <cell r="C599">
            <v>1000</v>
          </cell>
          <cell r="D599">
            <v>0</v>
          </cell>
          <cell r="E599">
            <v>0</v>
          </cell>
          <cell r="F599">
            <v>0</v>
          </cell>
          <cell r="G599">
            <v>1000</v>
          </cell>
          <cell r="H599">
            <v>0</v>
          </cell>
          <cell r="I599">
            <v>290</v>
          </cell>
          <cell r="J599">
            <v>0</v>
          </cell>
          <cell r="K599">
            <v>1290</v>
          </cell>
          <cell r="L599">
            <v>29000</v>
          </cell>
          <cell r="M599">
            <v>2</v>
          </cell>
          <cell r="P599">
            <v>8058533814</v>
          </cell>
        </row>
        <row r="600">
          <cell r="C600">
            <v>1000</v>
          </cell>
          <cell r="D600">
            <v>0</v>
          </cell>
          <cell r="E600">
            <v>0</v>
          </cell>
          <cell r="F600">
            <v>0</v>
          </cell>
          <cell r="G600">
            <v>1000</v>
          </cell>
          <cell r="H600">
            <v>0</v>
          </cell>
          <cell r="I600">
            <v>290</v>
          </cell>
          <cell r="J600">
            <v>0</v>
          </cell>
          <cell r="K600">
            <v>1290</v>
          </cell>
          <cell r="L600">
            <v>29000</v>
          </cell>
          <cell r="M600">
            <v>2</v>
          </cell>
          <cell r="P600">
            <v>8058533814</v>
          </cell>
        </row>
        <row r="601">
          <cell r="C601">
            <v>1000</v>
          </cell>
          <cell r="D601">
            <v>0</v>
          </cell>
          <cell r="E601">
            <v>0</v>
          </cell>
          <cell r="F601">
            <v>0</v>
          </cell>
          <cell r="G601">
            <v>1000</v>
          </cell>
          <cell r="H601">
            <v>0</v>
          </cell>
          <cell r="I601">
            <v>290</v>
          </cell>
          <cell r="J601">
            <v>0</v>
          </cell>
          <cell r="K601">
            <v>1290</v>
          </cell>
          <cell r="L601">
            <v>29000</v>
          </cell>
          <cell r="M601">
            <v>2</v>
          </cell>
          <cell r="P601">
            <v>8058533814</v>
          </cell>
        </row>
        <row r="602">
          <cell r="C602">
            <v>0</v>
          </cell>
          <cell r="D602">
            <v>9799</v>
          </cell>
          <cell r="E602">
            <v>4567</v>
          </cell>
          <cell r="F602">
            <v>3617</v>
          </cell>
          <cell r="G602">
            <v>0</v>
          </cell>
          <cell r="H602">
            <v>8632</v>
          </cell>
          <cell r="I602">
            <v>11845</v>
          </cell>
          <cell r="J602">
            <v>0</v>
          </cell>
          <cell r="K602">
            <v>28661</v>
          </cell>
          <cell r="L602">
            <v>51530</v>
          </cell>
          <cell r="M602">
            <v>28</v>
          </cell>
          <cell r="P602">
            <v>8094458094</v>
          </cell>
        </row>
        <row r="603">
          <cell r="C603">
            <v>21000</v>
          </cell>
          <cell r="D603">
            <v>0</v>
          </cell>
          <cell r="E603">
            <v>0</v>
          </cell>
          <cell r="F603">
            <v>0</v>
          </cell>
          <cell r="G603">
            <v>1000</v>
          </cell>
          <cell r="H603">
            <v>0</v>
          </cell>
          <cell r="I603">
            <v>220</v>
          </cell>
          <cell r="J603">
            <v>0</v>
          </cell>
          <cell r="K603">
            <v>1220</v>
          </cell>
          <cell r="L603">
            <v>22000</v>
          </cell>
          <cell r="M603">
            <v>9</v>
          </cell>
          <cell r="P603">
            <v>9782323306</v>
          </cell>
        </row>
        <row r="604">
          <cell r="C604">
            <v>21000</v>
          </cell>
          <cell r="D604">
            <v>0</v>
          </cell>
          <cell r="E604">
            <v>0</v>
          </cell>
          <cell r="F604">
            <v>0</v>
          </cell>
          <cell r="G604">
            <v>1000</v>
          </cell>
          <cell r="H604">
            <v>0</v>
          </cell>
          <cell r="I604">
            <v>220</v>
          </cell>
          <cell r="J604">
            <v>0</v>
          </cell>
          <cell r="K604">
            <v>1220</v>
          </cell>
          <cell r="L604">
            <v>22000</v>
          </cell>
          <cell r="M604">
            <v>9</v>
          </cell>
          <cell r="P604">
            <v>9782323306</v>
          </cell>
        </row>
        <row r="605">
          <cell r="C605">
            <v>21000</v>
          </cell>
          <cell r="D605">
            <v>0</v>
          </cell>
          <cell r="E605">
            <v>0</v>
          </cell>
          <cell r="F605">
            <v>0</v>
          </cell>
          <cell r="G605">
            <v>1000</v>
          </cell>
          <cell r="H605">
            <v>0</v>
          </cell>
          <cell r="I605">
            <v>220</v>
          </cell>
          <cell r="J605">
            <v>0</v>
          </cell>
          <cell r="K605">
            <v>1220</v>
          </cell>
          <cell r="L605">
            <v>22000</v>
          </cell>
          <cell r="M605">
            <v>9</v>
          </cell>
          <cell r="P605">
            <v>9782323306</v>
          </cell>
        </row>
        <row r="606">
          <cell r="C606">
            <v>21000</v>
          </cell>
          <cell r="D606">
            <v>0</v>
          </cell>
          <cell r="E606">
            <v>0</v>
          </cell>
          <cell r="F606">
            <v>0</v>
          </cell>
          <cell r="G606">
            <v>1000</v>
          </cell>
          <cell r="H606">
            <v>0</v>
          </cell>
          <cell r="I606">
            <v>220</v>
          </cell>
          <cell r="J606">
            <v>0</v>
          </cell>
          <cell r="K606">
            <v>1220</v>
          </cell>
          <cell r="L606">
            <v>22000</v>
          </cell>
          <cell r="M606">
            <v>9</v>
          </cell>
          <cell r="P606">
            <v>9782323306</v>
          </cell>
        </row>
        <row r="607">
          <cell r="C607">
            <v>670</v>
          </cell>
          <cell r="D607">
            <v>0</v>
          </cell>
          <cell r="E607">
            <v>200</v>
          </cell>
          <cell r="F607">
            <v>0</v>
          </cell>
          <cell r="G607">
            <v>670</v>
          </cell>
          <cell r="H607">
            <v>0</v>
          </cell>
          <cell r="I607">
            <v>153</v>
          </cell>
          <cell r="J607">
            <v>0</v>
          </cell>
          <cell r="K607">
            <v>1023</v>
          </cell>
          <cell r="L607">
            <v>15310</v>
          </cell>
          <cell r="M607">
            <v>8</v>
          </cell>
          <cell r="P607">
            <v>9950082891</v>
          </cell>
        </row>
        <row r="608">
          <cell r="C608">
            <v>670</v>
          </cell>
          <cell r="D608">
            <v>0</v>
          </cell>
          <cell r="E608">
            <v>200</v>
          </cell>
          <cell r="F608">
            <v>0</v>
          </cell>
          <cell r="G608">
            <v>670</v>
          </cell>
          <cell r="H608">
            <v>0</v>
          </cell>
          <cell r="I608">
            <v>153</v>
          </cell>
          <cell r="J608">
            <v>0</v>
          </cell>
          <cell r="K608">
            <v>1023</v>
          </cell>
          <cell r="L608">
            <v>15310</v>
          </cell>
          <cell r="M608">
            <v>8</v>
          </cell>
          <cell r="P608">
            <v>9950082891</v>
          </cell>
        </row>
        <row r="609">
          <cell r="C609">
            <v>670</v>
          </cell>
          <cell r="D609">
            <v>0</v>
          </cell>
          <cell r="E609">
            <v>200</v>
          </cell>
          <cell r="F609">
            <v>0</v>
          </cell>
          <cell r="G609">
            <v>670</v>
          </cell>
          <cell r="H609">
            <v>0</v>
          </cell>
          <cell r="I609">
            <v>153</v>
          </cell>
          <cell r="J609">
            <v>0</v>
          </cell>
          <cell r="K609">
            <v>1023</v>
          </cell>
          <cell r="L609">
            <v>15310</v>
          </cell>
          <cell r="M609">
            <v>8</v>
          </cell>
          <cell r="P609">
            <v>9950082891</v>
          </cell>
        </row>
        <row r="610">
          <cell r="C610">
            <v>670</v>
          </cell>
          <cell r="D610">
            <v>0</v>
          </cell>
          <cell r="E610">
            <v>200</v>
          </cell>
          <cell r="F610">
            <v>0</v>
          </cell>
          <cell r="G610">
            <v>670</v>
          </cell>
          <cell r="H610">
            <v>0</v>
          </cell>
          <cell r="I610">
            <v>153</v>
          </cell>
          <cell r="J610">
            <v>0</v>
          </cell>
          <cell r="K610">
            <v>1023</v>
          </cell>
          <cell r="L610">
            <v>15310</v>
          </cell>
          <cell r="M610">
            <v>8</v>
          </cell>
          <cell r="P610">
            <v>9950082891</v>
          </cell>
        </row>
        <row r="611">
          <cell r="C611">
            <v>670</v>
          </cell>
          <cell r="D611">
            <v>0</v>
          </cell>
          <cell r="E611">
            <v>200</v>
          </cell>
          <cell r="F611">
            <v>0</v>
          </cell>
          <cell r="G611">
            <v>670</v>
          </cell>
          <cell r="H611">
            <v>0</v>
          </cell>
          <cell r="I611">
            <v>153</v>
          </cell>
          <cell r="J611">
            <v>0</v>
          </cell>
          <cell r="K611">
            <v>1023</v>
          </cell>
          <cell r="L611">
            <v>15310</v>
          </cell>
          <cell r="M611">
            <v>8</v>
          </cell>
          <cell r="P611">
            <v>9950082891</v>
          </cell>
        </row>
        <row r="612">
          <cell r="C612">
            <v>670</v>
          </cell>
          <cell r="D612">
            <v>0</v>
          </cell>
          <cell r="E612">
            <v>200</v>
          </cell>
          <cell r="F612">
            <v>0</v>
          </cell>
          <cell r="G612">
            <v>670</v>
          </cell>
          <cell r="H612">
            <v>0</v>
          </cell>
          <cell r="I612">
            <v>153</v>
          </cell>
          <cell r="J612">
            <v>0</v>
          </cell>
          <cell r="K612">
            <v>1023</v>
          </cell>
          <cell r="L612">
            <v>15310</v>
          </cell>
          <cell r="M612">
            <v>8</v>
          </cell>
          <cell r="P612">
            <v>9950082891</v>
          </cell>
        </row>
        <row r="613">
          <cell r="C613">
            <v>0</v>
          </cell>
          <cell r="D613">
            <v>41809</v>
          </cell>
          <cell r="E613">
            <v>5596</v>
          </cell>
          <cell r="F613">
            <v>5990</v>
          </cell>
          <cell r="G613">
            <v>0</v>
          </cell>
          <cell r="H613">
            <v>46271</v>
          </cell>
          <cell r="I613">
            <v>42983</v>
          </cell>
          <cell r="J613">
            <v>1580</v>
          </cell>
          <cell r="K613">
            <v>102420</v>
          </cell>
          <cell r="L613">
            <v>148700</v>
          </cell>
          <cell r="M613">
            <v>28</v>
          </cell>
          <cell r="P613">
            <v>7073015371</v>
          </cell>
        </row>
        <row r="614">
          <cell r="C614">
            <v>0</v>
          </cell>
          <cell r="D614">
            <v>0</v>
          </cell>
          <cell r="E614">
            <v>200</v>
          </cell>
          <cell r="F614">
            <v>0</v>
          </cell>
          <cell r="G614">
            <v>0</v>
          </cell>
          <cell r="H614">
            <v>0</v>
          </cell>
          <cell r="I614">
            <v>140</v>
          </cell>
          <cell r="J614">
            <v>0</v>
          </cell>
          <cell r="K614">
            <v>340</v>
          </cell>
          <cell r="L614">
            <v>14000</v>
          </cell>
          <cell r="M614">
            <v>1</v>
          </cell>
          <cell r="P614">
            <v>9929252118</v>
          </cell>
        </row>
        <row r="615">
          <cell r="C615">
            <v>0</v>
          </cell>
          <cell r="D615">
            <v>0</v>
          </cell>
          <cell r="E615">
            <v>200</v>
          </cell>
          <cell r="F615">
            <v>0</v>
          </cell>
          <cell r="G615">
            <v>0</v>
          </cell>
          <cell r="H615">
            <v>0</v>
          </cell>
          <cell r="I615">
            <v>140</v>
          </cell>
          <cell r="J615">
            <v>0</v>
          </cell>
          <cell r="K615">
            <v>340</v>
          </cell>
          <cell r="L615">
            <v>14000</v>
          </cell>
          <cell r="M615">
            <v>1</v>
          </cell>
          <cell r="P615">
            <v>9929252118</v>
          </cell>
        </row>
        <row r="616">
          <cell r="C616">
            <v>0</v>
          </cell>
          <cell r="D616">
            <v>0</v>
          </cell>
          <cell r="E616">
            <v>200</v>
          </cell>
          <cell r="F616">
            <v>0</v>
          </cell>
          <cell r="G616">
            <v>0</v>
          </cell>
          <cell r="H616">
            <v>0</v>
          </cell>
          <cell r="I616">
            <v>140</v>
          </cell>
          <cell r="J616">
            <v>0</v>
          </cell>
          <cell r="K616">
            <v>340</v>
          </cell>
          <cell r="L616">
            <v>14000</v>
          </cell>
          <cell r="M616">
            <v>1</v>
          </cell>
          <cell r="P616">
            <v>9929252118</v>
          </cell>
        </row>
        <row r="617">
          <cell r="C617">
            <v>500</v>
          </cell>
          <cell r="D617">
            <v>0</v>
          </cell>
          <cell r="E617">
            <v>200</v>
          </cell>
          <cell r="F617">
            <v>0</v>
          </cell>
          <cell r="G617">
            <v>500</v>
          </cell>
          <cell r="H617">
            <v>0</v>
          </cell>
          <cell r="I617">
            <v>75</v>
          </cell>
          <cell r="J617">
            <v>0</v>
          </cell>
          <cell r="K617">
            <v>775</v>
          </cell>
          <cell r="L617">
            <v>7500</v>
          </cell>
          <cell r="M617">
            <v>26</v>
          </cell>
          <cell r="P617">
            <v>9829533676</v>
          </cell>
        </row>
        <row r="618">
          <cell r="C618">
            <v>0</v>
          </cell>
          <cell r="D618">
            <v>0</v>
          </cell>
          <cell r="E618">
            <v>200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200</v>
          </cell>
          <cell r="L618">
            <v>0</v>
          </cell>
          <cell r="M618">
            <v>0</v>
          </cell>
          <cell r="P618">
            <v>9602956137</v>
          </cell>
        </row>
        <row r="619">
          <cell r="C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P619">
            <v>9783595811</v>
          </cell>
        </row>
        <row r="620">
          <cell r="C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P620">
            <v>9783595811</v>
          </cell>
        </row>
        <row r="621">
          <cell r="C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P621">
            <v>9783595811</v>
          </cell>
        </row>
        <row r="622">
          <cell r="C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P622">
            <v>9783595811</v>
          </cell>
        </row>
        <row r="623">
          <cell r="C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P623">
            <v>9783595811</v>
          </cell>
        </row>
        <row r="624">
          <cell r="C624">
            <v>500</v>
          </cell>
          <cell r="D624">
            <v>0</v>
          </cell>
          <cell r="E624">
            <v>200</v>
          </cell>
          <cell r="F624">
            <v>0</v>
          </cell>
          <cell r="G624">
            <v>500</v>
          </cell>
          <cell r="H624">
            <v>0</v>
          </cell>
          <cell r="I624">
            <v>90</v>
          </cell>
          <cell r="J624">
            <v>0</v>
          </cell>
          <cell r="K624">
            <v>790</v>
          </cell>
          <cell r="L624">
            <v>9000</v>
          </cell>
          <cell r="M624">
            <v>23</v>
          </cell>
          <cell r="P624">
            <v>7742288070</v>
          </cell>
        </row>
        <row r="625">
          <cell r="C625">
            <v>500</v>
          </cell>
          <cell r="D625">
            <v>0</v>
          </cell>
          <cell r="E625">
            <v>200</v>
          </cell>
          <cell r="F625">
            <v>0</v>
          </cell>
          <cell r="G625">
            <v>500</v>
          </cell>
          <cell r="H625">
            <v>0</v>
          </cell>
          <cell r="I625">
            <v>115</v>
          </cell>
          <cell r="J625">
            <v>0</v>
          </cell>
          <cell r="K625">
            <v>815</v>
          </cell>
          <cell r="L625">
            <v>11500</v>
          </cell>
          <cell r="M625">
            <v>18</v>
          </cell>
          <cell r="P625">
            <v>7742288070</v>
          </cell>
        </row>
        <row r="626">
          <cell r="C626">
            <v>500</v>
          </cell>
          <cell r="D626">
            <v>0</v>
          </cell>
          <cell r="E626">
            <v>200</v>
          </cell>
          <cell r="F626">
            <v>0</v>
          </cell>
          <cell r="G626">
            <v>500</v>
          </cell>
          <cell r="H626">
            <v>0</v>
          </cell>
          <cell r="I626">
            <v>90</v>
          </cell>
          <cell r="J626">
            <v>0</v>
          </cell>
          <cell r="K626">
            <v>790</v>
          </cell>
          <cell r="L626">
            <v>9000</v>
          </cell>
          <cell r="M626">
            <v>23</v>
          </cell>
          <cell r="P626">
            <v>7742288070</v>
          </cell>
        </row>
        <row r="627">
          <cell r="C627">
            <v>500</v>
          </cell>
          <cell r="D627">
            <v>0</v>
          </cell>
          <cell r="E627">
            <v>200</v>
          </cell>
          <cell r="F627">
            <v>0</v>
          </cell>
          <cell r="G627">
            <v>500</v>
          </cell>
          <cell r="H627">
            <v>0</v>
          </cell>
          <cell r="I627">
            <v>90</v>
          </cell>
          <cell r="J627">
            <v>0</v>
          </cell>
          <cell r="K627">
            <v>790</v>
          </cell>
          <cell r="L627">
            <v>9000</v>
          </cell>
          <cell r="M627">
            <v>23</v>
          </cell>
          <cell r="P627">
            <v>7742288070</v>
          </cell>
        </row>
        <row r="628">
          <cell r="C628">
            <v>0</v>
          </cell>
          <cell r="D628">
            <v>11663</v>
          </cell>
          <cell r="E628">
            <v>5199</v>
          </cell>
          <cell r="F628">
            <v>5017</v>
          </cell>
          <cell r="G628">
            <v>4819</v>
          </cell>
          <cell r="H628">
            <v>9562</v>
          </cell>
          <cell r="I628">
            <v>1246</v>
          </cell>
          <cell r="J628">
            <v>0</v>
          </cell>
          <cell r="K628">
            <v>25843</v>
          </cell>
          <cell r="L628">
            <v>4819</v>
          </cell>
          <cell r="M628">
            <v>28</v>
          </cell>
          <cell r="P628">
            <v>9929222498</v>
          </cell>
        </row>
        <row r="629">
          <cell r="C629">
            <v>0</v>
          </cell>
          <cell r="D629">
            <v>0</v>
          </cell>
          <cell r="E629">
            <v>200</v>
          </cell>
          <cell r="F629">
            <v>0</v>
          </cell>
          <cell r="G629">
            <v>0</v>
          </cell>
          <cell r="H629">
            <v>0</v>
          </cell>
          <cell r="I629">
            <v>296</v>
          </cell>
          <cell r="J629">
            <v>0</v>
          </cell>
          <cell r="K629">
            <v>496</v>
          </cell>
          <cell r="L629">
            <v>29588</v>
          </cell>
          <cell r="M629">
            <v>28</v>
          </cell>
          <cell r="P629">
            <v>8946961846</v>
          </cell>
        </row>
        <row r="630">
          <cell r="C630">
            <v>0</v>
          </cell>
          <cell r="D630">
            <v>23061</v>
          </cell>
          <cell r="E630">
            <v>5600</v>
          </cell>
          <cell r="F630">
            <v>5999</v>
          </cell>
          <cell r="G630">
            <v>0</v>
          </cell>
          <cell r="H630">
            <v>22827</v>
          </cell>
          <cell r="I630">
            <v>21703</v>
          </cell>
          <cell r="J630">
            <v>200</v>
          </cell>
          <cell r="K630">
            <v>56329</v>
          </cell>
          <cell r="L630">
            <v>92888</v>
          </cell>
          <cell r="M630">
            <v>28</v>
          </cell>
          <cell r="P630">
            <v>9828189201</v>
          </cell>
        </row>
        <row r="631">
          <cell r="C631">
            <v>4000</v>
          </cell>
          <cell r="D631">
            <v>0</v>
          </cell>
          <cell r="E631">
            <v>200</v>
          </cell>
          <cell r="F631">
            <v>0</v>
          </cell>
          <cell r="G631">
            <v>4000</v>
          </cell>
          <cell r="H631">
            <v>0</v>
          </cell>
          <cell r="I631">
            <v>400</v>
          </cell>
          <cell r="J631">
            <v>0</v>
          </cell>
          <cell r="K631">
            <v>4600</v>
          </cell>
          <cell r="L631">
            <v>40000</v>
          </cell>
          <cell r="M631">
            <v>6</v>
          </cell>
          <cell r="P631">
            <v>8003819988</v>
          </cell>
        </row>
        <row r="632">
          <cell r="C632">
            <v>0</v>
          </cell>
          <cell r="D632">
            <v>0</v>
          </cell>
          <cell r="E632">
            <v>200</v>
          </cell>
          <cell r="F632">
            <v>0</v>
          </cell>
          <cell r="G632">
            <v>4793</v>
          </cell>
          <cell r="H632">
            <v>0</v>
          </cell>
          <cell r="I632">
            <v>48</v>
          </cell>
          <cell r="J632">
            <v>0</v>
          </cell>
          <cell r="K632">
            <v>5041</v>
          </cell>
          <cell r="L632">
            <v>4793</v>
          </cell>
          <cell r="M632">
            <v>6</v>
          </cell>
          <cell r="P632">
            <v>8003819988</v>
          </cell>
        </row>
        <row r="633">
          <cell r="C633">
            <v>0</v>
          </cell>
          <cell r="D633">
            <v>0</v>
          </cell>
          <cell r="E633">
            <v>200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200</v>
          </cell>
          <cell r="L633">
            <v>0</v>
          </cell>
          <cell r="M633">
            <v>0</v>
          </cell>
          <cell r="P633">
            <v>8003819988</v>
          </cell>
        </row>
        <row r="634">
          <cell r="C634">
            <v>0</v>
          </cell>
          <cell r="D634">
            <v>0</v>
          </cell>
          <cell r="E634">
            <v>200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200</v>
          </cell>
          <cell r="L634">
            <v>0</v>
          </cell>
          <cell r="M634">
            <v>0</v>
          </cell>
          <cell r="P634">
            <v>8003819988</v>
          </cell>
        </row>
        <row r="635">
          <cell r="C635">
            <v>250</v>
          </cell>
          <cell r="D635">
            <v>0</v>
          </cell>
          <cell r="E635">
            <v>200</v>
          </cell>
          <cell r="F635">
            <v>0</v>
          </cell>
          <cell r="G635">
            <v>0</v>
          </cell>
          <cell r="H635">
            <v>0</v>
          </cell>
          <cell r="I635">
            <v>265</v>
          </cell>
          <cell r="J635">
            <v>0</v>
          </cell>
          <cell r="K635">
            <v>465</v>
          </cell>
          <cell r="L635">
            <v>26500</v>
          </cell>
          <cell r="M635">
            <v>7</v>
          </cell>
          <cell r="P635">
            <v>9982447051</v>
          </cell>
        </row>
        <row r="636">
          <cell r="C636">
            <v>1000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2</v>
          </cell>
          <cell r="J636">
            <v>0</v>
          </cell>
          <cell r="K636">
            <v>2</v>
          </cell>
          <cell r="L636">
            <v>202</v>
          </cell>
          <cell r="M636">
            <v>6</v>
          </cell>
          <cell r="P636">
            <v>7300422818</v>
          </cell>
        </row>
        <row r="637">
          <cell r="C637">
            <v>1000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236</v>
          </cell>
          <cell r="J637">
            <v>0</v>
          </cell>
          <cell r="K637">
            <v>236</v>
          </cell>
          <cell r="L637">
            <v>23582</v>
          </cell>
          <cell r="M637">
            <v>6</v>
          </cell>
          <cell r="P637">
            <v>7300422818</v>
          </cell>
        </row>
        <row r="638">
          <cell r="C638">
            <v>1000</v>
          </cell>
          <cell r="D638">
            <v>0</v>
          </cell>
          <cell r="E638">
            <v>0</v>
          </cell>
          <cell r="F638">
            <v>0</v>
          </cell>
          <cell r="G638">
            <v>1000</v>
          </cell>
          <cell r="H638">
            <v>0</v>
          </cell>
          <cell r="I638">
            <v>250</v>
          </cell>
          <cell r="J638">
            <v>0</v>
          </cell>
          <cell r="K638">
            <v>1250</v>
          </cell>
          <cell r="L638">
            <v>25000</v>
          </cell>
          <cell r="M638">
            <v>6</v>
          </cell>
          <cell r="P638">
            <v>7300422818</v>
          </cell>
        </row>
        <row r="639">
          <cell r="C639">
            <v>0</v>
          </cell>
          <cell r="D639">
            <v>0</v>
          </cell>
          <cell r="E639">
            <v>200</v>
          </cell>
          <cell r="F639">
            <v>2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202</v>
          </cell>
          <cell r="L639">
            <v>0</v>
          </cell>
          <cell r="M639">
            <v>0</v>
          </cell>
          <cell r="P639">
            <v>9784985879</v>
          </cell>
        </row>
        <row r="640">
          <cell r="C640">
            <v>0</v>
          </cell>
          <cell r="D640">
            <v>0</v>
          </cell>
          <cell r="E640">
            <v>568</v>
          </cell>
          <cell r="F640">
            <v>25</v>
          </cell>
          <cell r="G640">
            <v>0</v>
          </cell>
          <cell r="H640">
            <v>21</v>
          </cell>
          <cell r="I640">
            <v>420</v>
          </cell>
          <cell r="J640">
            <v>0</v>
          </cell>
          <cell r="K640">
            <v>1034</v>
          </cell>
          <cell r="L640">
            <v>14000</v>
          </cell>
          <cell r="M640">
            <v>3</v>
          </cell>
          <cell r="P640">
            <v>9928385564</v>
          </cell>
        </row>
        <row r="641">
          <cell r="C641">
            <v>500</v>
          </cell>
          <cell r="D641">
            <v>0</v>
          </cell>
          <cell r="E641">
            <v>400</v>
          </cell>
          <cell r="F641">
            <v>10</v>
          </cell>
          <cell r="G641">
            <v>21000</v>
          </cell>
          <cell r="H641">
            <v>0</v>
          </cell>
          <cell r="I641">
            <v>740</v>
          </cell>
          <cell r="J641">
            <v>0</v>
          </cell>
          <cell r="K641">
            <v>22150</v>
          </cell>
          <cell r="L641">
            <v>37000</v>
          </cell>
          <cell r="M641">
            <v>9</v>
          </cell>
          <cell r="P641">
            <v>9829622211</v>
          </cell>
        </row>
        <row r="642">
          <cell r="C642">
            <v>0</v>
          </cell>
          <cell r="D642">
            <v>0</v>
          </cell>
          <cell r="E642">
            <v>200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200</v>
          </cell>
          <cell r="L642">
            <v>0</v>
          </cell>
          <cell r="M642">
            <v>0</v>
          </cell>
          <cell r="P642">
            <v>9829708536</v>
          </cell>
        </row>
        <row r="643">
          <cell r="C643">
            <v>0</v>
          </cell>
          <cell r="D643">
            <v>0</v>
          </cell>
          <cell r="E643">
            <v>200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200</v>
          </cell>
          <cell r="L643">
            <v>0</v>
          </cell>
          <cell r="M643">
            <v>0</v>
          </cell>
          <cell r="P643">
            <v>9829708536</v>
          </cell>
        </row>
        <row r="644">
          <cell r="C644">
            <v>0</v>
          </cell>
          <cell r="D644">
            <v>0</v>
          </cell>
          <cell r="E644">
            <v>200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200</v>
          </cell>
          <cell r="L644">
            <v>0</v>
          </cell>
          <cell r="M644">
            <v>0</v>
          </cell>
          <cell r="P644">
            <v>9829708536</v>
          </cell>
        </row>
        <row r="645">
          <cell r="C645">
            <v>1500</v>
          </cell>
          <cell r="D645">
            <v>0</v>
          </cell>
          <cell r="E645">
            <v>0</v>
          </cell>
          <cell r="F645">
            <v>0</v>
          </cell>
          <cell r="G645">
            <v>1500</v>
          </cell>
          <cell r="H645">
            <v>0</v>
          </cell>
          <cell r="I645">
            <v>165</v>
          </cell>
          <cell r="J645">
            <v>0</v>
          </cell>
          <cell r="K645">
            <v>1665</v>
          </cell>
          <cell r="L645">
            <v>16500</v>
          </cell>
          <cell r="M645">
            <v>10</v>
          </cell>
          <cell r="P645">
            <v>7742957778</v>
          </cell>
        </row>
        <row r="646">
          <cell r="C646">
            <v>500</v>
          </cell>
          <cell r="D646">
            <v>0</v>
          </cell>
          <cell r="E646">
            <v>200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200</v>
          </cell>
          <cell r="L646">
            <v>0</v>
          </cell>
          <cell r="M646">
            <v>0</v>
          </cell>
          <cell r="P646">
            <v>9116421345</v>
          </cell>
        </row>
        <row r="647">
          <cell r="C647">
            <v>0</v>
          </cell>
          <cell r="D647">
            <v>619</v>
          </cell>
          <cell r="E647">
            <v>1385</v>
          </cell>
          <cell r="F647">
            <v>212</v>
          </cell>
          <cell r="G647">
            <v>0</v>
          </cell>
          <cell r="H647">
            <v>1556</v>
          </cell>
          <cell r="I647">
            <v>270</v>
          </cell>
          <cell r="J647">
            <v>0</v>
          </cell>
          <cell r="K647">
            <v>3423</v>
          </cell>
          <cell r="L647">
            <v>13500</v>
          </cell>
          <cell r="M647">
            <v>2</v>
          </cell>
          <cell r="P647">
            <v>7742331956</v>
          </cell>
        </row>
        <row r="648">
          <cell r="C648">
            <v>0</v>
          </cell>
          <cell r="D648">
            <v>417</v>
          </cell>
          <cell r="E648">
            <v>1000</v>
          </cell>
          <cell r="F648">
            <v>106</v>
          </cell>
          <cell r="G648">
            <v>0</v>
          </cell>
          <cell r="H648">
            <v>1084</v>
          </cell>
          <cell r="I648">
            <v>194</v>
          </cell>
          <cell r="J648">
            <v>0</v>
          </cell>
          <cell r="K648">
            <v>2384</v>
          </cell>
          <cell r="L648">
            <v>9700</v>
          </cell>
          <cell r="M648">
            <v>2</v>
          </cell>
          <cell r="P648">
            <v>7742331956</v>
          </cell>
        </row>
        <row r="649">
          <cell r="C649">
            <v>0</v>
          </cell>
          <cell r="D649">
            <v>0</v>
          </cell>
          <cell r="E649">
            <v>400</v>
          </cell>
          <cell r="F649">
            <v>10</v>
          </cell>
          <cell r="G649">
            <v>12000</v>
          </cell>
          <cell r="H649">
            <v>56</v>
          </cell>
          <cell r="I649">
            <v>240</v>
          </cell>
          <cell r="J649">
            <v>0</v>
          </cell>
          <cell r="K649">
            <v>12706</v>
          </cell>
          <cell r="L649">
            <v>12000</v>
          </cell>
          <cell r="M649">
            <v>10</v>
          </cell>
          <cell r="P649">
            <v>9001114455</v>
          </cell>
        </row>
        <row r="650">
          <cell r="C650">
            <v>0</v>
          </cell>
          <cell r="D650">
            <v>0</v>
          </cell>
          <cell r="E650">
            <v>400</v>
          </cell>
          <cell r="F650">
            <v>4</v>
          </cell>
          <cell r="G650">
            <v>12000</v>
          </cell>
          <cell r="H650">
            <v>56</v>
          </cell>
          <cell r="I650">
            <v>240</v>
          </cell>
          <cell r="J650">
            <v>0</v>
          </cell>
          <cell r="K650">
            <v>12700</v>
          </cell>
          <cell r="L650">
            <v>12000</v>
          </cell>
          <cell r="M650">
            <v>10</v>
          </cell>
          <cell r="P650">
            <v>9001114455</v>
          </cell>
        </row>
        <row r="651">
          <cell r="C651">
            <v>0</v>
          </cell>
          <cell r="D651">
            <v>0</v>
          </cell>
          <cell r="E651">
            <v>200</v>
          </cell>
          <cell r="F651">
            <v>0</v>
          </cell>
          <cell r="G651">
            <v>0</v>
          </cell>
          <cell r="H651">
            <v>0</v>
          </cell>
          <cell r="I651">
            <v>200</v>
          </cell>
          <cell r="J651">
            <v>0</v>
          </cell>
          <cell r="K651">
            <v>400</v>
          </cell>
          <cell r="L651">
            <v>20000</v>
          </cell>
          <cell r="M651">
            <v>1</v>
          </cell>
          <cell r="P651">
            <v>7791888847</v>
          </cell>
        </row>
        <row r="652">
          <cell r="C652">
            <v>500</v>
          </cell>
          <cell r="D652">
            <v>0</v>
          </cell>
          <cell r="E652">
            <v>200</v>
          </cell>
          <cell r="F652">
            <v>0</v>
          </cell>
          <cell r="G652">
            <v>500</v>
          </cell>
          <cell r="H652">
            <v>0</v>
          </cell>
          <cell r="I652">
            <v>85</v>
          </cell>
          <cell r="J652">
            <v>0</v>
          </cell>
          <cell r="K652">
            <v>785</v>
          </cell>
          <cell r="L652">
            <v>8500</v>
          </cell>
          <cell r="M652">
            <v>24</v>
          </cell>
          <cell r="P652">
            <v>9887923580</v>
          </cell>
        </row>
        <row r="653">
          <cell r="C653">
            <v>500</v>
          </cell>
          <cell r="D653">
            <v>0</v>
          </cell>
          <cell r="E653">
            <v>0</v>
          </cell>
          <cell r="F653">
            <v>0</v>
          </cell>
          <cell r="G653">
            <v>500</v>
          </cell>
          <cell r="H653">
            <v>0</v>
          </cell>
          <cell r="I653">
            <v>285</v>
          </cell>
          <cell r="J653">
            <v>0</v>
          </cell>
          <cell r="K653">
            <v>785</v>
          </cell>
          <cell r="L653">
            <v>28500</v>
          </cell>
          <cell r="M653">
            <v>4</v>
          </cell>
          <cell r="P653">
            <v>9887923580</v>
          </cell>
        </row>
        <row r="654">
          <cell r="C654">
            <v>0</v>
          </cell>
          <cell r="D654">
            <v>0</v>
          </cell>
          <cell r="E654">
            <v>200</v>
          </cell>
          <cell r="F654">
            <v>0</v>
          </cell>
          <cell r="G654">
            <v>0</v>
          </cell>
          <cell r="H654">
            <v>0</v>
          </cell>
          <cell r="I654">
            <v>173</v>
          </cell>
          <cell r="J654">
            <v>0</v>
          </cell>
          <cell r="K654">
            <v>373</v>
          </cell>
          <cell r="L654">
            <v>17325</v>
          </cell>
          <cell r="M654">
            <v>1</v>
          </cell>
          <cell r="P654">
            <v>6350422324</v>
          </cell>
        </row>
        <row r="655">
          <cell r="C655">
            <v>0</v>
          </cell>
          <cell r="D655">
            <v>0</v>
          </cell>
          <cell r="E655">
            <v>200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200</v>
          </cell>
          <cell r="L655">
            <v>0</v>
          </cell>
          <cell r="M655">
            <v>0</v>
          </cell>
          <cell r="P655">
            <v>9887386348</v>
          </cell>
        </row>
        <row r="656">
          <cell r="C656">
            <v>0</v>
          </cell>
          <cell r="D656">
            <v>0</v>
          </cell>
          <cell r="E656">
            <v>200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200</v>
          </cell>
          <cell r="L656">
            <v>0</v>
          </cell>
          <cell r="M656">
            <v>0</v>
          </cell>
          <cell r="P656">
            <v>9887386348</v>
          </cell>
        </row>
        <row r="657">
          <cell r="C657">
            <v>0</v>
          </cell>
          <cell r="D657">
            <v>0</v>
          </cell>
          <cell r="E657">
            <v>200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200</v>
          </cell>
          <cell r="L657">
            <v>0</v>
          </cell>
          <cell r="M657">
            <v>0</v>
          </cell>
          <cell r="P657">
            <v>9887386348</v>
          </cell>
        </row>
        <row r="658">
          <cell r="C658">
            <v>0</v>
          </cell>
          <cell r="D658">
            <v>0</v>
          </cell>
          <cell r="E658">
            <v>200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200</v>
          </cell>
          <cell r="L658">
            <v>0</v>
          </cell>
          <cell r="M658">
            <v>0</v>
          </cell>
          <cell r="P658">
            <v>9351354672</v>
          </cell>
        </row>
        <row r="659">
          <cell r="C659">
            <v>0</v>
          </cell>
          <cell r="D659">
            <v>0</v>
          </cell>
          <cell r="E659">
            <v>200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200</v>
          </cell>
          <cell r="L659">
            <v>0</v>
          </cell>
          <cell r="M659">
            <v>0</v>
          </cell>
          <cell r="P659">
            <v>9351354672</v>
          </cell>
        </row>
        <row r="660">
          <cell r="C660">
            <v>0</v>
          </cell>
          <cell r="D660">
            <v>0</v>
          </cell>
          <cell r="E660">
            <v>200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200</v>
          </cell>
          <cell r="L660">
            <v>0</v>
          </cell>
          <cell r="M660">
            <v>0</v>
          </cell>
          <cell r="P660">
            <v>9351354672</v>
          </cell>
        </row>
        <row r="661">
          <cell r="C661">
            <v>0</v>
          </cell>
          <cell r="D661">
            <v>0</v>
          </cell>
          <cell r="E661">
            <v>200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200</v>
          </cell>
          <cell r="L661">
            <v>0</v>
          </cell>
          <cell r="M661">
            <v>0</v>
          </cell>
          <cell r="P661">
            <v>9351354672</v>
          </cell>
        </row>
        <row r="662">
          <cell r="C662">
            <v>0</v>
          </cell>
          <cell r="D662">
            <v>0</v>
          </cell>
          <cell r="E662">
            <v>200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200</v>
          </cell>
          <cell r="L662">
            <v>0</v>
          </cell>
          <cell r="M662">
            <v>0</v>
          </cell>
          <cell r="P662">
            <v>9351354672</v>
          </cell>
        </row>
        <row r="663">
          <cell r="C663">
            <v>0</v>
          </cell>
          <cell r="D663">
            <v>0</v>
          </cell>
          <cell r="E663">
            <v>200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200</v>
          </cell>
          <cell r="L663">
            <v>0</v>
          </cell>
          <cell r="M663">
            <v>0</v>
          </cell>
          <cell r="P663">
            <v>9351354672</v>
          </cell>
        </row>
        <row r="664">
          <cell r="C664">
            <v>0</v>
          </cell>
          <cell r="D664">
            <v>0</v>
          </cell>
          <cell r="E664">
            <v>200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200</v>
          </cell>
          <cell r="L664">
            <v>0</v>
          </cell>
          <cell r="M664">
            <v>0</v>
          </cell>
          <cell r="P664">
            <v>9887259462</v>
          </cell>
        </row>
        <row r="665">
          <cell r="C665">
            <v>0</v>
          </cell>
          <cell r="D665">
            <v>0</v>
          </cell>
          <cell r="E665">
            <v>200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200</v>
          </cell>
          <cell r="L665">
            <v>0</v>
          </cell>
          <cell r="M665">
            <v>0</v>
          </cell>
          <cell r="P665">
            <v>9887259462</v>
          </cell>
        </row>
        <row r="666">
          <cell r="C666">
            <v>1000</v>
          </cell>
          <cell r="D666">
            <v>0</v>
          </cell>
          <cell r="E666">
            <v>198</v>
          </cell>
          <cell r="F666">
            <v>0</v>
          </cell>
          <cell r="G666">
            <v>1000</v>
          </cell>
          <cell r="H666">
            <v>0</v>
          </cell>
          <cell r="I666">
            <v>200</v>
          </cell>
          <cell r="J666">
            <v>0</v>
          </cell>
          <cell r="K666">
            <v>1398</v>
          </cell>
          <cell r="L666">
            <v>20000</v>
          </cell>
          <cell r="M666">
            <v>1</v>
          </cell>
          <cell r="P666">
            <v>9680689067</v>
          </cell>
        </row>
        <row r="667">
          <cell r="C667">
            <v>1000</v>
          </cell>
          <cell r="D667">
            <v>0</v>
          </cell>
          <cell r="E667">
            <v>200</v>
          </cell>
          <cell r="F667">
            <v>0</v>
          </cell>
          <cell r="G667">
            <v>1000</v>
          </cell>
          <cell r="H667">
            <v>0</v>
          </cell>
          <cell r="I667">
            <v>200</v>
          </cell>
          <cell r="J667">
            <v>0</v>
          </cell>
          <cell r="K667">
            <v>1400</v>
          </cell>
          <cell r="L667">
            <v>20000</v>
          </cell>
          <cell r="M667">
            <v>1</v>
          </cell>
          <cell r="P667">
            <v>9680689067</v>
          </cell>
        </row>
        <row r="668">
          <cell r="C668">
            <v>1000</v>
          </cell>
          <cell r="D668">
            <v>0</v>
          </cell>
          <cell r="E668">
            <v>200</v>
          </cell>
          <cell r="F668">
            <v>0</v>
          </cell>
          <cell r="G668">
            <v>1000</v>
          </cell>
          <cell r="H668">
            <v>0</v>
          </cell>
          <cell r="I668">
            <v>200</v>
          </cell>
          <cell r="J668">
            <v>0</v>
          </cell>
          <cell r="K668">
            <v>1400</v>
          </cell>
          <cell r="L668">
            <v>20000</v>
          </cell>
          <cell r="M668">
            <v>1</v>
          </cell>
          <cell r="P668">
            <v>9680689067</v>
          </cell>
        </row>
        <row r="669">
          <cell r="C669">
            <v>500</v>
          </cell>
          <cell r="D669">
            <v>0</v>
          </cell>
          <cell r="E669">
            <v>200</v>
          </cell>
          <cell r="F669">
            <v>0</v>
          </cell>
          <cell r="G669">
            <v>500</v>
          </cell>
          <cell r="H669">
            <v>0</v>
          </cell>
          <cell r="I669">
            <v>165</v>
          </cell>
          <cell r="J669">
            <v>0</v>
          </cell>
          <cell r="K669">
            <v>865</v>
          </cell>
          <cell r="L669">
            <v>16500</v>
          </cell>
          <cell r="M669">
            <v>8</v>
          </cell>
          <cell r="P669">
            <v>9509694070</v>
          </cell>
        </row>
        <row r="670">
          <cell r="C670">
            <v>0</v>
          </cell>
          <cell r="D670">
            <v>0</v>
          </cell>
          <cell r="E670">
            <v>1200</v>
          </cell>
          <cell r="F670">
            <v>161</v>
          </cell>
          <cell r="G670">
            <v>3600</v>
          </cell>
          <cell r="H670">
            <v>50</v>
          </cell>
          <cell r="I670">
            <v>216</v>
          </cell>
          <cell r="J670">
            <v>0</v>
          </cell>
          <cell r="K670">
            <v>5227</v>
          </cell>
          <cell r="L670">
            <v>3600</v>
          </cell>
          <cell r="M670">
            <v>6</v>
          </cell>
          <cell r="P670">
            <v>8432253438</v>
          </cell>
        </row>
        <row r="671">
          <cell r="C671">
            <v>0</v>
          </cell>
          <cell r="D671">
            <v>0</v>
          </cell>
          <cell r="E671">
            <v>1200</v>
          </cell>
          <cell r="F671">
            <v>161</v>
          </cell>
          <cell r="G671">
            <v>4546</v>
          </cell>
          <cell r="H671">
            <v>59</v>
          </cell>
          <cell r="I671">
            <v>270</v>
          </cell>
          <cell r="J671">
            <v>0</v>
          </cell>
          <cell r="K671">
            <v>6236</v>
          </cell>
          <cell r="L671">
            <v>4546</v>
          </cell>
          <cell r="M671">
            <v>6</v>
          </cell>
          <cell r="P671">
            <v>8432253438</v>
          </cell>
        </row>
        <row r="672">
          <cell r="C672">
            <v>1000</v>
          </cell>
          <cell r="D672">
            <v>0</v>
          </cell>
          <cell r="E672">
            <v>200</v>
          </cell>
          <cell r="F672">
            <v>0</v>
          </cell>
          <cell r="G672">
            <v>1000</v>
          </cell>
          <cell r="H672">
            <v>0</v>
          </cell>
          <cell r="I672">
            <v>180</v>
          </cell>
          <cell r="J672">
            <v>0</v>
          </cell>
          <cell r="K672">
            <v>1380</v>
          </cell>
          <cell r="L672">
            <v>18000</v>
          </cell>
          <cell r="M672">
            <v>3</v>
          </cell>
          <cell r="P672">
            <v>9828072198</v>
          </cell>
        </row>
        <row r="673">
          <cell r="C673">
            <v>1000</v>
          </cell>
          <cell r="D673">
            <v>0</v>
          </cell>
          <cell r="E673">
            <v>200</v>
          </cell>
          <cell r="F673">
            <v>0</v>
          </cell>
          <cell r="G673">
            <v>1000</v>
          </cell>
          <cell r="H673">
            <v>0</v>
          </cell>
          <cell r="I673">
            <v>140</v>
          </cell>
          <cell r="J673">
            <v>0</v>
          </cell>
          <cell r="K673">
            <v>1340</v>
          </cell>
          <cell r="L673">
            <v>14000</v>
          </cell>
          <cell r="M673">
            <v>7</v>
          </cell>
          <cell r="P673">
            <v>9828072198</v>
          </cell>
        </row>
        <row r="674">
          <cell r="C674">
            <v>16500</v>
          </cell>
          <cell r="D674">
            <v>0</v>
          </cell>
          <cell r="E674">
            <v>0</v>
          </cell>
          <cell r="F674">
            <v>0</v>
          </cell>
          <cell r="G674">
            <v>1500</v>
          </cell>
          <cell r="H674">
            <v>0</v>
          </cell>
          <cell r="I674">
            <v>180</v>
          </cell>
          <cell r="J674">
            <v>0</v>
          </cell>
          <cell r="K674">
            <v>1680</v>
          </cell>
          <cell r="L674">
            <v>18000</v>
          </cell>
          <cell r="M674">
            <v>9</v>
          </cell>
          <cell r="P674">
            <v>9784911551</v>
          </cell>
        </row>
        <row r="675">
          <cell r="C675">
            <v>16500</v>
          </cell>
          <cell r="D675">
            <v>0</v>
          </cell>
          <cell r="E675">
            <v>0</v>
          </cell>
          <cell r="F675">
            <v>0</v>
          </cell>
          <cell r="G675">
            <v>1500</v>
          </cell>
          <cell r="H675">
            <v>0</v>
          </cell>
          <cell r="I675">
            <v>180</v>
          </cell>
          <cell r="J675">
            <v>0</v>
          </cell>
          <cell r="K675">
            <v>1680</v>
          </cell>
          <cell r="L675">
            <v>18000</v>
          </cell>
          <cell r="M675">
            <v>9</v>
          </cell>
          <cell r="P675">
            <v>9784911551</v>
          </cell>
        </row>
        <row r="676">
          <cell r="C676">
            <v>16500</v>
          </cell>
          <cell r="D676">
            <v>0</v>
          </cell>
          <cell r="E676">
            <v>0</v>
          </cell>
          <cell r="F676">
            <v>0</v>
          </cell>
          <cell r="G676">
            <v>1500</v>
          </cell>
          <cell r="H676">
            <v>0</v>
          </cell>
          <cell r="I676">
            <v>180</v>
          </cell>
          <cell r="J676">
            <v>0</v>
          </cell>
          <cell r="K676">
            <v>1680</v>
          </cell>
          <cell r="L676">
            <v>18000</v>
          </cell>
          <cell r="M676">
            <v>9</v>
          </cell>
          <cell r="P676">
            <v>9784911551</v>
          </cell>
        </row>
        <row r="677">
          <cell r="C677">
            <v>16500</v>
          </cell>
          <cell r="D677">
            <v>0</v>
          </cell>
          <cell r="E677">
            <v>0</v>
          </cell>
          <cell r="F677">
            <v>0</v>
          </cell>
          <cell r="G677">
            <v>1500</v>
          </cell>
          <cell r="H677">
            <v>0</v>
          </cell>
          <cell r="I677">
            <v>180</v>
          </cell>
          <cell r="J677">
            <v>0</v>
          </cell>
          <cell r="K677">
            <v>1680</v>
          </cell>
          <cell r="L677">
            <v>18000</v>
          </cell>
          <cell r="M677">
            <v>9</v>
          </cell>
          <cell r="P677">
            <v>9784911551</v>
          </cell>
        </row>
        <row r="678">
          <cell r="C678">
            <v>16500</v>
          </cell>
          <cell r="D678">
            <v>0</v>
          </cell>
          <cell r="E678">
            <v>0</v>
          </cell>
          <cell r="F678">
            <v>0</v>
          </cell>
          <cell r="G678">
            <v>1500</v>
          </cell>
          <cell r="H678">
            <v>0</v>
          </cell>
          <cell r="I678">
            <v>180</v>
          </cell>
          <cell r="J678">
            <v>0</v>
          </cell>
          <cell r="K678">
            <v>1680</v>
          </cell>
          <cell r="L678">
            <v>18000</v>
          </cell>
          <cell r="M678">
            <v>9</v>
          </cell>
          <cell r="P678">
            <v>9784911551</v>
          </cell>
        </row>
        <row r="679">
          <cell r="C679">
            <v>1000</v>
          </cell>
          <cell r="D679">
            <v>0</v>
          </cell>
          <cell r="E679">
            <v>0</v>
          </cell>
          <cell r="F679">
            <v>0</v>
          </cell>
          <cell r="G679">
            <v>1000</v>
          </cell>
          <cell r="H679">
            <v>0</v>
          </cell>
          <cell r="I679">
            <v>230</v>
          </cell>
          <cell r="J679">
            <v>0</v>
          </cell>
          <cell r="K679">
            <v>1230</v>
          </cell>
          <cell r="L679">
            <v>23000</v>
          </cell>
          <cell r="M679">
            <v>8</v>
          </cell>
          <cell r="P679">
            <v>9784575270</v>
          </cell>
        </row>
        <row r="680">
          <cell r="C680">
            <v>1000</v>
          </cell>
          <cell r="D680">
            <v>0</v>
          </cell>
          <cell r="E680">
            <v>0</v>
          </cell>
          <cell r="F680">
            <v>0</v>
          </cell>
          <cell r="G680">
            <v>1000</v>
          </cell>
          <cell r="H680">
            <v>0</v>
          </cell>
          <cell r="I680">
            <v>230</v>
          </cell>
          <cell r="J680">
            <v>0</v>
          </cell>
          <cell r="K680">
            <v>1230</v>
          </cell>
          <cell r="L680">
            <v>23000</v>
          </cell>
          <cell r="M680">
            <v>8</v>
          </cell>
          <cell r="P680">
            <v>9784575270</v>
          </cell>
        </row>
        <row r="681">
          <cell r="C681">
            <v>1000</v>
          </cell>
          <cell r="D681">
            <v>0</v>
          </cell>
          <cell r="E681">
            <v>0</v>
          </cell>
          <cell r="F681">
            <v>0</v>
          </cell>
          <cell r="G681">
            <v>1000</v>
          </cell>
          <cell r="H681">
            <v>0</v>
          </cell>
          <cell r="I681">
            <v>230</v>
          </cell>
          <cell r="J681">
            <v>0</v>
          </cell>
          <cell r="K681">
            <v>1230</v>
          </cell>
          <cell r="L681">
            <v>23000</v>
          </cell>
          <cell r="M681">
            <v>8</v>
          </cell>
          <cell r="P681">
            <v>9784575270</v>
          </cell>
        </row>
        <row r="682">
          <cell r="C682">
            <v>1000</v>
          </cell>
          <cell r="D682">
            <v>0</v>
          </cell>
          <cell r="E682">
            <v>0</v>
          </cell>
          <cell r="F682">
            <v>0</v>
          </cell>
          <cell r="G682">
            <v>1000</v>
          </cell>
          <cell r="H682">
            <v>0</v>
          </cell>
          <cell r="I682">
            <v>230</v>
          </cell>
          <cell r="J682">
            <v>0</v>
          </cell>
          <cell r="K682">
            <v>1230</v>
          </cell>
          <cell r="L682">
            <v>23000</v>
          </cell>
          <cell r="M682">
            <v>8</v>
          </cell>
          <cell r="P682">
            <v>9784575270</v>
          </cell>
        </row>
        <row r="683">
          <cell r="C683">
            <v>1000</v>
          </cell>
          <cell r="D683">
            <v>0</v>
          </cell>
          <cell r="E683">
            <v>0</v>
          </cell>
          <cell r="F683">
            <v>0</v>
          </cell>
          <cell r="G683">
            <v>1000</v>
          </cell>
          <cell r="H683">
            <v>0</v>
          </cell>
          <cell r="I683">
            <v>230</v>
          </cell>
          <cell r="J683">
            <v>0</v>
          </cell>
          <cell r="K683">
            <v>1230</v>
          </cell>
          <cell r="L683">
            <v>23000</v>
          </cell>
          <cell r="M683">
            <v>8</v>
          </cell>
          <cell r="P683">
            <v>9784575270</v>
          </cell>
        </row>
        <row r="684">
          <cell r="C684">
            <v>500</v>
          </cell>
          <cell r="D684">
            <v>0</v>
          </cell>
          <cell r="E684">
            <v>200</v>
          </cell>
          <cell r="F684">
            <v>0</v>
          </cell>
          <cell r="G684">
            <v>0</v>
          </cell>
          <cell r="H684">
            <v>0</v>
          </cell>
          <cell r="I684">
            <v>31</v>
          </cell>
          <cell r="J684">
            <v>0</v>
          </cell>
          <cell r="K684">
            <v>231</v>
          </cell>
          <cell r="L684">
            <v>3063</v>
          </cell>
          <cell r="M684">
            <v>24</v>
          </cell>
          <cell r="P684">
            <v>8769913917</v>
          </cell>
        </row>
        <row r="685">
          <cell r="C685">
            <v>1400</v>
          </cell>
          <cell r="D685">
            <v>0</v>
          </cell>
          <cell r="E685">
            <v>200</v>
          </cell>
          <cell r="F685">
            <v>0</v>
          </cell>
          <cell r="G685">
            <v>0</v>
          </cell>
          <cell r="H685">
            <v>0</v>
          </cell>
          <cell r="I685">
            <v>144</v>
          </cell>
          <cell r="J685">
            <v>0</v>
          </cell>
          <cell r="K685">
            <v>344</v>
          </cell>
          <cell r="L685">
            <v>14400</v>
          </cell>
          <cell r="M685">
            <v>4</v>
          </cell>
          <cell r="P685">
            <v>8769913917</v>
          </cell>
        </row>
        <row r="686">
          <cell r="C686">
            <v>0</v>
          </cell>
          <cell r="D686">
            <v>0</v>
          </cell>
          <cell r="E686">
            <v>200</v>
          </cell>
          <cell r="F686">
            <v>0</v>
          </cell>
          <cell r="G686">
            <v>16395</v>
          </cell>
          <cell r="H686">
            <v>0</v>
          </cell>
          <cell r="I686">
            <v>164</v>
          </cell>
          <cell r="J686">
            <v>0</v>
          </cell>
          <cell r="K686">
            <v>16759</v>
          </cell>
          <cell r="L686">
            <v>16395</v>
          </cell>
          <cell r="M686">
            <v>6</v>
          </cell>
          <cell r="P686">
            <v>8769913917</v>
          </cell>
        </row>
        <row r="687">
          <cell r="C687">
            <v>1000</v>
          </cell>
          <cell r="D687">
            <v>0</v>
          </cell>
          <cell r="E687">
            <v>200</v>
          </cell>
          <cell r="F687">
            <v>0</v>
          </cell>
          <cell r="G687">
            <v>1000</v>
          </cell>
          <cell r="H687">
            <v>0</v>
          </cell>
          <cell r="I687">
            <v>100</v>
          </cell>
          <cell r="J687">
            <v>0</v>
          </cell>
          <cell r="K687">
            <v>1300</v>
          </cell>
          <cell r="L687">
            <v>10000</v>
          </cell>
          <cell r="M687">
            <v>11</v>
          </cell>
          <cell r="P687">
            <v>9929861074</v>
          </cell>
        </row>
        <row r="688">
          <cell r="C688">
            <v>1000</v>
          </cell>
          <cell r="D688">
            <v>0</v>
          </cell>
          <cell r="E688">
            <v>200</v>
          </cell>
          <cell r="F688">
            <v>0</v>
          </cell>
          <cell r="G688">
            <v>1000</v>
          </cell>
          <cell r="H688">
            <v>0</v>
          </cell>
          <cell r="I688">
            <v>100</v>
          </cell>
          <cell r="J688">
            <v>0</v>
          </cell>
          <cell r="K688">
            <v>1300</v>
          </cell>
          <cell r="L688">
            <v>10000</v>
          </cell>
          <cell r="M688">
            <v>11</v>
          </cell>
          <cell r="P688">
            <v>9929861074</v>
          </cell>
        </row>
        <row r="689">
          <cell r="C689">
            <v>1000</v>
          </cell>
          <cell r="D689">
            <v>0</v>
          </cell>
          <cell r="E689">
            <v>200</v>
          </cell>
          <cell r="F689">
            <v>0</v>
          </cell>
          <cell r="G689">
            <v>1000</v>
          </cell>
          <cell r="H689">
            <v>0</v>
          </cell>
          <cell r="I689">
            <v>180</v>
          </cell>
          <cell r="J689">
            <v>0</v>
          </cell>
          <cell r="K689">
            <v>1380</v>
          </cell>
          <cell r="L689">
            <v>18000</v>
          </cell>
          <cell r="M689">
            <v>3</v>
          </cell>
          <cell r="P689">
            <v>8559873879</v>
          </cell>
        </row>
        <row r="690">
          <cell r="C690">
            <v>1000</v>
          </cell>
          <cell r="D690">
            <v>0</v>
          </cell>
          <cell r="E690">
            <v>200</v>
          </cell>
          <cell r="F690">
            <v>0</v>
          </cell>
          <cell r="G690">
            <v>1000</v>
          </cell>
          <cell r="H690">
            <v>0</v>
          </cell>
          <cell r="I690">
            <v>180</v>
          </cell>
          <cell r="J690">
            <v>0</v>
          </cell>
          <cell r="K690">
            <v>1380</v>
          </cell>
          <cell r="L690">
            <v>18000</v>
          </cell>
          <cell r="M690">
            <v>3</v>
          </cell>
          <cell r="P690">
            <v>8559873879</v>
          </cell>
        </row>
        <row r="691">
          <cell r="C691">
            <v>0</v>
          </cell>
          <cell r="D691">
            <v>0</v>
          </cell>
          <cell r="E691">
            <v>200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200</v>
          </cell>
          <cell r="L691">
            <v>0</v>
          </cell>
          <cell r="M691">
            <v>0</v>
          </cell>
          <cell r="P691">
            <v>9058940316</v>
          </cell>
        </row>
        <row r="692">
          <cell r="C692">
            <v>0</v>
          </cell>
          <cell r="D692">
            <v>0</v>
          </cell>
          <cell r="E692">
            <v>200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200</v>
          </cell>
          <cell r="L692">
            <v>0</v>
          </cell>
          <cell r="M692">
            <v>0</v>
          </cell>
          <cell r="P692">
            <v>9058940316</v>
          </cell>
        </row>
        <row r="693">
          <cell r="C693">
            <v>1000</v>
          </cell>
          <cell r="D693">
            <v>0</v>
          </cell>
          <cell r="E693">
            <v>147</v>
          </cell>
          <cell r="F693">
            <v>0</v>
          </cell>
          <cell r="G693">
            <v>1000</v>
          </cell>
          <cell r="H693">
            <v>0</v>
          </cell>
          <cell r="I693">
            <v>40</v>
          </cell>
          <cell r="J693">
            <v>0</v>
          </cell>
          <cell r="K693">
            <v>1187</v>
          </cell>
          <cell r="L693">
            <v>4000</v>
          </cell>
          <cell r="M693">
            <v>17</v>
          </cell>
          <cell r="P693">
            <v>9667302838</v>
          </cell>
        </row>
        <row r="694">
          <cell r="C694">
            <v>1000</v>
          </cell>
          <cell r="D694">
            <v>0</v>
          </cell>
          <cell r="E694">
            <v>200</v>
          </cell>
          <cell r="F694">
            <v>0</v>
          </cell>
          <cell r="G694">
            <v>1000</v>
          </cell>
          <cell r="H694">
            <v>0</v>
          </cell>
          <cell r="I694">
            <v>40</v>
          </cell>
          <cell r="J694">
            <v>0</v>
          </cell>
          <cell r="K694">
            <v>1240</v>
          </cell>
          <cell r="L694">
            <v>4000</v>
          </cell>
          <cell r="M694">
            <v>17</v>
          </cell>
          <cell r="P694">
            <v>9667302838</v>
          </cell>
        </row>
        <row r="695">
          <cell r="C695">
            <v>1000</v>
          </cell>
          <cell r="D695">
            <v>0</v>
          </cell>
          <cell r="E695">
            <v>200</v>
          </cell>
          <cell r="F695">
            <v>0</v>
          </cell>
          <cell r="G695">
            <v>1000</v>
          </cell>
          <cell r="H695">
            <v>0</v>
          </cell>
          <cell r="I695">
            <v>40</v>
          </cell>
          <cell r="J695">
            <v>0</v>
          </cell>
          <cell r="K695">
            <v>1240</v>
          </cell>
          <cell r="L695">
            <v>4000</v>
          </cell>
          <cell r="M695">
            <v>17</v>
          </cell>
          <cell r="P695">
            <v>9667302838</v>
          </cell>
        </row>
        <row r="696">
          <cell r="C696">
            <v>0</v>
          </cell>
          <cell r="D696">
            <v>196</v>
          </cell>
          <cell r="E696">
            <v>2400</v>
          </cell>
          <cell r="F696">
            <v>784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3184</v>
          </cell>
          <cell r="L696">
            <v>0</v>
          </cell>
          <cell r="M696">
            <v>0</v>
          </cell>
          <cell r="P696">
            <v>9694152585</v>
          </cell>
        </row>
        <row r="697">
          <cell r="C697">
            <v>0</v>
          </cell>
          <cell r="D697">
            <v>2248</v>
          </cell>
          <cell r="E697">
            <v>1956</v>
          </cell>
          <cell r="F697">
            <v>487</v>
          </cell>
          <cell r="G697">
            <v>16200</v>
          </cell>
          <cell r="H697">
            <v>4008</v>
          </cell>
          <cell r="I697">
            <v>1620</v>
          </cell>
          <cell r="J697">
            <v>0</v>
          </cell>
          <cell r="K697">
            <v>24271</v>
          </cell>
          <cell r="L697">
            <v>16200</v>
          </cell>
          <cell r="M697">
            <v>10</v>
          </cell>
          <cell r="P697">
            <v>9694152585</v>
          </cell>
        </row>
        <row r="698">
          <cell r="C698">
            <v>0</v>
          </cell>
          <cell r="D698">
            <v>2114</v>
          </cell>
          <cell r="E698">
            <v>2000</v>
          </cell>
          <cell r="F698">
            <v>516</v>
          </cell>
          <cell r="G698">
            <v>15000</v>
          </cell>
          <cell r="H698">
            <v>3711</v>
          </cell>
          <cell r="I698">
            <v>1500</v>
          </cell>
          <cell r="J698">
            <v>0</v>
          </cell>
          <cell r="K698">
            <v>22727</v>
          </cell>
          <cell r="L698">
            <v>15000</v>
          </cell>
          <cell r="M698">
            <v>10</v>
          </cell>
          <cell r="P698">
            <v>9694152585</v>
          </cell>
        </row>
        <row r="699">
          <cell r="C699">
            <v>0</v>
          </cell>
          <cell r="D699">
            <v>1664</v>
          </cell>
          <cell r="E699">
            <v>2000</v>
          </cell>
          <cell r="F699">
            <v>516</v>
          </cell>
          <cell r="G699">
            <v>9000</v>
          </cell>
          <cell r="H699">
            <v>2812</v>
          </cell>
          <cell r="I699">
            <v>900</v>
          </cell>
          <cell r="J699">
            <v>0</v>
          </cell>
          <cell r="K699">
            <v>15228</v>
          </cell>
          <cell r="L699">
            <v>9000</v>
          </cell>
          <cell r="M699">
            <v>21</v>
          </cell>
          <cell r="P699">
            <v>9694152585</v>
          </cell>
        </row>
        <row r="700">
          <cell r="C700">
            <v>0</v>
          </cell>
          <cell r="D700">
            <v>0</v>
          </cell>
          <cell r="E700">
            <v>200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200</v>
          </cell>
          <cell r="L700">
            <v>0</v>
          </cell>
          <cell r="M700">
            <v>0</v>
          </cell>
          <cell r="P700">
            <v>9928813200</v>
          </cell>
        </row>
        <row r="701">
          <cell r="C701">
            <v>0</v>
          </cell>
          <cell r="D701">
            <v>0</v>
          </cell>
          <cell r="E701">
            <v>200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200</v>
          </cell>
          <cell r="L701">
            <v>0</v>
          </cell>
          <cell r="M701">
            <v>0</v>
          </cell>
          <cell r="P701">
            <v>9928813200</v>
          </cell>
        </row>
        <row r="702">
          <cell r="C702">
            <v>1000</v>
          </cell>
          <cell r="D702">
            <v>0</v>
          </cell>
          <cell r="E702">
            <v>200</v>
          </cell>
          <cell r="F702">
            <v>0</v>
          </cell>
          <cell r="G702">
            <v>1000</v>
          </cell>
          <cell r="H702">
            <v>0</v>
          </cell>
          <cell r="I702">
            <v>110</v>
          </cell>
          <cell r="J702">
            <v>0</v>
          </cell>
          <cell r="K702">
            <v>1310</v>
          </cell>
          <cell r="L702">
            <v>11000</v>
          </cell>
          <cell r="M702">
            <v>10</v>
          </cell>
          <cell r="P702">
            <v>9929832722</v>
          </cell>
        </row>
        <row r="703">
          <cell r="C703">
            <v>1000</v>
          </cell>
          <cell r="D703">
            <v>0</v>
          </cell>
          <cell r="E703">
            <v>200</v>
          </cell>
          <cell r="F703">
            <v>0</v>
          </cell>
          <cell r="G703">
            <v>0</v>
          </cell>
          <cell r="H703">
            <v>0</v>
          </cell>
          <cell r="I703">
            <v>8</v>
          </cell>
          <cell r="J703">
            <v>0</v>
          </cell>
          <cell r="K703">
            <v>208</v>
          </cell>
          <cell r="L703">
            <v>761</v>
          </cell>
          <cell r="M703">
            <v>10</v>
          </cell>
          <cell r="P703">
            <v>9929832722</v>
          </cell>
        </row>
        <row r="704">
          <cell r="C704">
            <v>2000</v>
          </cell>
          <cell r="D704">
            <v>0</v>
          </cell>
          <cell r="E704">
            <v>0</v>
          </cell>
          <cell r="F704">
            <v>0</v>
          </cell>
          <cell r="G704">
            <v>2000</v>
          </cell>
          <cell r="H704">
            <v>0</v>
          </cell>
          <cell r="I704">
            <v>120</v>
          </cell>
          <cell r="J704">
            <v>0</v>
          </cell>
          <cell r="K704">
            <v>2120</v>
          </cell>
          <cell r="L704">
            <v>12000</v>
          </cell>
          <cell r="M704">
            <v>10</v>
          </cell>
          <cell r="P704">
            <v>8000857197</v>
          </cell>
        </row>
        <row r="705">
          <cell r="C705">
            <v>1000</v>
          </cell>
          <cell r="D705">
            <v>0</v>
          </cell>
          <cell r="E705">
            <v>200</v>
          </cell>
          <cell r="F705">
            <v>0</v>
          </cell>
          <cell r="G705">
            <v>1000</v>
          </cell>
          <cell r="H705">
            <v>0</v>
          </cell>
          <cell r="I705">
            <v>140</v>
          </cell>
          <cell r="J705">
            <v>0</v>
          </cell>
          <cell r="K705">
            <v>1340</v>
          </cell>
          <cell r="L705">
            <v>14000</v>
          </cell>
          <cell r="M705">
            <v>7</v>
          </cell>
          <cell r="P705">
            <v>8000857197</v>
          </cell>
        </row>
        <row r="706">
          <cell r="C706">
            <v>1000</v>
          </cell>
          <cell r="D706">
            <v>0</v>
          </cell>
          <cell r="E706">
            <v>200</v>
          </cell>
          <cell r="F706">
            <v>0</v>
          </cell>
          <cell r="G706">
            <v>1000</v>
          </cell>
          <cell r="H706">
            <v>0</v>
          </cell>
          <cell r="I706">
            <v>140</v>
          </cell>
          <cell r="J706">
            <v>0</v>
          </cell>
          <cell r="K706">
            <v>1340</v>
          </cell>
          <cell r="L706">
            <v>14000</v>
          </cell>
          <cell r="M706">
            <v>7</v>
          </cell>
          <cell r="P706">
            <v>8000857197</v>
          </cell>
        </row>
        <row r="707">
          <cell r="C707">
            <v>500</v>
          </cell>
          <cell r="D707">
            <v>0</v>
          </cell>
          <cell r="E707">
            <v>200</v>
          </cell>
          <cell r="F707">
            <v>0</v>
          </cell>
          <cell r="G707">
            <v>0</v>
          </cell>
          <cell r="H707">
            <v>0</v>
          </cell>
          <cell r="I707">
            <v>215</v>
          </cell>
          <cell r="J707">
            <v>0</v>
          </cell>
          <cell r="K707">
            <v>415</v>
          </cell>
          <cell r="L707">
            <v>21500</v>
          </cell>
          <cell r="M707">
            <v>11</v>
          </cell>
          <cell r="P707">
            <v>9571650476</v>
          </cell>
        </row>
        <row r="708">
          <cell r="C708">
            <v>500</v>
          </cell>
          <cell r="D708">
            <v>0</v>
          </cell>
          <cell r="E708">
            <v>200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200</v>
          </cell>
          <cell r="L708">
            <v>0</v>
          </cell>
          <cell r="M708">
            <v>0</v>
          </cell>
          <cell r="P708">
            <v>9571650476</v>
          </cell>
        </row>
        <row r="709">
          <cell r="C709">
            <v>0</v>
          </cell>
          <cell r="D709">
            <v>0</v>
          </cell>
          <cell r="E709">
            <v>200</v>
          </cell>
          <cell r="F709">
            <v>2</v>
          </cell>
          <cell r="G709">
            <v>0</v>
          </cell>
          <cell r="H709">
            <v>190</v>
          </cell>
          <cell r="I709">
            <v>190</v>
          </cell>
          <cell r="J709">
            <v>0</v>
          </cell>
          <cell r="K709">
            <v>582</v>
          </cell>
          <cell r="L709">
            <v>17806</v>
          </cell>
          <cell r="M709">
            <v>1</v>
          </cell>
          <cell r="P709">
            <v>9660434069</v>
          </cell>
        </row>
        <row r="710">
          <cell r="C710">
            <v>0</v>
          </cell>
          <cell r="D710">
            <v>0</v>
          </cell>
          <cell r="E710">
            <v>200</v>
          </cell>
          <cell r="F710">
            <v>2</v>
          </cell>
          <cell r="G710">
            <v>0</v>
          </cell>
          <cell r="H710">
            <v>193</v>
          </cell>
          <cell r="I710">
            <v>192</v>
          </cell>
          <cell r="J710">
            <v>0</v>
          </cell>
          <cell r="K710">
            <v>587</v>
          </cell>
          <cell r="L710">
            <v>18000</v>
          </cell>
          <cell r="M710">
            <v>1</v>
          </cell>
          <cell r="P710">
            <v>9660434069</v>
          </cell>
        </row>
        <row r="711">
          <cell r="C711">
            <v>0</v>
          </cell>
          <cell r="D711">
            <v>0</v>
          </cell>
          <cell r="E711">
            <v>200</v>
          </cell>
          <cell r="F711">
            <v>2</v>
          </cell>
          <cell r="G711">
            <v>0</v>
          </cell>
          <cell r="H711">
            <v>193</v>
          </cell>
          <cell r="I711">
            <v>192</v>
          </cell>
          <cell r="J711">
            <v>0</v>
          </cell>
          <cell r="K711">
            <v>587</v>
          </cell>
          <cell r="L711">
            <v>18000</v>
          </cell>
          <cell r="M711">
            <v>1</v>
          </cell>
          <cell r="P711">
            <v>9660434069</v>
          </cell>
        </row>
        <row r="712">
          <cell r="C712">
            <v>0</v>
          </cell>
          <cell r="D712">
            <v>0</v>
          </cell>
          <cell r="E712">
            <v>200</v>
          </cell>
          <cell r="F712">
            <v>0</v>
          </cell>
          <cell r="G712">
            <v>0</v>
          </cell>
          <cell r="H712">
            <v>0</v>
          </cell>
          <cell r="I712">
            <v>118</v>
          </cell>
          <cell r="J712">
            <v>0</v>
          </cell>
          <cell r="K712">
            <v>318</v>
          </cell>
          <cell r="L712">
            <v>11067</v>
          </cell>
          <cell r="M712">
            <v>1</v>
          </cell>
          <cell r="P712">
            <v>9660434069</v>
          </cell>
        </row>
        <row r="713">
          <cell r="C713">
            <v>0</v>
          </cell>
          <cell r="D713">
            <v>0</v>
          </cell>
          <cell r="E713">
            <v>200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200</v>
          </cell>
          <cell r="L713">
            <v>0</v>
          </cell>
          <cell r="M713">
            <v>0</v>
          </cell>
          <cell r="P713">
            <v>8560046266</v>
          </cell>
        </row>
        <row r="714">
          <cell r="C714">
            <v>0</v>
          </cell>
          <cell r="D714">
            <v>0</v>
          </cell>
          <cell r="E714">
            <v>200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200</v>
          </cell>
          <cell r="L714">
            <v>0</v>
          </cell>
          <cell r="M714">
            <v>0</v>
          </cell>
          <cell r="P714">
            <v>8560046266</v>
          </cell>
        </row>
        <row r="715">
          <cell r="C715">
            <v>0</v>
          </cell>
          <cell r="D715">
            <v>0</v>
          </cell>
          <cell r="E715">
            <v>200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200</v>
          </cell>
          <cell r="L715">
            <v>0</v>
          </cell>
          <cell r="M715">
            <v>0</v>
          </cell>
          <cell r="P715">
            <v>8560046266</v>
          </cell>
        </row>
        <row r="716">
          <cell r="C716">
            <v>0</v>
          </cell>
          <cell r="D716">
            <v>0</v>
          </cell>
          <cell r="E716">
            <v>200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200</v>
          </cell>
          <cell r="L716">
            <v>0</v>
          </cell>
          <cell r="M716">
            <v>0</v>
          </cell>
          <cell r="P716">
            <v>8560046266</v>
          </cell>
        </row>
        <row r="717">
          <cell r="C717">
            <v>0</v>
          </cell>
          <cell r="D717">
            <v>0</v>
          </cell>
          <cell r="E717">
            <v>200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200</v>
          </cell>
          <cell r="L717">
            <v>0</v>
          </cell>
          <cell r="M717">
            <v>0</v>
          </cell>
          <cell r="P717">
            <v>8560046266</v>
          </cell>
        </row>
        <row r="718">
          <cell r="C718">
            <v>0</v>
          </cell>
          <cell r="D718">
            <v>11646</v>
          </cell>
          <cell r="E718">
            <v>5172</v>
          </cell>
          <cell r="F718">
            <v>4968</v>
          </cell>
          <cell r="G718">
            <v>5000</v>
          </cell>
          <cell r="H718">
            <v>9590</v>
          </cell>
          <cell r="I718">
            <v>1300</v>
          </cell>
          <cell r="J718">
            <v>0</v>
          </cell>
          <cell r="K718">
            <v>26030</v>
          </cell>
          <cell r="L718">
            <v>5000</v>
          </cell>
          <cell r="M718">
            <v>26</v>
          </cell>
          <cell r="P718">
            <v>8769818301</v>
          </cell>
        </row>
        <row r="719">
          <cell r="C719">
            <v>0</v>
          </cell>
          <cell r="D719">
            <v>11700</v>
          </cell>
          <cell r="E719">
            <v>5200</v>
          </cell>
          <cell r="F719">
            <v>5035</v>
          </cell>
          <cell r="G719">
            <v>5000</v>
          </cell>
          <cell r="H719">
            <v>9590</v>
          </cell>
          <cell r="I719">
            <v>1300</v>
          </cell>
          <cell r="J719">
            <v>0</v>
          </cell>
          <cell r="K719">
            <v>26125</v>
          </cell>
          <cell r="L719">
            <v>5000</v>
          </cell>
          <cell r="M719">
            <v>26</v>
          </cell>
          <cell r="P719">
            <v>8769818301</v>
          </cell>
        </row>
        <row r="720">
          <cell r="C720">
            <v>1500</v>
          </cell>
          <cell r="D720">
            <v>0</v>
          </cell>
          <cell r="E720">
            <v>0</v>
          </cell>
          <cell r="F720">
            <v>0</v>
          </cell>
          <cell r="G720">
            <v>1470</v>
          </cell>
          <cell r="H720">
            <v>0</v>
          </cell>
          <cell r="I720">
            <v>270</v>
          </cell>
          <cell r="J720">
            <v>0</v>
          </cell>
          <cell r="K720">
            <v>1740</v>
          </cell>
          <cell r="L720">
            <v>26970</v>
          </cell>
          <cell r="M720">
            <v>3</v>
          </cell>
          <cell r="P720">
            <v>9588009156</v>
          </cell>
        </row>
        <row r="721">
          <cell r="C721">
            <v>1500</v>
          </cell>
          <cell r="D721">
            <v>0</v>
          </cell>
          <cell r="E721">
            <v>0</v>
          </cell>
          <cell r="F721">
            <v>0</v>
          </cell>
          <cell r="G721">
            <v>1500</v>
          </cell>
          <cell r="H721">
            <v>0</v>
          </cell>
          <cell r="I721">
            <v>270</v>
          </cell>
          <cell r="J721">
            <v>0</v>
          </cell>
          <cell r="K721">
            <v>1770</v>
          </cell>
          <cell r="L721">
            <v>27000</v>
          </cell>
          <cell r="M721">
            <v>3</v>
          </cell>
          <cell r="P721">
            <v>9588009156</v>
          </cell>
        </row>
        <row r="722">
          <cell r="C722">
            <v>0</v>
          </cell>
          <cell r="D722">
            <v>0</v>
          </cell>
          <cell r="E722">
            <v>188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188</v>
          </cell>
          <cell r="L722">
            <v>0</v>
          </cell>
          <cell r="M722">
            <v>0</v>
          </cell>
          <cell r="P722">
            <v>9602068481</v>
          </cell>
        </row>
        <row r="723">
          <cell r="C723">
            <v>1000</v>
          </cell>
          <cell r="D723">
            <v>0</v>
          </cell>
          <cell r="E723">
            <v>200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200</v>
          </cell>
          <cell r="L723">
            <v>0</v>
          </cell>
          <cell r="M723">
            <v>0</v>
          </cell>
          <cell r="P723">
            <v>9887259462</v>
          </cell>
        </row>
        <row r="724">
          <cell r="C724">
            <v>1000</v>
          </cell>
          <cell r="D724">
            <v>0</v>
          </cell>
          <cell r="E724">
            <v>200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200</v>
          </cell>
          <cell r="L724">
            <v>0</v>
          </cell>
          <cell r="M724">
            <v>0</v>
          </cell>
          <cell r="P724">
            <v>9887259462</v>
          </cell>
        </row>
        <row r="725">
          <cell r="C725">
            <v>1000</v>
          </cell>
          <cell r="D725">
            <v>0</v>
          </cell>
          <cell r="E725">
            <v>200</v>
          </cell>
          <cell r="F725">
            <v>0</v>
          </cell>
          <cell r="G725">
            <v>552</v>
          </cell>
          <cell r="H725">
            <v>0</v>
          </cell>
          <cell r="I725">
            <v>166</v>
          </cell>
          <cell r="J725">
            <v>0</v>
          </cell>
          <cell r="K725">
            <v>918</v>
          </cell>
          <cell r="L725">
            <v>16552</v>
          </cell>
          <cell r="M725">
            <v>4</v>
          </cell>
          <cell r="P725">
            <v>8949606003</v>
          </cell>
        </row>
        <row r="726">
          <cell r="C726">
            <v>0</v>
          </cell>
          <cell r="D726">
            <v>0</v>
          </cell>
          <cell r="E726">
            <v>200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200</v>
          </cell>
          <cell r="L726">
            <v>0</v>
          </cell>
          <cell r="M726">
            <v>0</v>
          </cell>
          <cell r="P726">
            <v>8949606003</v>
          </cell>
        </row>
        <row r="727">
          <cell r="C727">
            <v>1000</v>
          </cell>
          <cell r="D727">
            <v>0</v>
          </cell>
          <cell r="E727">
            <v>200</v>
          </cell>
          <cell r="F727">
            <v>0</v>
          </cell>
          <cell r="G727">
            <v>980</v>
          </cell>
          <cell r="H727">
            <v>0</v>
          </cell>
          <cell r="I727">
            <v>130</v>
          </cell>
          <cell r="J727">
            <v>0</v>
          </cell>
          <cell r="K727">
            <v>1310</v>
          </cell>
          <cell r="L727">
            <v>12980</v>
          </cell>
          <cell r="M727">
            <v>8</v>
          </cell>
          <cell r="P727">
            <v>9887264682</v>
          </cell>
        </row>
        <row r="728">
          <cell r="C728">
            <v>1000</v>
          </cell>
          <cell r="D728">
            <v>0</v>
          </cell>
          <cell r="E728">
            <v>200</v>
          </cell>
          <cell r="F728">
            <v>0</v>
          </cell>
          <cell r="G728">
            <v>1000</v>
          </cell>
          <cell r="H728">
            <v>0</v>
          </cell>
          <cell r="I728">
            <v>130</v>
          </cell>
          <cell r="J728">
            <v>0</v>
          </cell>
          <cell r="K728">
            <v>1330</v>
          </cell>
          <cell r="L728">
            <v>13000</v>
          </cell>
          <cell r="M728">
            <v>8</v>
          </cell>
          <cell r="P728">
            <v>9887264682</v>
          </cell>
        </row>
        <row r="729">
          <cell r="C729">
            <v>1000</v>
          </cell>
          <cell r="D729">
            <v>0</v>
          </cell>
          <cell r="E729">
            <v>0</v>
          </cell>
          <cell r="F729">
            <v>0</v>
          </cell>
          <cell r="G729">
            <v>1000</v>
          </cell>
          <cell r="H729">
            <v>0</v>
          </cell>
          <cell r="I729">
            <v>300</v>
          </cell>
          <cell r="J729">
            <v>0</v>
          </cell>
          <cell r="K729">
            <v>1300</v>
          </cell>
          <cell r="L729">
            <v>30000</v>
          </cell>
          <cell r="M729">
            <v>1</v>
          </cell>
          <cell r="P729">
            <v>9694390502</v>
          </cell>
        </row>
        <row r="730">
          <cell r="C730">
            <v>1000</v>
          </cell>
          <cell r="D730">
            <v>0</v>
          </cell>
          <cell r="E730">
            <v>200</v>
          </cell>
          <cell r="F730">
            <v>0</v>
          </cell>
          <cell r="G730">
            <v>1000</v>
          </cell>
          <cell r="H730">
            <v>0</v>
          </cell>
          <cell r="I730">
            <v>60</v>
          </cell>
          <cell r="J730">
            <v>0</v>
          </cell>
          <cell r="K730">
            <v>1260</v>
          </cell>
          <cell r="L730">
            <v>6000</v>
          </cell>
          <cell r="M730">
            <v>15</v>
          </cell>
          <cell r="P730">
            <v>9694390502</v>
          </cell>
        </row>
        <row r="731">
          <cell r="C731">
            <v>1000</v>
          </cell>
          <cell r="D731">
            <v>0</v>
          </cell>
          <cell r="E731">
            <v>200</v>
          </cell>
          <cell r="F731">
            <v>0</v>
          </cell>
          <cell r="G731">
            <v>1000</v>
          </cell>
          <cell r="H731">
            <v>0</v>
          </cell>
          <cell r="I731">
            <v>60</v>
          </cell>
          <cell r="J731">
            <v>0</v>
          </cell>
          <cell r="K731">
            <v>1260</v>
          </cell>
          <cell r="L731">
            <v>6000</v>
          </cell>
          <cell r="M731">
            <v>15</v>
          </cell>
          <cell r="P731">
            <v>9694390502</v>
          </cell>
        </row>
        <row r="732">
          <cell r="C732">
            <v>0</v>
          </cell>
          <cell r="D732">
            <v>0</v>
          </cell>
          <cell r="E732">
            <v>200</v>
          </cell>
          <cell r="F732">
            <v>0</v>
          </cell>
          <cell r="G732">
            <v>0</v>
          </cell>
          <cell r="H732">
            <v>0</v>
          </cell>
          <cell r="I732">
            <v>160</v>
          </cell>
          <cell r="J732">
            <v>0</v>
          </cell>
          <cell r="K732">
            <v>360</v>
          </cell>
          <cell r="L732">
            <v>16000</v>
          </cell>
          <cell r="M732">
            <v>1</v>
          </cell>
          <cell r="P732">
            <v>9829642938</v>
          </cell>
        </row>
        <row r="733">
          <cell r="C733">
            <v>0</v>
          </cell>
          <cell r="D733">
            <v>0</v>
          </cell>
          <cell r="E733">
            <v>200</v>
          </cell>
          <cell r="F733">
            <v>0</v>
          </cell>
          <cell r="G733">
            <v>0</v>
          </cell>
          <cell r="H733">
            <v>0</v>
          </cell>
          <cell r="I733">
            <v>160</v>
          </cell>
          <cell r="J733">
            <v>0</v>
          </cell>
          <cell r="K733">
            <v>360</v>
          </cell>
          <cell r="L733">
            <v>16000</v>
          </cell>
          <cell r="M733">
            <v>1</v>
          </cell>
          <cell r="P733">
            <v>9829642938</v>
          </cell>
        </row>
        <row r="734">
          <cell r="C734">
            <v>0</v>
          </cell>
          <cell r="D734">
            <v>0</v>
          </cell>
          <cell r="E734">
            <v>200</v>
          </cell>
          <cell r="F734">
            <v>0</v>
          </cell>
          <cell r="G734">
            <v>0</v>
          </cell>
          <cell r="H734">
            <v>0</v>
          </cell>
          <cell r="I734">
            <v>160</v>
          </cell>
          <cell r="J734">
            <v>0</v>
          </cell>
          <cell r="K734">
            <v>360</v>
          </cell>
          <cell r="L734">
            <v>16000</v>
          </cell>
          <cell r="M734">
            <v>1</v>
          </cell>
          <cell r="P734">
            <v>9829642938</v>
          </cell>
        </row>
        <row r="735">
          <cell r="C735">
            <v>0</v>
          </cell>
          <cell r="D735">
            <v>0</v>
          </cell>
          <cell r="E735">
            <v>200</v>
          </cell>
          <cell r="F735">
            <v>0</v>
          </cell>
          <cell r="G735">
            <v>0</v>
          </cell>
          <cell r="H735">
            <v>0</v>
          </cell>
          <cell r="I735">
            <v>70</v>
          </cell>
          <cell r="J735">
            <v>0</v>
          </cell>
          <cell r="K735">
            <v>270</v>
          </cell>
          <cell r="L735">
            <v>7000</v>
          </cell>
          <cell r="M735">
            <v>1</v>
          </cell>
          <cell r="P735">
            <v>919782606781</v>
          </cell>
        </row>
        <row r="736">
          <cell r="C736">
            <v>0</v>
          </cell>
          <cell r="D736">
            <v>0</v>
          </cell>
          <cell r="E736">
            <v>200</v>
          </cell>
          <cell r="F736">
            <v>0</v>
          </cell>
          <cell r="G736">
            <v>0</v>
          </cell>
          <cell r="H736">
            <v>0</v>
          </cell>
          <cell r="I736">
            <v>160</v>
          </cell>
          <cell r="J736">
            <v>0</v>
          </cell>
          <cell r="K736">
            <v>360</v>
          </cell>
          <cell r="L736">
            <v>16000</v>
          </cell>
          <cell r="M736">
            <v>1</v>
          </cell>
          <cell r="P736">
            <v>919782606781</v>
          </cell>
        </row>
        <row r="737">
          <cell r="C737">
            <v>1000</v>
          </cell>
          <cell r="D737">
            <v>9</v>
          </cell>
          <cell r="E737">
            <v>748</v>
          </cell>
          <cell r="F737">
            <v>48</v>
          </cell>
          <cell r="G737">
            <v>4000</v>
          </cell>
          <cell r="H737">
            <v>336</v>
          </cell>
          <cell r="I737">
            <v>520</v>
          </cell>
          <cell r="J737">
            <v>0</v>
          </cell>
          <cell r="K737">
            <v>5652</v>
          </cell>
          <cell r="L737">
            <v>13000</v>
          </cell>
          <cell r="M737">
            <v>11</v>
          </cell>
          <cell r="P737">
            <v>8946957852</v>
          </cell>
        </row>
        <row r="738">
          <cell r="C738">
            <v>1000</v>
          </cell>
          <cell r="D738">
            <v>39</v>
          </cell>
          <cell r="E738">
            <v>800</v>
          </cell>
          <cell r="F738">
            <v>63</v>
          </cell>
          <cell r="G738">
            <v>4000</v>
          </cell>
          <cell r="H738">
            <v>351</v>
          </cell>
          <cell r="I738">
            <v>520</v>
          </cell>
          <cell r="J738">
            <v>0</v>
          </cell>
          <cell r="K738">
            <v>5734</v>
          </cell>
          <cell r="L738">
            <v>13000</v>
          </cell>
          <cell r="M738">
            <v>11</v>
          </cell>
          <cell r="P738">
            <v>8946957852</v>
          </cell>
        </row>
        <row r="739">
          <cell r="C739">
            <v>1000</v>
          </cell>
          <cell r="D739">
            <v>39</v>
          </cell>
          <cell r="E739">
            <v>800</v>
          </cell>
          <cell r="F739">
            <v>63</v>
          </cell>
          <cell r="G739">
            <v>4000</v>
          </cell>
          <cell r="H739">
            <v>351</v>
          </cell>
          <cell r="I739">
            <v>520</v>
          </cell>
          <cell r="J739">
            <v>0</v>
          </cell>
          <cell r="K739">
            <v>5734</v>
          </cell>
          <cell r="L739">
            <v>13000</v>
          </cell>
          <cell r="M739">
            <v>11</v>
          </cell>
          <cell r="P739">
            <v>8946957852</v>
          </cell>
        </row>
        <row r="740">
          <cell r="C740">
            <v>1000</v>
          </cell>
          <cell r="D740">
            <v>39</v>
          </cell>
          <cell r="E740">
            <v>800</v>
          </cell>
          <cell r="F740">
            <v>63</v>
          </cell>
          <cell r="G740">
            <v>4000</v>
          </cell>
          <cell r="H740">
            <v>351</v>
          </cell>
          <cell r="I740">
            <v>520</v>
          </cell>
          <cell r="J740">
            <v>0</v>
          </cell>
          <cell r="K740">
            <v>5734</v>
          </cell>
          <cell r="L740">
            <v>13000</v>
          </cell>
          <cell r="M740">
            <v>11</v>
          </cell>
          <cell r="P740">
            <v>8946957852</v>
          </cell>
        </row>
        <row r="741">
          <cell r="C741">
            <v>0</v>
          </cell>
          <cell r="D741">
            <v>0</v>
          </cell>
          <cell r="E741">
            <v>200</v>
          </cell>
          <cell r="F741">
            <v>0</v>
          </cell>
          <cell r="G741">
            <v>0</v>
          </cell>
          <cell r="H741">
            <v>0</v>
          </cell>
          <cell r="I741">
            <v>206</v>
          </cell>
          <cell r="J741">
            <v>0</v>
          </cell>
          <cell r="K741">
            <v>406</v>
          </cell>
          <cell r="L741">
            <v>20624</v>
          </cell>
          <cell r="M741">
            <v>3</v>
          </cell>
          <cell r="P741">
            <v>9928390950</v>
          </cell>
        </row>
        <row r="742">
          <cell r="C742">
            <v>0</v>
          </cell>
          <cell r="D742">
            <v>0</v>
          </cell>
          <cell r="E742">
            <v>200</v>
          </cell>
          <cell r="F742">
            <v>0</v>
          </cell>
          <cell r="G742">
            <v>0</v>
          </cell>
          <cell r="H742">
            <v>0</v>
          </cell>
          <cell r="I742">
            <v>200</v>
          </cell>
          <cell r="J742">
            <v>0</v>
          </cell>
          <cell r="K742">
            <v>400</v>
          </cell>
          <cell r="L742">
            <v>20000</v>
          </cell>
          <cell r="M742">
            <v>3</v>
          </cell>
          <cell r="P742">
            <v>9928390950</v>
          </cell>
        </row>
        <row r="743">
          <cell r="C743">
            <v>0</v>
          </cell>
          <cell r="D743">
            <v>0</v>
          </cell>
          <cell r="E743">
            <v>200</v>
          </cell>
          <cell r="F743">
            <v>0</v>
          </cell>
          <cell r="G743">
            <v>0</v>
          </cell>
          <cell r="H743">
            <v>0</v>
          </cell>
          <cell r="I743">
            <v>200</v>
          </cell>
          <cell r="J743">
            <v>0</v>
          </cell>
          <cell r="K743">
            <v>400</v>
          </cell>
          <cell r="L743">
            <v>20000</v>
          </cell>
          <cell r="M743">
            <v>3</v>
          </cell>
          <cell r="P743">
            <v>9928390950</v>
          </cell>
        </row>
        <row r="744">
          <cell r="C744">
            <v>0</v>
          </cell>
          <cell r="D744">
            <v>0</v>
          </cell>
          <cell r="E744">
            <v>200</v>
          </cell>
          <cell r="F744">
            <v>0</v>
          </cell>
          <cell r="G744">
            <v>0</v>
          </cell>
          <cell r="H744">
            <v>0</v>
          </cell>
          <cell r="I744">
            <v>200</v>
          </cell>
          <cell r="J744">
            <v>0</v>
          </cell>
          <cell r="K744">
            <v>400</v>
          </cell>
          <cell r="L744">
            <v>20000</v>
          </cell>
          <cell r="M744">
            <v>3</v>
          </cell>
          <cell r="P744">
            <v>9928390950</v>
          </cell>
        </row>
        <row r="745">
          <cell r="C745">
            <v>0</v>
          </cell>
          <cell r="D745">
            <v>0</v>
          </cell>
          <cell r="E745">
            <v>200</v>
          </cell>
          <cell r="F745">
            <v>0</v>
          </cell>
          <cell r="G745">
            <v>0</v>
          </cell>
          <cell r="H745">
            <v>0</v>
          </cell>
          <cell r="I745">
            <v>200</v>
          </cell>
          <cell r="J745">
            <v>0</v>
          </cell>
          <cell r="K745">
            <v>400</v>
          </cell>
          <cell r="L745">
            <v>20000</v>
          </cell>
          <cell r="M745">
            <v>3</v>
          </cell>
          <cell r="P745">
            <v>9928390950</v>
          </cell>
        </row>
        <row r="746">
          <cell r="C746">
            <v>1000</v>
          </cell>
          <cell r="D746">
            <v>0</v>
          </cell>
          <cell r="E746">
            <v>200</v>
          </cell>
          <cell r="F746">
            <v>0</v>
          </cell>
          <cell r="G746">
            <v>1000</v>
          </cell>
          <cell r="H746">
            <v>0</v>
          </cell>
          <cell r="I746">
            <v>60</v>
          </cell>
          <cell r="J746">
            <v>0</v>
          </cell>
          <cell r="K746">
            <v>1260</v>
          </cell>
          <cell r="L746">
            <v>6000</v>
          </cell>
          <cell r="M746">
            <v>15</v>
          </cell>
          <cell r="P746">
            <v>9828669365</v>
          </cell>
        </row>
        <row r="747">
          <cell r="C747">
            <v>1000</v>
          </cell>
          <cell r="D747">
            <v>0</v>
          </cell>
          <cell r="E747">
            <v>200</v>
          </cell>
          <cell r="F747">
            <v>0</v>
          </cell>
          <cell r="G747">
            <v>1000</v>
          </cell>
          <cell r="H747">
            <v>0</v>
          </cell>
          <cell r="I747">
            <v>60</v>
          </cell>
          <cell r="J747">
            <v>0</v>
          </cell>
          <cell r="K747">
            <v>1260</v>
          </cell>
          <cell r="L747">
            <v>6000</v>
          </cell>
          <cell r="M747">
            <v>15</v>
          </cell>
          <cell r="P747">
            <v>9828669365</v>
          </cell>
        </row>
        <row r="748">
          <cell r="C748">
            <v>1000</v>
          </cell>
          <cell r="D748">
            <v>0</v>
          </cell>
          <cell r="E748">
            <v>200</v>
          </cell>
          <cell r="F748">
            <v>0</v>
          </cell>
          <cell r="G748">
            <v>1000</v>
          </cell>
          <cell r="H748">
            <v>0</v>
          </cell>
          <cell r="I748">
            <v>60</v>
          </cell>
          <cell r="J748">
            <v>0</v>
          </cell>
          <cell r="K748">
            <v>1260</v>
          </cell>
          <cell r="L748">
            <v>6000</v>
          </cell>
          <cell r="M748">
            <v>15</v>
          </cell>
          <cell r="P748">
            <v>9828669365</v>
          </cell>
        </row>
        <row r="749">
          <cell r="C749">
            <v>1000</v>
          </cell>
          <cell r="D749">
            <v>0</v>
          </cell>
          <cell r="E749">
            <v>200</v>
          </cell>
          <cell r="F749">
            <v>0</v>
          </cell>
          <cell r="G749">
            <v>1000</v>
          </cell>
          <cell r="H749">
            <v>0</v>
          </cell>
          <cell r="I749">
            <v>60</v>
          </cell>
          <cell r="J749">
            <v>0</v>
          </cell>
          <cell r="K749">
            <v>1260</v>
          </cell>
          <cell r="L749">
            <v>6000</v>
          </cell>
          <cell r="M749">
            <v>15</v>
          </cell>
          <cell r="P749">
            <v>9828669365</v>
          </cell>
        </row>
        <row r="750">
          <cell r="C750">
            <v>0</v>
          </cell>
          <cell r="D750">
            <v>0</v>
          </cell>
          <cell r="E750">
            <v>200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200</v>
          </cell>
          <cell r="L750">
            <v>0</v>
          </cell>
          <cell r="M750">
            <v>0</v>
          </cell>
          <cell r="P750">
            <v>9829642938</v>
          </cell>
        </row>
        <row r="751">
          <cell r="C751">
            <v>0</v>
          </cell>
          <cell r="D751">
            <v>0</v>
          </cell>
          <cell r="E751">
            <v>200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200</v>
          </cell>
          <cell r="L751">
            <v>0</v>
          </cell>
          <cell r="M751">
            <v>0</v>
          </cell>
          <cell r="P751">
            <v>9829642938</v>
          </cell>
        </row>
        <row r="752">
          <cell r="C752">
            <v>500</v>
          </cell>
          <cell r="D752">
            <v>0</v>
          </cell>
          <cell r="E752">
            <v>200</v>
          </cell>
          <cell r="F752">
            <v>0</v>
          </cell>
          <cell r="G752">
            <v>500</v>
          </cell>
          <cell r="H752">
            <v>0</v>
          </cell>
          <cell r="I752">
            <v>125</v>
          </cell>
          <cell r="J752">
            <v>0</v>
          </cell>
          <cell r="K752">
            <v>825</v>
          </cell>
          <cell r="L752">
            <v>12500</v>
          </cell>
          <cell r="M752">
            <v>16</v>
          </cell>
          <cell r="P752">
            <v>6367846106</v>
          </cell>
        </row>
        <row r="753">
          <cell r="C753">
            <v>500</v>
          </cell>
          <cell r="D753">
            <v>0</v>
          </cell>
          <cell r="E753">
            <v>200</v>
          </cell>
          <cell r="F753">
            <v>0</v>
          </cell>
          <cell r="G753">
            <v>500</v>
          </cell>
          <cell r="H753">
            <v>0</v>
          </cell>
          <cell r="I753">
            <v>125</v>
          </cell>
          <cell r="J753">
            <v>0</v>
          </cell>
          <cell r="K753">
            <v>825</v>
          </cell>
          <cell r="L753">
            <v>12500</v>
          </cell>
          <cell r="M753">
            <v>16</v>
          </cell>
          <cell r="P753">
            <v>6367846106</v>
          </cell>
        </row>
        <row r="754">
          <cell r="C754">
            <v>500</v>
          </cell>
          <cell r="D754">
            <v>0</v>
          </cell>
          <cell r="E754">
            <v>200</v>
          </cell>
          <cell r="F754">
            <v>0</v>
          </cell>
          <cell r="G754">
            <v>500</v>
          </cell>
          <cell r="H754">
            <v>0</v>
          </cell>
          <cell r="I754">
            <v>130</v>
          </cell>
          <cell r="J754">
            <v>0</v>
          </cell>
          <cell r="K754">
            <v>830</v>
          </cell>
          <cell r="L754">
            <v>13000</v>
          </cell>
          <cell r="M754">
            <v>15</v>
          </cell>
          <cell r="P754">
            <v>6367846106</v>
          </cell>
        </row>
        <row r="755">
          <cell r="C755">
            <v>500</v>
          </cell>
          <cell r="D755">
            <v>0</v>
          </cell>
          <cell r="E755">
            <v>200</v>
          </cell>
          <cell r="F755">
            <v>0</v>
          </cell>
          <cell r="G755">
            <v>500</v>
          </cell>
          <cell r="H755">
            <v>0</v>
          </cell>
          <cell r="I755">
            <v>130</v>
          </cell>
          <cell r="J755">
            <v>0</v>
          </cell>
          <cell r="K755">
            <v>830</v>
          </cell>
          <cell r="L755">
            <v>13000</v>
          </cell>
          <cell r="M755">
            <v>15</v>
          </cell>
          <cell r="P755">
            <v>6367846106</v>
          </cell>
        </row>
        <row r="756">
          <cell r="C756">
            <v>500</v>
          </cell>
          <cell r="D756">
            <v>0</v>
          </cell>
          <cell r="E756">
            <v>200</v>
          </cell>
          <cell r="F756">
            <v>0</v>
          </cell>
          <cell r="G756">
            <v>500</v>
          </cell>
          <cell r="H756">
            <v>0</v>
          </cell>
          <cell r="I756">
            <v>130</v>
          </cell>
          <cell r="J756">
            <v>0</v>
          </cell>
          <cell r="K756">
            <v>830</v>
          </cell>
          <cell r="L756">
            <v>13000</v>
          </cell>
          <cell r="M756">
            <v>15</v>
          </cell>
          <cell r="P756">
            <v>6367846106</v>
          </cell>
        </row>
        <row r="757">
          <cell r="C757">
            <v>500</v>
          </cell>
          <cell r="D757">
            <v>0</v>
          </cell>
          <cell r="E757">
            <v>200</v>
          </cell>
          <cell r="F757">
            <v>0</v>
          </cell>
          <cell r="G757">
            <v>500</v>
          </cell>
          <cell r="H757">
            <v>0</v>
          </cell>
          <cell r="I757">
            <v>130</v>
          </cell>
          <cell r="J757">
            <v>0</v>
          </cell>
          <cell r="K757">
            <v>830</v>
          </cell>
          <cell r="L757">
            <v>13000</v>
          </cell>
          <cell r="M757">
            <v>15</v>
          </cell>
          <cell r="P757">
            <v>6367846106</v>
          </cell>
        </row>
        <row r="758">
          <cell r="C758">
            <v>500</v>
          </cell>
          <cell r="D758">
            <v>0</v>
          </cell>
          <cell r="E758">
            <v>200</v>
          </cell>
          <cell r="F758">
            <v>0</v>
          </cell>
          <cell r="G758">
            <v>0</v>
          </cell>
          <cell r="H758">
            <v>0</v>
          </cell>
          <cell r="I758">
            <v>95</v>
          </cell>
          <cell r="J758">
            <v>0</v>
          </cell>
          <cell r="K758">
            <v>295</v>
          </cell>
          <cell r="L758">
            <v>9545</v>
          </cell>
          <cell r="M758">
            <v>15</v>
          </cell>
          <cell r="P758">
            <v>6367846106</v>
          </cell>
        </row>
        <row r="759">
          <cell r="C759">
            <v>0</v>
          </cell>
          <cell r="D759">
            <v>0</v>
          </cell>
          <cell r="E759">
            <v>200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200</v>
          </cell>
          <cell r="L759">
            <v>0</v>
          </cell>
          <cell r="M759">
            <v>0</v>
          </cell>
          <cell r="P759">
            <v>8741978113</v>
          </cell>
        </row>
        <row r="760">
          <cell r="C760">
            <v>0</v>
          </cell>
          <cell r="D760">
            <v>0</v>
          </cell>
          <cell r="E760">
            <v>200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200</v>
          </cell>
          <cell r="L760">
            <v>0</v>
          </cell>
          <cell r="M760">
            <v>0</v>
          </cell>
          <cell r="P760">
            <v>8741978113</v>
          </cell>
        </row>
        <row r="761">
          <cell r="C761">
            <v>100</v>
          </cell>
          <cell r="D761">
            <v>0</v>
          </cell>
          <cell r="E761">
            <v>200</v>
          </cell>
          <cell r="F761">
            <v>0</v>
          </cell>
          <cell r="G761">
            <v>0</v>
          </cell>
          <cell r="H761">
            <v>0</v>
          </cell>
          <cell r="I761">
            <v>5</v>
          </cell>
          <cell r="J761">
            <v>0</v>
          </cell>
          <cell r="K761">
            <v>205</v>
          </cell>
          <cell r="L761">
            <v>487</v>
          </cell>
          <cell r="M761">
            <v>4</v>
          </cell>
          <cell r="P761">
            <v>9829533676</v>
          </cell>
        </row>
        <row r="762">
          <cell r="C762">
            <v>400</v>
          </cell>
          <cell r="D762">
            <v>0</v>
          </cell>
          <cell r="E762">
            <v>200</v>
          </cell>
          <cell r="F762">
            <v>0</v>
          </cell>
          <cell r="G762">
            <v>0</v>
          </cell>
          <cell r="H762">
            <v>0</v>
          </cell>
          <cell r="I762">
            <v>40</v>
          </cell>
          <cell r="J762">
            <v>0</v>
          </cell>
          <cell r="K762">
            <v>240</v>
          </cell>
          <cell r="L762">
            <v>4000</v>
          </cell>
          <cell r="M762">
            <v>4</v>
          </cell>
          <cell r="P762">
            <v>9829533676</v>
          </cell>
        </row>
        <row r="763">
          <cell r="C763">
            <v>1000</v>
          </cell>
          <cell r="D763">
            <v>0</v>
          </cell>
          <cell r="E763">
            <v>0</v>
          </cell>
          <cell r="F763">
            <v>0</v>
          </cell>
          <cell r="G763">
            <v>1000</v>
          </cell>
          <cell r="H763">
            <v>0</v>
          </cell>
          <cell r="I763">
            <v>190</v>
          </cell>
          <cell r="J763">
            <v>0</v>
          </cell>
          <cell r="K763">
            <v>1190</v>
          </cell>
          <cell r="L763">
            <v>20000</v>
          </cell>
          <cell r="M763">
            <v>1</v>
          </cell>
          <cell r="P763">
            <v>8952868259</v>
          </cell>
        </row>
        <row r="764">
          <cell r="C764">
            <v>1000</v>
          </cell>
          <cell r="D764">
            <v>0</v>
          </cell>
          <cell r="E764">
            <v>37</v>
          </cell>
          <cell r="F764">
            <v>0</v>
          </cell>
          <cell r="G764">
            <v>1000</v>
          </cell>
          <cell r="H764">
            <v>0</v>
          </cell>
          <cell r="I764">
            <v>200</v>
          </cell>
          <cell r="J764">
            <v>0</v>
          </cell>
          <cell r="K764">
            <v>1237</v>
          </cell>
          <cell r="L764">
            <v>20000</v>
          </cell>
          <cell r="M764">
            <v>1</v>
          </cell>
          <cell r="P764">
            <v>8952868259</v>
          </cell>
        </row>
        <row r="765">
          <cell r="C765">
            <v>0</v>
          </cell>
          <cell r="D765">
            <v>0</v>
          </cell>
          <cell r="E765">
            <v>1000</v>
          </cell>
          <cell r="F765">
            <v>106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1106</v>
          </cell>
          <cell r="L765">
            <v>0</v>
          </cell>
          <cell r="M765">
            <v>0</v>
          </cell>
          <cell r="P765">
            <v>7742331956</v>
          </cell>
        </row>
        <row r="766">
          <cell r="C766">
            <v>0</v>
          </cell>
          <cell r="D766">
            <v>227</v>
          </cell>
          <cell r="E766">
            <v>1000</v>
          </cell>
          <cell r="F766">
            <v>106</v>
          </cell>
          <cell r="G766">
            <v>15300</v>
          </cell>
          <cell r="H766">
            <v>801</v>
          </cell>
          <cell r="I766">
            <v>306</v>
          </cell>
          <cell r="J766">
            <v>0</v>
          </cell>
          <cell r="K766">
            <v>17513</v>
          </cell>
          <cell r="L766">
            <v>15300</v>
          </cell>
          <cell r="M766">
            <v>7</v>
          </cell>
          <cell r="P766">
            <v>7742331956</v>
          </cell>
        </row>
        <row r="767">
          <cell r="C767">
            <v>1000</v>
          </cell>
          <cell r="D767">
            <v>0</v>
          </cell>
          <cell r="E767">
            <v>1000</v>
          </cell>
          <cell r="F767">
            <v>106</v>
          </cell>
          <cell r="G767">
            <v>3468</v>
          </cell>
          <cell r="H767">
            <v>0</v>
          </cell>
          <cell r="I767">
            <v>210</v>
          </cell>
          <cell r="J767">
            <v>0</v>
          </cell>
          <cell r="K767">
            <v>4784</v>
          </cell>
          <cell r="L767">
            <v>10468</v>
          </cell>
          <cell r="M767">
            <v>13</v>
          </cell>
          <cell r="P767">
            <v>8000301053</v>
          </cell>
        </row>
        <row r="768">
          <cell r="C768">
            <v>0</v>
          </cell>
          <cell r="D768">
            <v>0</v>
          </cell>
          <cell r="E768">
            <v>174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174</v>
          </cell>
          <cell r="L768">
            <v>0</v>
          </cell>
          <cell r="M768">
            <v>0</v>
          </cell>
          <cell r="P768">
            <v>9783081834</v>
          </cell>
        </row>
        <row r="769">
          <cell r="C769">
            <v>0</v>
          </cell>
          <cell r="D769">
            <v>0</v>
          </cell>
          <cell r="E769">
            <v>200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200</v>
          </cell>
          <cell r="L769">
            <v>0</v>
          </cell>
          <cell r="M769">
            <v>0</v>
          </cell>
          <cell r="P769">
            <v>9783081834</v>
          </cell>
        </row>
        <row r="770"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P770">
            <v>9588828274</v>
          </cell>
        </row>
        <row r="771">
          <cell r="C771">
            <v>0</v>
          </cell>
          <cell r="D771">
            <v>0</v>
          </cell>
          <cell r="E771">
            <v>200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200</v>
          </cell>
          <cell r="L771">
            <v>0</v>
          </cell>
          <cell r="M771">
            <v>0</v>
          </cell>
          <cell r="P771">
            <v>9588828274</v>
          </cell>
        </row>
        <row r="772">
          <cell r="C772">
            <v>0</v>
          </cell>
          <cell r="D772">
            <v>0</v>
          </cell>
          <cell r="E772">
            <v>400</v>
          </cell>
          <cell r="F772">
            <v>10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410</v>
          </cell>
          <cell r="L772">
            <v>0</v>
          </cell>
          <cell r="M772">
            <v>0</v>
          </cell>
          <cell r="P772">
            <v>9588828274</v>
          </cell>
        </row>
        <row r="773">
          <cell r="C773">
            <v>700</v>
          </cell>
          <cell r="D773">
            <v>0</v>
          </cell>
          <cell r="E773">
            <v>600</v>
          </cell>
          <cell r="F773">
            <v>31</v>
          </cell>
          <cell r="G773">
            <v>2100</v>
          </cell>
          <cell r="H773">
            <v>115</v>
          </cell>
          <cell r="I773">
            <v>316</v>
          </cell>
          <cell r="J773">
            <v>0</v>
          </cell>
          <cell r="K773">
            <v>3162</v>
          </cell>
          <cell r="L773">
            <v>15800</v>
          </cell>
          <cell r="M773">
            <v>9</v>
          </cell>
          <cell r="P773">
            <v>9784800461</v>
          </cell>
        </row>
        <row r="774">
          <cell r="C774">
            <v>700</v>
          </cell>
          <cell r="D774">
            <v>0</v>
          </cell>
          <cell r="E774">
            <v>600</v>
          </cell>
          <cell r="F774">
            <v>31</v>
          </cell>
          <cell r="G774">
            <v>2100</v>
          </cell>
          <cell r="H774">
            <v>115</v>
          </cell>
          <cell r="I774">
            <v>316</v>
          </cell>
          <cell r="J774">
            <v>0</v>
          </cell>
          <cell r="K774">
            <v>3162</v>
          </cell>
          <cell r="L774">
            <v>15800</v>
          </cell>
          <cell r="M774">
            <v>9</v>
          </cell>
          <cell r="P774">
            <v>9784800461</v>
          </cell>
        </row>
        <row r="775">
          <cell r="C775">
            <v>1000</v>
          </cell>
          <cell r="D775">
            <v>12</v>
          </cell>
          <cell r="E775">
            <v>600</v>
          </cell>
          <cell r="F775">
            <v>31</v>
          </cell>
          <cell r="G775">
            <v>4933</v>
          </cell>
          <cell r="H775">
            <v>356</v>
          </cell>
          <cell r="I775">
            <v>198</v>
          </cell>
          <cell r="J775">
            <v>0</v>
          </cell>
          <cell r="K775">
            <v>6118</v>
          </cell>
          <cell r="L775">
            <v>9933</v>
          </cell>
          <cell r="M775">
            <v>15</v>
          </cell>
          <cell r="P775">
            <v>9784800461</v>
          </cell>
        </row>
        <row r="776">
          <cell r="C776">
            <v>1000</v>
          </cell>
          <cell r="D776">
            <v>0</v>
          </cell>
          <cell r="E776">
            <v>1200</v>
          </cell>
          <cell r="F776">
            <v>92</v>
          </cell>
          <cell r="G776">
            <v>2000</v>
          </cell>
          <cell r="H776">
            <v>54</v>
          </cell>
          <cell r="I776">
            <v>140</v>
          </cell>
          <cell r="J776">
            <v>0</v>
          </cell>
          <cell r="K776">
            <v>3486</v>
          </cell>
          <cell r="L776">
            <v>7000</v>
          </cell>
          <cell r="M776">
            <v>15</v>
          </cell>
          <cell r="P776">
            <v>9784800461</v>
          </cell>
        </row>
        <row r="777">
          <cell r="C777">
            <v>250</v>
          </cell>
          <cell r="D777">
            <v>0</v>
          </cell>
          <cell r="E777">
            <v>200</v>
          </cell>
          <cell r="F777">
            <v>0</v>
          </cell>
          <cell r="G777">
            <v>0</v>
          </cell>
          <cell r="H777">
            <v>0</v>
          </cell>
          <cell r="I777">
            <v>143</v>
          </cell>
          <cell r="J777">
            <v>0</v>
          </cell>
          <cell r="K777">
            <v>343</v>
          </cell>
          <cell r="L777">
            <v>14328</v>
          </cell>
          <cell r="M777">
            <v>16</v>
          </cell>
          <cell r="P777">
            <v>9983675956</v>
          </cell>
        </row>
        <row r="778">
          <cell r="C778">
            <v>250</v>
          </cell>
          <cell r="D778">
            <v>0</v>
          </cell>
          <cell r="E778">
            <v>200</v>
          </cell>
          <cell r="F778">
            <v>0</v>
          </cell>
          <cell r="G778">
            <v>0</v>
          </cell>
          <cell r="H778">
            <v>0</v>
          </cell>
          <cell r="I778">
            <v>143</v>
          </cell>
          <cell r="J778">
            <v>0</v>
          </cell>
          <cell r="K778">
            <v>343</v>
          </cell>
          <cell r="L778">
            <v>14272</v>
          </cell>
          <cell r="M778">
            <v>16</v>
          </cell>
          <cell r="P778">
            <v>9983675956</v>
          </cell>
        </row>
        <row r="779">
          <cell r="C779">
            <v>250</v>
          </cell>
          <cell r="D779">
            <v>0</v>
          </cell>
          <cell r="E779">
            <v>200</v>
          </cell>
          <cell r="F779">
            <v>0</v>
          </cell>
          <cell r="G779">
            <v>0</v>
          </cell>
          <cell r="H779">
            <v>0</v>
          </cell>
          <cell r="I779">
            <v>145</v>
          </cell>
          <cell r="J779">
            <v>0</v>
          </cell>
          <cell r="K779">
            <v>345</v>
          </cell>
          <cell r="L779">
            <v>14530</v>
          </cell>
          <cell r="M779">
            <v>16</v>
          </cell>
          <cell r="P779">
            <v>9983675956</v>
          </cell>
        </row>
        <row r="780">
          <cell r="C780">
            <v>250</v>
          </cell>
          <cell r="D780">
            <v>0</v>
          </cell>
          <cell r="E780">
            <v>200</v>
          </cell>
          <cell r="F780">
            <v>0</v>
          </cell>
          <cell r="G780">
            <v>0</v>
          </cell>
          <cell r="H780">
            <v>0</v>
          </cell>
          <cell r="I780">
            <v>146</v>
          </cell>
          <cell r="J780">
            <v>0</v>
          </cell>
          <cell r="K780">
            <v>346</v>
          </cell>
          <cell r="L780">
            <v>14552</v>
          </cell>
          <cell r="M780">
            <v>16</v>
          </cell>
          <cell r="P780">
            <v>9983675956</v>
          </cell>
        </row>
        <row r="781">
          <cell r="C781">
            <v>0</v>
          </cell>
          <cell r="D781">
            <v>0</v>
          </cell>
          <cell r="E781">
            <v>200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200</v>
          </cell>
          <cell r="L781">
            <v>0</v>
          </cell>
          <cell r="M781">
            <v>0</v>
          </cell>
          <cell r="P781">
            <v>8947800094</v>
          </cell>
        </row>
        <row r="782">
          <cell r="C782">
            <v>0</v>
          </cell>
          <cell r="D782">
            <v>0</v>
          </cell>
          <cell r="E782">
            <v>200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200</v>
          </cell>
          <cell r="L782">
            <v>0</v>
          </cell>
          <cell r="M782">
            <v>0</v>
          </cell>
          <cell r="P782">
            <v>8947800094</v>
          </cell>
        </row>
        <row r="783">
          <cell r="C783">
            <v>0</v>
          </cell>
          <cell r="D783">
            <v>0</v>
          </cell>
          <cell r="E783">
            <v>200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200</v>
          </cell>
          <cell r="L783">
            <v>0</v>
          </cell>
          <cell r="M783">
            <v>0</v>
          </cell>
          <cell r="P783">
            <v>8947800094</v>
          </cell>
        </row>
        <row r="784">
          <cell r="C784">
            <v>0</v>
          </cell>
          <cell r="D784">
            <v>0</v>
          </cell>
          <cell r="E784">
            <v>198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198</v>
          </cell>
          <cell r="L784">
            <v>0</v>
          </cell>
          <cell r="M784">
            <v>0</v>
          </cell>
          <cell r="P784">
            <v>8947800094</v>
          </cell>
        </row>
        <row r="785">
          <cell r="C785">
            <v>0</v>
          </cell>
          <cell r="D785">
            <v>0</v>
          </cell>
          <cell r="E785">
            <v>200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200</v>
          </cell>
          <cell r="L785">
            <v>0</v>
          </cell>
          <cell r="M785">
            <v>0</v>
          </cell>
          <cell r="P785">
            <v>8947800094</v>
          </cell>
        </row>
        <row r="786">
          <cell r="C786">
            <v>1000</v>
          </cell>
          <cell r="D786">
            <v>0</v>
          </cell>
          <cell r="E786">
            <v>200</v>
          </cell>
          <cell r="F786">
            <v>0</v>
          </cell>
          <cell r="G786">
            <v>1000</v>
          </cell>
          <cell r="H786">
            <v>0</v>
          </cell>
          <cell r="I786">
            <v>120</v>
          </cell>
          <cell r="J786">
            <v>0</v>
          </cell>
          <cell r="K786">
            <v>1320</v>
          </cell>
          <cell r="L786">
            <v>12000</v>
          </cell>
          <cell r="M786">
            <v>9</v>
          </cell>
          <cell r="P786">
            <v>9602489968</v>
          </cell>
        </row>
        <row r="787">
          <cell r="C787">
            <v>1000</v>
          </cell>
          <cell r="D787">
            <v>0</v>
          </cell>
          <cell r="E787">
            <v>200</v>
          </cell>
          <cell r="F787">
            <v>0</v>
          </cell>
          <cell r="G787">
            <v>1000</v>
          </cell>
          <cell r="H787">
            <v>0</v>
          </cell>
          <cell r="I787">
            <v>120</v>
          </cell>
          <cell r="J787">
            <v>0</v>
          </cell>
          <cell r="K787">
            <v>1320</v>
          </cell>
          <cell r="L787">
            <v>12000</v>
          </cell>
          <cell r="M787">
            <v>9</v>
          </cell>
          <cell r="P787">
            <v>9602489968</v>
          </cell>
        </row>
        <row r="788">
          <cell r="C788">
            <v>670</v>
          </cell>
          <cell r="D788">
            <v>0</v>
          </cell>
          <cell r="E788">
            <v>200</v>
          </cell>
          <cell r="F788">
            <v>0</v>
          </cell>
          <cell r="G788">
            <v>670</v>
          </cell>
          <cell r="H788">
            <v>0</v>
          </cell>
          <cell r="I788">
            <v>153</v>
          </cell>
          <cell r="J788">
            <v>0</v>
          </cell>
          <cell r="K788">
            <v>1023</v>
          </cell>
          <cell r="L788">
            <v>15310</v>
          </cell>
          <cell r="M788">
            <v>8</v>
          </cell>
          <cell r="P788">
            <v>9950082891</v>
          </cell>
        </row>
        <row r="789">
          <cell r="C789">
            <v>670</v>
          </cell>
          <cell r="D789">
            <v>0</v>
          </cell>
          <cell r="E789">
            <v>200</v>
          </cell>
          <cell r="F789">
            <v>0</v>
          </cell>
          <cell r="G789">
            <v>670</v>
          </cell>
          <cell r="H789">
            <v>0</v>
          </cell>
          <cell r="I789">
            <v>153</v>
          </cell>
          <cell r="J789">
            <v>0</v>
          </cell>
          <cell r="K789">
            <v>1023</v>
          </cell>
          <cell r="L789">
            <v>15310</v>
          </cell>
          <cell r="M789">
            <v>8</v>
          </cell>
          <cell r="P789">
            <v>9950082891</v>
          </cell>
        </row>
        <row r="790">
          <cell r="C790">
            <v>670</v>
          </cell>
          <cell r="D790">
            <v>0</v>
          </cell>
          <cell r="E790">
            <v>200</v>
          </cell>
          <cell r="F790">
            <v>0</v>
          </cell>
          <cell r="G790">
            <v>670</v>
          </cell>
          <cell r="H790">
            <v>0</v>
          </cell>
          <cell r="I790">
            <v>153</v>
          </cell>
          <cell r="J790">
            <v>0</v>
          </cell>
          <cell r="K790">
            <v>1023</v>
          </cell>
          <cell r="L790">
            <v>15310</v>
          </cell>
          <cell r="M790">
            <v>8</v>
          </cell>
          <cell r="P790">
            <v>9950082891</v>
          </cell>
        </row>
        <row r="791">
          <cell r="C791">
            <v>670</v>
          </cell>
          <cell r="D791">
            <v>0</v>
          </cell>
          <cell r="E791">
            <v>200</v>
          </cell>
          <cell r="F791">
            <v>0</v>
          </cell>
          <cell r="G791">
            <v>670</v>
          </cell>
          <cell r="H791">
            <v>0</v>
          </cell>
          <cell r="I791">
            <v>153</v>
          </cell>
          <cell r="J791">
            <v>0</v>
          </cell>
          <cell r="K791">
            <v>1023</v>
          </cell>
          <cell r="L791">
            <v>15310</v>
          </cell>
          <cell r="M791">
            <v>8</v>
          </cell>
          <cell r="P791">
            <v>9950082891</v>
          </cell>
        </row>
        <row r="792">
          <cell r="C792">
            <v>670</v>
          </cell>
          <cell r="D792">
            <v>0</v>
          </cell>
          <cell r="E792">
            <v>200</v>
          </cell>
          <cell r="F792">
            <v>0</v>
          </cell>
          <cell r="G792">
            <v>670</v>
          </cell>
          <cell r="H792">
            <v>0</v>
          </cell>
          <cell r="I792">
            <v>153</v>
          </cell>
          <cell r="J792">
            <v>0</v>
          </cell>
          <cell r="K792">
            <v>1023</v>
          </cell>
          <cell r="L792">
            <v>15310</v>
          </cell>
          <cell r="M792">
            <v>8</v>
          </cell>
          <cell r="P792">
            <v>9950082891</v>
          </cell>
        </row>
        <row r="793">
          <cell r="C793">
            <v>500</v>
          </cell>
          <cell r="D793">
            <v>0</v>
          </cell>
          <cell r="E793">
            <v>200</v>
          </cell>
          <cell r="F793">
            <v>0</v>
          </cell>
          <cell r="G793">
            <v>382</v>
          </cell>
          <cell r="H793">
            <v>0</v>
          </cell>
          <cell r="I793">
            <v>134</v>
          </cell>
          <cell r="J793">
            <v>0</v>
          </cell>
          <cell r="K793">
            <v>716</v>
          </cell>
          <cell r="L793">
            <v>13382</v>
          </cell>
          <cell r="M793">
            <v>14</v>
          </cell>
          <cell r="P793">
            <v>9772268631</v>
          </cell>
        </row>
        <row r="794">
          <cell r="C794">
            <v>500</v>
          </cell>
          <cell r="D794">
            <v>0</v>
          </cell>
          <cell r="E794">
            <v>200</v>
          </cell>
          <cell r="F794">
            <v>0</v>
          </cell>
          <cell r="G794">
            <v>500</v>
          </cell>
          <cell r="H794">
            <v>0</v>
          </cell>
          <cell r="I794">
            <v>135</v>
          </cell>
          <cell r="J794">
            <v>0</v>
          </cell>
          <cell r="K794">
            <v>835</v>
          </cell>
          <cell r="L794">
            <v>13500</v>
          </cell>
          <cell r="M794">
            <v>14</v>
          </cell>
          <cell r="P794">
            <v>9772268631</v>
          </cell>
        </row>
        <row r="795">
          <cell r="C795">
            <v>500</v>
          </cell>
          <cell r="D795">
            <v>0</v>
          </cell>
          <cell r="E795">
            <v>200</v>
          </cell>
          <cell r="F795">
            <v>0</v>
          </cell>
          <cell r="G795">
            <v>500</v>
          </cell>
          <cell r="H795">
            <v>0</v>
          </cell>
          <cell r="I795">
            <v>135</v>
          </cell>
          <cell r="J795">
            <v>0</v>
          </cell>
          <cell r="K795">
            <v>835</v>
          </cell>
          <cell r="L795">
            <v>13500</v>
          </cell>
          <cell r="M795">
            <v>14</v>
          </cell>
          <cell r="P795">
            <v>9772268631</v>
          </cell>
        </row>
        <row r="796">
          <cell r="C796">
            <v>500</v>
          </cell>
          <cell r="D796">
            <v>0</v>
          </cell>
          <cell r="E796">
            <v>200</v>
          </cell>
          <cell r="F796">
            <v>0</v>
          </cell>
          <cell r="G796">
            <v>500</v>
          </cell>
          <cell r="H796">
            <v>0</v>
          </cell>
          <cell r="I796">
            <v>135</v>
          </cell>
          <cell r="J796">
            <v>0</v>
          </cell>
          <cell r="K796">
            <v>835</v>
          </cell>
          <cell r="L796">
            <v>13500</v>
          </cell>
          <cell r="M796">
            <v>14</v>
          </cell>
          <cell r="P796">
            <v>9772268631</v>
          </cell>
        </row>
        <row r="797">
          <cell r="C797">
            <v>500</v>
          </cell>
          <cell r="D797">
            <v>0</v>
          </cell>
          <cell r="E797">
            <v>200</v>
          </cell>
          <cell r="F797">
            <v>0</v>
          </cell>
          <cell r="G797">
            <v>500</v>
          </cell>
          <cell r="H797">
            <v>0</v>
          </cell>
          <cell r="I797">
            <v>135</v>
          </cell>
          <cell r="J797">
            <v>0</v>
          </cell>
          <cell r="K797">
            <v>835</v>
          </cell>
          <cell r="L797">
            <v>13500</v>
          </cell>
          <cell r="M797">
            <v>14</v>
          </cell>
          <cell r="P797">
            <v>9772268631</v>
          </cell>
        </row>
        <row r="798">
          <cell r="C798">
            <v>500</v>
          </cell>
          <cell r="D798">
            <v>0</v>
          </cell>
          <cell r="E798">
            <v>200</v>
          </cell>
          <cell r="F798">
            <v>0</v>
          </cell>
          <cell r="G798">
            <v>500</v>
          </cell>
          <cell r="H798">
            <v>0</v>
          </cell>
          <cell r="I798">
            <v>135</v>
          </cell>
          <cell r="J798">
            <v>0</v>
          </cell>
          <cell r="K798">
            <v>835</v>
          </cell>
          <cell r="L798">
            <v>13500</v>
          </cell>
          <cell r="M798">
            <v>14</v>
          </cell>
          <cell r="P798">
            <v>9772268631</v>
          </cell>
        </row>
        <row r="799">
          <cell r="C799">
            <v>500</v>
          </cell>
          <cell r="D799">
            <v>0</v>
          </cell>
          <cell r="E799">
            <v>1600</v>
          </cell>
          <cell r="F799">
            <v>310</v>
          </cell>
          <cell r="G799">
            <v>5500</v>
          </cell>
          <cell r="H799">
            <v>0</v>
          </cell>
          <cell r="I799">
            <v>1600</v>
          </cell>
          <cell r="J799">
            <v>0</v>
          </cell>
          <cell r="K799">
            <v>9010</v>
          </cell>
          <cell r="L799">
            <v>20000</v>
          </cell>
          <cell r="M799">
            <v>8</v>
          </cell>
          <cell r="P799">
            <v>9928304255</v>
          </cell>
        </row>
        <row r="800">
          <cell r="C800">
            <v>1000</v>
          </cell>
          <cell r="D800">
            <v>0</v>
          </cell>
          <cell r="E800">
            <v>1600</v>
          </cell>
          <cell r="F800">
            <v>310</v>
          </cell>
          <cell r="G800">
            <v>11000</v>
          </cell>
          <cell r="H800">
            <v>0</v>
          </cell>
          <cell r="I800">
            <v>1200</v>
          </cell>
          <cell r="J800">
            <v>0</v>
          </cell>
          <cell r="K800">
            <v>14110</v>
          </cell>
          <cell r="L800">
            <v>15000</v>
          </cell>
          <cell r="M800">
            <v>8</v>
          </cell>
          <cell r="P800">
            <v>9928304255</v>
          </cell>
        </row>
        <row r="801">
          <cell r="C801">
            <v>1000</v>
          </cell>
          <cell r="D801">
            <v>0</v>
          </cell>
          <cell r="E801">
            <v>1600</v>
          </cell>
          <cell r="F801">
            <v>310</v>
          </cell>
          <cell r="G801">
            <v>11000</v>
          </cell>
          <cell r="H801">
            <v>0</v>
          </cell>
          <cell r="I801">
            <v>1200</v>
          </cell>
          <cell r="J801">
            <v>0</v>
          </cell>
          <cell r="K801">
            <v>14110</v>
          </cell>
          <cell r="L801">
            <v>15000</v>
          </cell>
          <cell r="M801">
            <v>8</v>
          </cell>
          <cell r="P801">
            <v>9928304255</v>
          </cell>
        </row>
        <row r="802">
          <cell r="C802">
            <v>1000</v>
          </cell>
          <cell r="D802">
            <v>0</v>
          </cell>
          <cell r="E802">
            <v>1600</v>
          </cell>
          <cell r="F802">
            <v>310</v>
          </cell>
          <cell r="G802">
            <v>11000</v>
          </cell>
          <cell r="H802">
            <v>0</v>
          </cell>
          <cell r="I802">
            <v>1200</v>
          </cell>
          <cell r="J802">
            <v>0</v>
          </cell>
          <cell r="K802">
            <v>14110</v>
          </cell>
          <cell r="L802">
            <v>15000</v>
          </cell>
          <cell r="M802">
            <v>8</v>
          </cell>
          <cell r="P802">
            <v>9928304255</v>
          </cell>
        </row>
        <row r="803">
          <cell r="C803">
            <v>1000</v>
          </cell>
          <cell r="D803">
            <v>0</v>
          </cell>
          <cell r="E803">
            <v>1600</v>
          </cell>
          <cell r="F803">
            <v>310</v>
          </cell>
          <cell r="G803">
            <v>11000</v>
          </cell>
          <cell r="H803">
            <v>0</v>
          </cell>
          <cell r="I803">
            <v>1200</v>
          </cell>
          <cell r="J803">
            <v>0</v>
          </cell>
          <cell r="K803">
            <v>14110</v>
          </cell>
          <cell r="L803">
            <v>15000</v>
          </cell>
          <cell r="M803">
            <v>8</v>
          </cell>
          <cell r="P803">
            <v>9928304255</v>
          </cell>
        </row>
        <row r="804">
          <cell r="C804">
            <v>1000</v>
          </cell>
          <cell r="D804">
            <v>0</v>
          </cell>
          <cell r="E804">
            <v>1600</v>
          </cell>
          <cell r="F804">
            <v>310</v>
          </cell>
          <cell r="G804">
            <v>11000</v>
          </cell>
          <cell r="H804">
            <v>0</v>
          </cell>
          <cell r="I804">
            <v>1200</v>
          </cell>
          <cell r="J804">
            <v>0</v>
          </cell>
          <cell r="K804">
            <v>14110</v>
          </cell>
          <cell r="L804">
            <v>15000</v>
          </cell>
          <cell r="M804">
            <v>8</v>
          </cell>
          <cell r="P804">
            <v>9928304255</v>
          </cell>
        </row>
        <row r="805">
          <cell r="C805">
            <v>0</v>
          </cell>
          <cell r="D805">
            <v>0</v>
          </cell>
          <cell r="E805">
            <v>200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200</v>
          </cell>
          <cell r="L805">
            <v>0</v>
          </cell>
          <cell r="M805">
            <v>0</v>
          </cell>
          <cell r="P805">
            <v>8949159299</v>
          </cell>
        </row>
        <row r="806">
          <cell r="C806">
            <v>0</v>
          </cell>
          <cell r="D806">
            <v>0</v>
          </cell>
          <cell r="E806">
            <v>200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200</v>
          </cell>
          <cell r="L806">
            <v>0</v>
          </cell>
          <cell r="M806">
            <v>0</v>
          </cell>
          <cell r="P806">
            <v>8949159299</v>
          </cell>
        </row>
        <row r="807">
          <cell r="C807">
            <v>500</v>
          </cell>
          <cell r="D807">
            <v>0</v>
          </cell>
          <cell r="E807">
            <v>166</v>
          </cell>
          <cell r="F807">
            <v>0</v>
          </cell>
          <cell r="G807">
            <v>500</v>
          </cell>
          <cell r="H807">
            <v>0</v>
          </cell>
          <cell r="I807">
            <v>130</v>
          </cell>
          <cell r="J807">
            <v>0</v>
          </cell>
          <cell r="K807">
            <v>796</v>
          </cell>
          <cell r="L807">
            <v>13000</v>
          </cell>
          <cell r="M807">
            <v>15</v>
          </cell>
          <cell r="P807">
            <v>91667880643</v>
          </cell>
        </row>
        <row r="808">
          <cell r="C808">
            <v>1500</v>
          </cell>
          <cell r="D808">
            <v>0</v>
          </cell>
          <cell r="E808">
            <v>0</v>
          </cell>
          <cell r="F808">
            <v>0</v>
          </cell>
          <cell r="G808">
            <v>1500</v>
          </cell>
          <cell r="H808">
            <v>0</v>
          </cell>
          <cell r="I808">
            <v>270</v>
          </cell>
          <cell r="J808">
            <v>0</v>
          </cell>
          <cell r="K808">
            <v>1770</v>
          </cell>
          <cell r="L808">
            <v>27000</v>
          </cell>
          <cell r="M808">
            <v>3</v>
          </cell>
          <cell r="P808">
            <v>91667880643</v>
          </cell>
        </row>
        <row r="809">
          <cell r="C809">
            <v>1500</v>
          </cell>
          <cell r="D809">
            <v>0</v>
          </cell>
          <cell r="E809">
            <v>0</v>
          </cell>
          <cell r="F809">
            <v>0</v>
          </cell>
          <cell r="G809">
            <v>1500</v>
          </cell>
          <cell r="H809">
            <v>0</v>
          </cell>
          <cell r="I809">
            <v>270</v>
          </cell>
          <cell r="J809">
            <v>0</v>
          </cell>
          <cell r="K809">
            <v>1770</v>
          </cell>
          <cell r="L809">
            <v>27000</v>
          </cell>
          <cell r="M809">
            <v>3</v>
          </cell>
          <cell r="P809">
            <v>91667880643</v>
          </cell>
        </row>
        <row r="810">
          <cell r="C810">
            <v>1500</v>
          </cell>
          <cell r="D810">
            <v>0</v>
          </cell>
          <cell r="E810">
            <v>0</v>
          </cell>
          <cell r="F810">
            <v>0</v>
          </cell>
          <cell r="G810">
            <v>1500</v>
          </cell>
          <cell r="H810">
            <v>0</v>
          </cell>
          <cell r="I810">
            <v>270</v>
          </cell>
          <cell r="J810">
            <v>0</v>
          </cell>
          <cell r="K810">
            <v>1770</v>
          </cell>
          <cell r="L810">
            <v>27000</v>
          </cell>
          <cell r="M810">
            <v>3</v>
          </cell>
          <cell r="P810">
            <v>91667880643</v>
          </cell>
        </row>
        <row r="811">
          <cell r="C811">
            <v>1500</v>
          </cell>
          <cell r="D811">
            <v>0</v>
          </cell>
          <cell r="E811">
            <v>0</v>
          </cell>
          <cell r="F811">
            <v>0</v>
          </cell>
          <cell r="G811">
            <v>1500</v>
          </cell>
          <cell r="H811">
            <v>0</v>
          </cell>
          <cell r="I811">
            <v>270</v>
          </cell>
          <cell r="J811">
            <v>0</v>
          </cell>
          <cell r="K811">
            <v>1770</v>
          </cell>
          <cell r="L811">
            <v>27000</v>
          </cell>
          <cell r="M811">
            <v>3</v>
          </cell>
          <cell r="P811">
            <v>91667880643</v>
          </cell>
        </row>
        <row r="812">
          <cell r="C812">
            <v>0</v>
          </cell>
          <cell r="D812">
            <v>0</v>
          </cell>
          <cell r="E812">
            <v>200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200</v>
          </cell>
          <cell r="L812">
            <v>0</v>
          </cell>
          <cell r="M812">
            <v>0</v>
          </cell>
          <cell r="P812">
            <v>9982361246</v>
          </cell>
        </row>
        <row r="813">
          <cell r="C813">
            <v>0</v>
          </cell>
          <cell r="D813">
            <v>0</v>
          </cell>
          <cell r="E813">
            <v>200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200</v>
          </cell>
          <cell r="L813">
            <v>0</v>
          </cell>
          <cell r="M813">
            <v>0</v>
          </cell>
          <cell r="P813">
            <v>9982361246</v>
          </cell>
        </row>
        <row r="814">
          <cell r="C814">
            <v>0</v>
          </cell>
          <cell r="D814">
            <v>0</v>
          </cell>
          <cell r="E814">
            <v>200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200</v>
          </cell>
          <cell r="L814">
            <v>0</v>
          </cell>
          <cell r="M814">
            <v>0</v>
          </cell>
          <cell r="P814">
            <v>9982361246</v>
          </cell>
        </row>
        <row r="815">
          <cell r="C815">
            <v>0</v>
          </cell>
          <cell r="D815">
            <v>0</v>
          </cell>
          <cell r="E815">
            <v>200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200</v>
          </cell>
          <cell r="L815">
            <v>0</v>
          </cell>
          <cell r="M815">
            <v>0</v>
          </cell>
          <cell r="P815">
            <v>9982361246</v>
          </cell>
        </row>
        <row r="816">
          <cell r="C816">
            <v>0</v>
          </cell>
          <cell r="D816">
            <v>0</v>
          </cell>
          <cell r="E816">
            <v>200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200</v>
          </cell>
          <cell r="L816">
            <v>0</v>
          </cell>
          <cell r="M816">
            <v>0</v>
          </cell>
          <cell r="P816">
            <v>9982361246</v>
          </cell>
        </row>
        <row r="817">
          <cell r="C817">
            <v>1000</v>
          </cell>
          <cell r="D817">
            <v>0</v>
          </cell>
          <cell r="E817">
            <v>200</v>
          </cell>
          <cell r="F817">
            <v>0</v>
          </cell>
          <cell r="G817">
            <v>0</v>
          </cell>
          <cell r="H817">
            <v>0</v>
          </cell>
          <cell r="I817">
            <v>7</v>
          </cell>
          <cell r="J817">
            <v>0</v>
          </cell>
          <cell r="K817">
            <v>207</v>
          </cell>
          <cell r="L817">
            <v>741</v>
          </cell>
          <cell r="M817">
            <v>12</v>
          </cell>
          <cell r="P817">
            <v>9887287886</v>
          </cell>
        </row>
        <row r="818">
          <cell r="C818">
            <v>2000</v>
          </cell>
          <cell r="D818">
            <v>0</v>
          </cell>
          <cell r="E818">
            <v>200</v>
          </cell>
          <cell r="F818">
            <v>0</v>
          </cell>
          <cell r="G818">
            <v>0</v>
          </cell>
          <cell r="H818">
            <v>0</v>
          </cell>
          <cell r="I818">
            <v>36</v>
          </cell>
          <cell r="J818">
            <v>0</v>
          </cell>
          <cell r="K818">
            <v>236</v>
          </cell>
          <cell r="L818">
            <v>3643</v>
          </cell>
          <cell r="M818">
            <v>8</v>
          </cell>
          <cell r="P818">
            <v>9352711697</v>
          </cell>
        </row>
        <row r="819">
          <cell r="C819">
            <v>2000</v>
          </cell>
          <cell r="D819">
            <v>0</v>
          </cell>
          <cell r="E819">
            <v>200</v>
          </cell>
          <cell r="F819">
            <v>0</v>
          </cell>
          <cell r="G819">
            <v>2000</v>
          </cell>
          <cell r="H819">
            <v>0</v>
          </cell>
          <cell r="I819">
            <v>60</v>
          </cell>
          <cell r="J819">
            <v>0</v>
          </cell>
          <cell r="K819">
            <v>2260</v>
          </cell>
          <cell r="L819">
            <v>6000</v>
          </cell>
          <cell r="M819">
            <v>8</v>
          </cell>
          <cell r="P819">
            <v>9352711697</v>
          </cell>
        </row>
        <row r="820">
          <cell r="C820">
            <v>0</v>
          </cell>
          <cell r="D820">
            <v>0</v>
          </cell>
          <cell r="E820">
            <v>200</v>
          </cell>
          <cell r="F820">
            <v>26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226</v>
          </cell>
          <cell r="L820">
            <v>0</v>
          </cell>
          <cell r="M820">
            <v>0</v>
          </cell>
          <cell r="P820">
            <v>9079864822</v>
          </cell>
        </row>
        <row r="821">
          <cell r="C821">
            <v>0</v>
          </cell>
          <cell r="D821">
            <v>0</v>
          </cell>
          <cell r="E821">
            <v>200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200</v>
          </cell>
          <cell r="L821">
            <v>0</v>
          </cell>
          <cell r="M821">
            <v>0</v>
          </cell>
          <cell r="P821">
            <v>9079864822</v>
          </cell>
        </row>
        <row r="822">
          <cell r="C822">
            <v>0</v>
          </cell>
          <cell r="D822">
            <v>0</v>
          </cell>
          <cell r="E822">
            <v>200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200</v>
          </cell>
          <cell r="L822">
            <v>0</v>
          </cell>
          <cell r="M822">
            <v>0</v>
          </cell>
          <cell r="P822">
            <v>9079864822</v>
          </cell>
        </row>
        <row r="823">
          <cell r="C823">
            <v>0</v>
          </cell>
          <cell r="D823">
            <v>0</v>
          </cell>
          <cell r="E823">
            <v>200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200</v>
          </cell>
          <cell r="L823">
            <v>0</v>
          </cell>
          <cell r="M823">
            <v>0</v>
          </cell>
          <cell r="P823">
            <v>9079864822</v>
          </cell>
        </row>
        <row r="824">
          <cell r="C824">
            <v>0</v>
          </cell>
          <cell r="D824">
            <v>0</v>
          </cell>
          <cell r="E824">
            <v>200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200</v>
          </cell>
          <cell r="L824">
            <v>0</v>
          </cell>
          <cell r="M824">
            <v>0</v>
          </cell>
          <cell r="P824">
            <v>9079864822</v>
          </cell>
        </row>
        <row r="825">
          <cell r="C825">
            <v>0</v>
          </cell>
          <cell r="D825">
            <v>0</v>
          </cell>
          <cell r="E825">
            <v>200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200</v>
          </cell>
          <cell r="L825">
            <v>0</v>
          </cell>
          <cell r="M825">
            <v>0</v>
          </cell>
          <cell r="P825">
            <v>9079864822</v>
          </cell>
        </row>
        <row r="826">
          <cell r="C826">
            <v>0</v>
          </cell>
          <cell r="D826">
            <v>0</v>
          </cell>
          <cell r="E826">
            <v>200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200</v>
          </cell>
          <cell r="L826">
            <v>0</v>
          </cell>
          <cell r="M826">
            <v>0</v>
          </cell>
          <cell r="P826">
            <v>9079864822</v>
          </cell>
        </row>
        <row r="827">
          <cell r="C827">
            <v>0</v>
          </cell>
          <cell r="D827">
            <v>0</v>
          </cell>
          <cell r="E827">
            <v>200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200</v>
          </cell>
          <cell r="L827">
            <v>0</v>
          </cell>
          <cell r="M827">
            <v>0</v>
          </cell>
          <cell r="P827">
            <v>9079864822</v>
          </cell>
        </row>
        <row r="828">
          <cell r="C828">
            <v>0</v>
          </cell>
          <cell r="D828">
            <v>0</v>
          </cell>
          <cell r="E828">
            <v>200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200</v>
          </cell>
          <cell r="L828">
            <v>0</v>
          </cell>
          <cell r="M828">
            <v>0</v>
          </cell>
          <cell r="P828">
            <v>9079864822</v>
          </cell>
        </row>
        <row r="829">
          <cell r="C829">
            <v>0</v>
          </cell>
          <cell r="D829">
            <v>0</v>
          </cell>
          <cell r="E829">
            <v>200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200</v>
          </cell>
          <cell r="L829">
            <v>0</v>
          </cell>
          <cell r="M829">
            <v>0</v>
          </cell>
          <cell r="P829">
            <v>9079864822</v>
          </cell>
        </row>
        <row r="830">
          <cell r="C830">
            <v>0</v>
          </cell>
          <cell r="D830">
            <v>0</v>
          </cell>
          <cell r="E830">
            <v>200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200</v>
          </cell>
          <cell r="L830">
            <v>0</v>
          </cell>
          <cell r="M830">
            <v>0</v>
          </cell>
          <cell r="P830">
            <v>8306989133</v>
          </cell>
        </row>
        <row r="831">
          <cell r="C831">
            <v>3000</v>
          </cell>
          <cell r="D831">
            <v>0</v>
          </cell>
          <cell r="E831">
            <v>0</v>
          </cell>
          <cell r="F831">
            <v>0</v>
          </cell>
          <cell r="G831">
            <v>3000</v>
          </cell>
          <cell r="H831">
            <v>0</v>
          </cell>
          <cell r="I831">
            <v>210</v>
          </cell>
          <cell r="J831">
            <v>0</v>
          </cell>
          <cell r="K831">
            <v>3210</v>
          </cell>
          <cell r="L831">
            <v>21000</v>
          </cell>
          <cell r="M831">
            <v>4</v>
          </cell>
          <cell r="P831">
            <v>8306989133</v>
          </cell>
        </row>
        <row r="832">
          <cell r="C832">
            <v>2000</v>
          </cell>
          <cell r="D832">
            <v>0</v>
          </cell>
          <cell r="E832">
            <v>200</v>
          </cell>
          <cell r="F832">
            <v>0</v>
          </cell>
          <cell r="G832">
            <v>2000</v>
          </cell>
          <cell r="H832">
            <v>0</v>
          </cell>
          <cell r="I832">
            <v>80</v>
          </cell>
          <cell r="J832">
            <v>0</v>
          </cell>
          <cell r="K832">
            <v>2280</v>
          </cell>
          <cell r="L832">
            <v>8000</v>
          </cell>
          <cell r="M832">
            <v>7</v>
          </cell>
          <cell r="P832">
            <v>8107212427</v>
          </cell>
        </row>
        <row r="833">
          <cell r="C833">
            <v>2000</v>
          </cell>
          <cell r="D833">
            <v>0</v>
          </cell>
          <cell r="E833">
            <v>200</v>
          </cell>
          <cell r="F833">
            <v>0</v>
          </cell>
          <cell r="G833">
            <v>2000</v>
          </cell>
          <cell r="H833">
            <v>0</v>
          </cell>
          <cell r="I833">
            <v>80</v>
          </cell>
          <cell r="J833">
            <v>0</v>
          </cell>
          <cell r="K833">
            <v>2280</v>
          </cell>
          <cell r="L833">
            <v>8000</v>
          </cell>
          <cell r="M833">
            <v>7</v>
          </cell>
          <cell r="P833">
            <v>8107212427</v>
          </cell>
        </row>
        <row r="834">
          <cell r="C834">
            <v>2000</v>
          </cell>
          <cell r="D834">
            <v>0</v>
          </cell>
          <cell r="E834">
            <v>200</v>
          </cell>
          <cell r="F834">
            <v>0</v>
          </cell>
          <cell r="G834">
            <v>2000</v>
          </cell>
          <cell r="H834">
            <v>0</v>
          </cell>
          <cell r="I834">
            <v>80</v>
          </cell>
          <cell r="J834">
            <v>0</v>
          </cell>
          <cell r="K834">
            <v>2280</v>
          </cell>
          <cell r="L834">
            <v>8000</v>
          </cell>
          <cell r="M834">
            <v>7</v>
          </cell>
          <cell r="P834">
            <v>8107212427</v>
          </cell>
        </row>
        <row r="835">
          <cell r="C835">
            <v>2000</v>
          </cell>
          <cell r="D835">
            <v>0</v>
          </cell>
          <cell r="E835">
            <v>200</v>
          </cell>
          <cell r="F835">
            <v>0</v>
          </cell>
          <cell r="G835">
            <v>2000</v>
          </cell>
          <cell r="H835">
            <v>0</v>
          </cell>
          <cell r="I835">
            <v>80</v>
          </cell>
          <cell r="J835">
            <v>0</v>
          </cell>
          <cell r="K835">
            <v>2280</v>
          </cell>
          <cell r="L835">
            <v>8000</v>
          </cell>
          <cell r="M835">
            <v>7</v>
          </cell>
          <cell r="P835">
            <v>8107212427</v>
          </cell>
        </row>
        <row r="836">
          <cell r="C836">
            <v>2000</v>
          </cell>
          <cell r="D836">
            <v>0</v>
          </cell>
          <cell r="E836">
            <v>200</v>
          </cell>
          <cell r="F836">
            <v>0</v>
          </cell>
          <cell r="G836">
            <v>2000</v>
          </cell>
          <cell r="H836">
            <v>0</v>
          </cell>
          <cell r="I836">
            <v>80</v>
          </cell>
          <cell r="J836">
            <v>0</v>
          </cell>
          <cell r="K836">
            <v>2280</v>
          </cell>
          <cell r="L836">
            <v>8000</v>
          </cell>
          <cell r="M836">
            <v>7</v>
          </cell>
          <cell r="P836">
            <v>8107212427</v>
          </cell>
        </row>
        <row r="837">
          <cell r="C837">
            <v>1000</v>
          </cell>
          <cell r="D837">
            <v>0</v>
          </cell>
          <cell r="E837">
            <v>200</v>
          </cell>
          <cell r="F837">
            <v>0</v>
          </cell>
          <cell r="G837">
            <v>1000</v>
          </cell>
          <cell r="H837">
            <v>0</v>
          </cell>
          <cell r="I837">
            <v>200</v>
          </cell>
          <cell r="J837">
            <v>0</v>
          </cell>
          <cell r="K837">
            <v>1400</v>
          </cell>
          <cell r="L837">
            <v>20000</v>
          </cell>
          <cell r="M837">
            <v>1</v>
          </cell>
          <cell r="P837">
            <v>7742016348</v>
          </cell>
        </row>
        <row r="838">
          <cell r="C838">
            <v>1000</v>
          </cell>
          <cell r="D838">
            <v>0</v>
          </cell>
          <cell r="E838">
            <v>200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200</v>
          </cell>
          <cell r="L838">
            <v>0</v>
          </cell>
          <cell r="M838">
            <v>0</v>
          </cell>
          <cell r="P838">
            <v>7742016348</v>
          </cell>
        </row>
        <row r="839">
          <cell r="C839">
            <v>1000</v>
          </cell>
          <cell r="D839">
            <v>0</v>
          </cell>
          <cell r="E839">
            <v>200</v>
          </cell>
          <cell r="F839">
            <v>0</v>
          </cell>
          <cell r="G839">
            <v>0</v>
          </cell>
          <cell r="H839">
            <v>0</v>
          </cell>
          <cell r="I839">
            <v>155</v>
          </cell>
          <cell r="J839">
            <v>0</v>
          </cell>
          <cell r="K839">
            <v>355</v>
          </cell>
          <cell r="L839">
            <v>15500</v>
          </cell>
          <cell r="M839">
            <v>4</v>
          </cell>
          <cell r="P839">
            <v>9829966338</v>
          </cell>
        </row>
        <row r="840">
          <cell r="C840">
            <v>1000</v>
          </cell>
          <cell r="D840">
            <v>0</v>
          </cell>
          <cell r="E840">
            <v>200</v>
          </cell>
          <cell r="F840">
            <v>0</v>
          </cell>
          <cell r="G840">
            <v>0</v>
          </cell>
          <cell r="H840">
            <v>0</v>
          </cell>
          <cell r="I840">
            <v>155</v>
          </cell>
          <cell r="J840">
            <v>0</v>
          </cell>
          <cell r="K840">
            <v>355</v>
          </cell>
          <cell r="L840">
            <v>15500</v>
          </cell>
          <cell r="M840">
            <v>4</v>
          </cell>
          <cell r="P840">
            <v>9829966338</v>
          </cell>
        </row>
        <row r="841">
          <cell r="C841">
            <v>1000</v>
          </cell>
          <cell r="D841">
            <v>0</v>
          </cell>
          <cell r="E841">
            <v>200</v>
          </cell>
          <cell r="F841">
            <v>0</v>
          </cell>
          <cell r="G841">
            <v>0</v>
          </cell>
          <cell r="H841">
            <v>0</v>
          </cell>
          <cell r="I841">
            <v>151</v>
          </cell>
          <cell r="J841">
            <v>0</v>
          </cell>
          <cell r="K841">
            <v>351</v>
          </cell>
          <cell r="L841">
            <v>15056</v>
          </cell>
          <cell r="M841">
            <v>4</v>
          </cell>
          <cell r="P841">
            <v>9829966338</v>
          </cell>
        </row>
        <row r="842">
          <cell r="C842">
            <v>1000</v>
          </cell>
          <cell r="D842">
            <v>0</v>
          </cell>
          <cell r="E842">
            <v>200</v>
          </cell>
          <cell r="F842">
            <v>0</v>
          </cell>
          <cell r="G842">
            <v>0</v>
          </cell>
          <cell r="H842">
            <v>0</v>
          </cell>
          <cell r="I842">
            <v>160</v>
          </cell>
          <cell r="J842">
            <v>0</v>
          </cell>
          <cell r="K842">
            <v>360</v>
          </cell>
          <cell r="L842">
            <v>16000</v>
          </cell>
          <cell r="M842">
            <v>4</v>
          </cell>
          <cell r="P842">
            <v>9829966338</v>
          </cell>
        </row>
        <row r="843">
          <cell r="C843">
            <v>1000</v>
          </cell>
          <cell r="D843">
            <v>0</v>
          </cell>
          <cell r="E843">
            <v>200</v>
          </cell>
          <cell r="F843">
            <v>0</v>
          </cell>
          <cell r="G843">
            <v>0</v>
          </cell>
          <cell r="H843">
            <v>0</v>
          </cell>
          <cell r="I843">
            <v>160</v>
          </cell>
          <cell r="J843">
            <v>0</v>
          </cell>
          <cell r="K843">
            <v>360</v>
          </cell>
          <cell r="L843">
            <v>16000</v>
          </cell>
          <cell r="M843">
            <v>4</v>
          </cell>
          <cell r="P843">
            <v>9829966338</v>
          </cell>
        </row>
        <row r="844">
          <cell r="C844">
            <v>1000</v>
          </cell>
          <cell r="D844">
            <v>172</v>
          </cell>
          <cell r="E844">
            <v>1000</v>
          </cell>
          <cell r="F844">
            <v>93</v>
          </cell>
          <cell r="G844">
            <v>5000</v>
          </cell>
          <cell r="H844">
            <v>595</v>
          </cell>
          <cell r="I844">
            <v>650</v>
          </cell>
          <cell r="J844">
            <v>0</v>
          </cell>
          <cell r="K844">
            <v>7338</v>
          </cell>
          <cell r="L844">
            <v>13000</v>
          </cell>
          <cell r="M844">
            <v>12</v>
          </cell>
          <cell r="P844">
            <v>9829392916</v>
          </cell>
        </row>
        <row r="845">
          <cell r="C845">
            <v>1000</v>
          </cell>
          <cell r="D845">
            <v>172</v>
          </cell>
          <cell r="E845">
            <v>964</v>
          </cell>
          <cell r="F845">
            <v>92</v>
          </cell>
          <cell r="G845">
            <v>5000</v>
          </cell>
          <cell r="H845">
            <v>595</v>
          </cell>
          <cell r="I845">
            <v>650</v>
          </cell>
          <cell r="J845">
            <v>0</v>
          </cell>
          <cell r="K845">
            <v>7301</v>
          </cell>
          <cell r="L845">
            <v>13000</v>
          </cell>
          <cell r="M845">
            <v>12</v>
          </cell>
          <cell r="P845">
            <v>9829392916</v>
          </cell>
        </row>
        <row r="846">
          <cell r="C846">
            <v>1000</v>
          </cell>
          <cell r="D846">
            <v>0</v>
          </cell>
          <cell r="E846">
            <v>0</v>
          </cell>
          <cell r="F846">
            <v>0</v>
          </cell>
          <cell r="G846">
            <v>1000</v>
          </cell>
          <cell r="H846">
            <v>0</v>
          </cell>
          <cell r="I846">
            <v>280</v>
          </cell>
          <cell r="J846">
            <v>0</v>
          </cell>
          <cell r="K846">
            <v>1280</v>
          </cell>
          <cell r="L846">
            <v>28000</v>
          </cell>
          <cell r="M846">
            <v>3</v>
          </cell>
          <cell r="P846">
            <v>9784911551</v>
          </cell>
        </row>
        <row r="847">
          <cell r="C847">
            <v>1000</v>
          </cell>
          <cell r="D847">
            <v>0</v>
          </cell>
          <cell r="E847">
            <v>0</v>
          </cell>
          <cell r="F847">
            <v>0</v>
          </cell>
          <cell r="G847">
            <v>1000</v>
          </cell>
          <cell r="H847">
            <v>0</v>
          </cell>
          <cell r="I847">
            <v>280</v>
          </cell>
          <cell r="J847">
            <v>0</v>
          </cell>
          <cell r="K847">
            <v>1280</v>
          </cell>
          <cell r="L847">
            <v>28000</v>
          </cell>
          <cell r="M847">
            <v>3</v>
          </cell>
          <cell r="P847">
            <v>9784911551</v>
          </cell>
        </row>
        <row r="848">
          <cell r="C848">
            <v>1000</v>
          </cell>
          <cell r="D848">
            <v>0</v>
          </cell>
          <cell r="E848">
            <v>0</v>
          </cell>
          <cell r="F848">
            <v>0</v>
          </cell>
          <cell r="G848">
            <v>1000</v>
          </cell>
          <cell r="H848">
            <v>0</v>
          </cell>
          <cell r="I848">
            <v>280</v>
          </cell>
          <cell r="J848">
            <v>0</v>
          </cell>
          <cell r="K848">
            <v>1280</v>
          </cell>
          <cell r="L848">
            <v>28000</v>
          </cell>
          <cell r="M848">
            <v>3</v>
          </cell>
          <cell r="P848">
            <v>9784911551</v>
          </cell>
        </row>
        <row r="849">
          <cell r="C849">
            <v>1000</v>
          </cell>
          <cell r="D849">
            <v>0</v>
          </cell>
          <cell r="E849">
            <v>0</v>
          </cell>
          <cell r="F849">
            <v>0</v>
          </cell>
          <cell r="G849">
            <v>1000</v>
          </cell>
          <cell r="H849">
            <v>0</v>
          </cell>
          <cell r="I849">
            <v>280</v>
          </cell>
          <cell r="J849">
            <v>0</v>
          </cell>
          <cell r="K849">
            <v>1280</v>
          </cell>
          <cell r="L849">
            <v>28000</v>
          </cell>
          <cell r="M849">
            <v>3</v>
          </cell>
          <cell r="P849">
            <v>9784911551</v>
          </cell>
        </row>
        <row r="850">
          <cell r="C850">
            <v>1000</v>
          </cell>
          <cell r="D850">
            <v>0</v>
          </cell>
          <cell r="E850">
            <v>0</v>
          </cell>
          <cell r="F850">
            <v>0</v>
          </cell>
          <cell r="G850">
            <v>1000</v>
          </cell>
          <cell r="H850">
            <v>0</v>
          </cell>
          <cell r="I850">
            <v>280</v>
          </cell>
          <cell r="J850">
            <v>0</v>
          </cell>
          <cell r="K850">
            <v>1280</v>
          </cell>
          <cell r="L850">
            <v>28000</v>
          </cell>
          <cell r="M850">
            <v>3</v>
          </cell>
          <cell r="P850">
            <v>9784911551</v>
          </cell>
        </row>
        <row r="851">
          <cell r="C851">
            <v>1000</v>
          </cell>
          <cell r="D851">
            <v>0</v>
          </cell>
          <cell r="E851">
            <v>200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200</v>
          </cell>
          <cell r="L851">
            <v>0</v>
          </cell>
          <cell r="M851">
            <v>0</v>
          </cell>
          <cell r="P851">
            <v>9784911551</v>
          </cell>
        </row>
        <row r="852">
          <cell r="C852">
            <v>1000</v>
          </cell>
          <cell r="D852">
            <v>0</v>
          </cell>
          <cell r="E852">
            <v>200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200</v>
          </cell>
          <cell r="L852">
            <v>0</v>
          </cell>
          <cell r="M852">
            <v>0</v>
          </cell>
          <cell r="P852">
            <v>9784911551</v>
          </cell>
        </row>
        <row r="853">
          <cell r="C853">
            <v>1000</v>
          </cell>
          <cell r="D853">
            <v>0</v>
          </cell>
          <cell r="E853">
            <v>200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200</v>
          </cell>
          <cell r="L853">
            <v>0</v>
          </cell>
          <cell r="M853">
            <v>0</v>
          </cell>
          <cell r="P853">
            <v>9784911551</v>
          </cell>
        </row>
        <row r="854">
          <cell r="C854">
            <v>1000</v>
          </cell>
          <cell r="D854">
            <v>0</v>
          </cell>
          <cell r="E854">
            <v>200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200</v>
          </cell>
          <cell r="L854">
            <v>0</v>
          </cell>
          <cell r="M854">
            <v>0</v>
          </cell>
          <cell r="P854">
            <v>9784575270</v>
          </cell>
        </row>
        <row r="855">
          <cell r="C855">
            <v>1000</v>
          </cell>
          <cell r="D855">
            <v>0</v>
          </cell>
          <cell r="E855">
            <v>197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197</v>
          </cell>
          <cell r="L855">
            <v>0</v>
          </cell>
          <cell r="M855">
            <v>0</v>
          </cell>
          <cell r="P855">
            <v>9784575270</v>
          </cell>
        </row>
        <row r="856">
          <cell r="C856">
            <v>2000</v>
          </cell>
          <cell r="D856">
            <v>0</v>
          </cell>
          <cell r="E856">
            <v>0</v>
          </cell>
          <cell r="F856">
            <v>0</v>
          </cell>
          <cell r="G856">
            <v>2000</v>
          </cell>
          <cell r="H856">
            <v>0</v>
          </cell>
          <cell r="I856">
            <v>300</v>
          </cell>
          <cell r="J856">
            <v>0</v>
          </cell>
          <cell r="K856">
            <v>2300</v>
          </cell>
          <cell r="L856">
            <v>30000</v>
          </cell>
          <cell r="M856">
            <v>1</v>
          </cell>
          <cell r="P856">
            <v>9929832722</v>
          </cell>
        </row>
        <row r="857">
          <cell r="C857">
            <v>1500</v>
          </cell>
          <cell r="D857">
            <v>0</v>
          </cell>
          <cell r="E857">
            <v>0</v>
          </cell>
          <cell r="F857">
            <v>0</v>
          </cell>
          <cell r="G857">
            <v>1500</v>
          </cell>
          <cell r="H857">
            <v>0</v>
          </cell>
          <cell r="I857">
            <v>240</v>
          </cell>
          <cell r="J857">
            <v>0</v>
          </cell>
          <cell r="K857">
            <v>1740</v>
          </cell>
          <cell r="L857">
            <v>24000</v>
          </cell>
          <cell r="M857">
            <v>5</v>
          </cell>
          <cell r="P857">
            <v>9929832722</v>
          </cell>
        </row>
        <row r="858">
          <cell r="C858">
            <v>1500</v>
          </cell>
          <cell r="D858">
            <v>0</v>
          </cell>
          <cell r="E858">
            <v>0</v>
          </cell>
          <cell r="F858">
            <v>0</v>
          </cell>
          <cell r="G858">
            <v>1500</v>
          </cell>
          <cell r="H858">
            <v>0</v>
          </cell>
          <cell r="I858">
            <v>240</v>
          </cell>
          <cell r="J858">
            <v>0</v>
          </cell>
          <cell r="K858">
            <v>1740</v>
          </cell>
          <cell r="L858">
            <v>24000</v>
          </cell>
          <cell r="M858">
            <v>5</v>
          </cell>
          <cell r="P858">
            <v>9929832722</v>
          </cell>
        </row>
        <row r="859">
          <cell r="C859">
            <v>0</v>
          </cell>
          <cell r="D859">
            <v>0</v>
          </cell>
          <cell r="E859">
            <v>200</v>
          </cell>
          <cell r="F859">
            <v>0</v>
          </cell>
          <cell r="G859">
            <v>15547</v>
          </cell>
          <cell r="H859">
            <v>0</v>
          </cell>
          <cell r="I859">
            <v>155</v>
          </cell>
          <cell r="J859">
            <v>0</v>
          </cell>
          <cell r="K859">
            <v>15902</v>
          </cell>
          <cell r="L859">
            <v>15547</v>
          </cell>
          <cell r="M859">
            <v>6</v>
          </cell>
          <cell r="P859">
            <v>7742288070</v>
          </cell>
        </row>
        <row r="860">
          <cell r="C860">
            <v>0</v>
          </cell>
          <cell r="D860">
            <v>0</v>
          </cell>
          <cell r="E860">
            <v>200</v>
          </cell>
          <cell r="F860">
            <v>0</v>
          </cell>
          <cell r="G860">
            <v>0</v>
          </cell>
          <cell r="H860">
            <v>0</v>
          </cell>
          <cell r="I860">
            <v>150</v>
          </cell>
          <cell r="J860">
            <v>0</v>
          </cell>
          <cell r="K860">
            <v>350</v>
          </cell>
          <cell r="L860">
            <v>15000</v>
          </cell>
          <cell r="M860">
            <v>2</v>
          </cell>
          <cell r="P860">
            <v>7742288070</v>
          </cell>
        </row>
        <row r="861">
          <cell r="C861">
            <v>500</v>
          </cell>
          <cell r="D861">
            <v>0</v>
          </cell>
          <cell r="E861">
            <v>200</v>
          </cell>
          <cell r="F861">
            <v>0</v>
          </cell>
          <cell r="G861">
            <v>500</v>
          </cell>
          <cell r="H861">
            <v>0</v>
          </cell>
          <cell r="I861">
            <v>135</v>
          </cell>
          <cell r="J861">
            <v>0</v>
          </cell>
          <cell r="K861">
            <v>835</v>
          </cell>
          <cell r="L861">
            <v>13500</v>
          </cell>
          <cell r="M861">
            <v>14</v>
          </cell>
          <cell r="P861">
            <v>7742288070</v>
          </cell>
        </row>
        <row r="862">
          <cell r="C862">
            <v>500</v>
          </cell>
          <cell r="D862">
            <v>0</v>
          </cell>
          <cell r="E862">
            <v>200</v>
          </cell>
          <cell r="F862">
            <v>0</v>
          </cell>
          <cell r="G862">
            <v>500</v>
          </cell>
          <cell r="H862">
            <v>0</v>
          </cell>
          <cell r="I862">
            <v>135</v>
          </cell>
          <cell r="J862">
            <v>0</v>
          </cell>
          <cell r="K862">
            <v>835</v>
          </cell>
          <cell r="L862">
            <v>13500</v>
          </cell>
          <cell r="M862">
            <v>14</v>
          </cell>
          <cell r="P862">
            <v>8949606003</v>
          </cell>
        </row>
        <row r="863">
          <cell r="C863">
            <v>500</v>
          </cell>
          <cell r="D863">
            <v>0</v>
          </cell>
          <cell r="E863">
            <v>200</v>
          </cell>
          <cell r="F863">
            <v>0</v>
          </cell>
          <cell r="G863">
            <v>500</v>
          </cell>
          <cell r="H863">
            <v>0</v>
          </cell>
          <cell r="I863">
            <v>135</v>
          </cell>
          <cell r="J863">
            <v>0</v>
          </cell>
          <cell r="K863">
            <v>835</v>
          </cell>
          <cell r="L863">
            <v>13500</v>
          </cell>
          <cell r="M863">
            <v>14</v>
          </cell>
          <cell r="P863">
            <v>8949606003</v>
          </cell>
        </row>
        <row r="864">
          <cell r="C864">
            <v>0</v>
          </cell>
          <cell r="D864">
            <v>1715</v>
          </cell>
          <cell r="E864">
            <v>3144</v>
          </cell>
          <cell r="F864">
            <v>1430</v>
          </cell>
          <cell r="G864">
            <v>0</v>
          </cell>
          <cell r="H864">
            <v>2000</v>
          </cell>
          <cell r="I864">
            <v>0</v>
          </cell>
          <cell r="J864">
            <v>0</v>
          </cell>
          <cell r="K864">
            <v>6574</v>
          </cell>
          <cell r="L864">
            <v>0</v>
          </cell>
          <cell r="M864">
            <v>0</v>
          </cell>
          <cell r="P864">
            <v>9782869512</v>
          </cell>
        </row>
        <row r="865">
          <cell r="C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P865">
            <v>9782869512</v>
          </cell>
        </row>
        <row r="866">
          <cell r="C866">
            <v>0</v>
          </cell>
          <cell r="D866">
            <v>0</v>
          </cell>
          <cell r="E866">
            <v>200</v>
          </cell>
          <cell r="F866">
            <v>36</v>
          </cell>
          <cell r="G866">
            <v>0</v>
          </cell>
          <cell r="H866">
            <v>298</v>
          </cell>
          <cell r="I866">
            <v>321</v>
          </cell>
          <cell r="J866">
            <v>0</v>
          </cell>
          <cell r="K866">
            <v>855</v>
          </cell>
          <cell r="L866">
            <v>31030</v>
          </cell>
          <cell r="M866">
            <v>1</v>
          </cell>
          <cell r="P866">
            <v>9001507778</v>
          </cell>
        </row>
        <row r="867">
          <cell r="C867">
            <v>1000</v>
          </cell>
          <cell r="D867">
            <v>0</v>
          </cell>
          <cell r="E867">
            <v>200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200</v>
          </cell>
          <cell r="L867">
            <v>0</v>
          </cell>
          <cell r="M867">
            <v>0</v>
          </cell>
          <cell r="P867">
            <v>9928813200</v>
          </cell>
        </row>
        <row r="868">
          <cell r="C868">
            <v>1000</v>
          </cell>
          <cell r="D868">
            <v>0</v>
          </cell>
          <cell r="E868">
            <v>200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200</v>
          </cell>
          <cell r="L868">
            <v>0</v>
          </cell>
          <cell r="M868">
            <v>0</v>
          </cell>
          <cell r="P868">
            <v>9928813200</v>
          </cell>
        </row>
        <row r="869">
          <cell r="C869">
            <v>0</v>
          </cell>
          <cell r="D869">
            <v>0</v>
          </cell>
          <cell r="E869">
            <v>200</v>
          </cell>
          <cell r="F869">
            <v>0</v>
          </cell>
          <cell r="G869">
            <v>0</v>
          </cell>
          <cell r="H869">
            <v>0</v>
          </cell>
          <cell r="I869">
            <v>120</v>
          </cell>
          <cell r="J869">
            <v>0</v>
          </cell>
          <cell r="K869">
            <v>320</v>
          </cell>
          <cell r="L869">
            <v>12000</v>
          </cell>
          <cell r="M869">
            <v>1</v>
          </cell>
          <cell r="P869">
            <v>9928813200</v>
          </cell>
        </row>
        <row r="870">
          <cell r="C870">
            <v>0</v>
          </cell>
          <cell r="D870">
            <v>0</v>
          </cell>
          <cell r="E870">
            <v>200</v>
          </cell>
          <cell r="F870">
            <v>0</v>
          </cell>
          <cell r="G870">
            <v>0</v>
          </cell>
          <cell r="H870">
            <v>0</v>
          </cell>
          <cell r="I870">
            <v>120</v>
          </cell>
          <cell r="J870">
            <v>0</v>
          </cell>
          <cell r="K870">
            <v>320</v>
          </cell>
          <cell r="L870">
            <v>12000</v>
          </cell>
          <cell r="M870">
            <v>1</v>
          </cell>
          <cell r="P870">
            <v>9928813200</v>
          </cell>
        </row>
        <row r="871">
          <cell r="C871">
            <v>0</v>
          </cell>
          <cell r="D871">
            <v>0</v>
          </cell>
          <cell r="E871">
            <v>200</v>
          </cell>
          <cell r="F871">
            <v>0</v>
          </cell>
          <cell r="G871">
            <v>0</v>
          </cell>
          <cell r="H871">
            <v>0</v>
          </cell>
          <cell r="I871">
            <v>130</v>
          </cell>
          <cell r="J871">
            <v>0</v>
          </cell>
          <cell r="K871">
            <v>330</v>
          </cell>
          <cell r="L871">
            <v>13000</v>
          </cell>
          <cell r="M871">
            <v>1</v>
          </cell>
          <cell r="P871">
            <v>9928813200</v>
          </cell>
        </row>
        <row r="872">
          <cell r="C872">
            <v>0</v>
          </cell>
          <cell r="D872">
            <v>0</v>
          </cell>
          <cell r="E872">
            <v>200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200</v>
          </cell>
          <cell r="L872">
            <v>0</v>
          </cell>
          <cell r="M872">
            <v>0</v>
          </cell>
          <cell r="P872">
            <v>9950602508</v>
          </cell>
        </row>
        <row r="873">
          <cell r="C873">
            <v>0</v>
          </cell>
          <cell r="D873">
            <v>0</v>
          </cell>
          <cell r="E873">
            <v>200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200</v>
          </cell>
          <cell r="L873">
            <v>0</v>
          </cell>
          <cell r="M873">
            <v>0</v>
          </cell>
          <cell r="P873">
            <v>9950602508</v>
          </cell>
        </row>
        <row r="874">
          <cell r="C874">
            <v>0</v>
          </cell>
          <cell r="D874">
            <v>0</v>
          </cell>
          <cell r="E874">
            <v>200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200</v>
          </cell>
          <cell r="L874">
            <v>0</v>
          </cell>
          <cell r="M874">
            <v>0</v>
          </cell>
          <cell r="P874">
            <v>9950602508</v>
          </cell>
        </row>
        <row r="875">
          <cell r="C875">
            <v>0</v>
          </cell>
          <cell r="D875">
            <v>0</v>
          </cell>
          <cell r="E875">
            <v>181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181</v>
          </cell>
          <cell r="L875">
            <v>0</v>
          </cell>
          <cell r="M875">
            <v>0</v>
          </cell>
          <cell r="P875">
            <v>9950602508</v>
          </cell>
        </row>
        <row r="876">
          <cell r="C876">
            <v>1000</v>
          </cell>
          <cell r="D876">
            <v>0</v>
          </cell>
          <cell r="E876">
            <v>0</v>
          </cell>
          <cell r="F876">
            <v>0</v>
          </cell>
          <cell r="G876">
            <v>1000</v>
          </cell>
          <cell r="H876">
            <v>0</v>
          </cell>
          <cell r="I876">
            <v>300</v>
          </cell>
          <cell r="J876">
            <v>0</v>
          </cell>
          <cell r="K876">
            <v>1300</v>
          </cell>
          <cell r="L876">
            <v>30000</v>
          </cell>
          <cell r="M876">
            <v>1</v>
          </cell>
          <cell r="P876">
            <v>8000857197</v>
          </cell>
        </row>
        <row r="877">
          <cell r="C877">
            <v>1000</v>
          </cell>
          <cell r="D877">
            <v>0</v>
          </cell>
          <cell r="E877">
            <v>200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200</v>
          </cell>
          <cell r="L877">
            <v>0</v>
          </cell>
          <cell r="M877">
            <v>0</v>
          </cell>
          <cell r="P877">
            <v>8000857197</v>
          </cell>
        </row>
        <row r="878">
          <cell r="C878">
            <v>1000</v>
          </cell>
          <cell r="D878">
            <v>0</v>
          </cell>
          <cell r="E878">
            <v>200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200</v>
          </cell>
          <cell r="L878">
            <v>0</v>
          </cell>
          <cell r="M878">
            <v>0</v>
          </cell>
          <cell r="P878">
            <v>8000857197</v>
          </cell>
        </row>
        <row r="879">
          <cell r="C879">
            <v>0</v>
          </cell>
          <cell r="D879">
            <v>0</v>
          </cell>
          <cell r="E879">
            <v>200</v>
          </cell>
          <cell r="F879">
            <v>0</v>
          </cell>
          <cell r="G879">
            <v>0</v>
          </cell>
          <cell r="H879">
            <v>0</v>
          </cell>
          <cell r="I879">
            <v>100</v>
          </cell>
          <cell r="J879">
            <v>0</v>
          </cell>
          <cell r="K879">
            <v>300</v>
          </cell>
          <cell r="L879">
            <v>10000</v>
          </cell>
          <cell r="M879">
            <v>1</v>
          </cell>
          <cell r="P879">
            <v>9829462955</v>
          </cell>
        </row>
        <row r="880">
          <cell r="C880">
            <v>1000</v>
          </cell>
          <cell r="D880">
            <v>0</v>
          </cell>
          <cell r="E880">
            <v>200</v>
          </cell>
          <cell r="F880">
            <v>0</v>
          </cell>
          <cell r="G880">
            <v>0</v>
          </cell>
          <cell r="H880">
            <v>0</v>
          </cell>
          <cell r="I880">
            <v>2</v>
          </cell>
          <cell r="J880">
            <v>0</v>
          </cell>
          <cell r="K880">
            <v>202</v>
          </cell>
          <cell r="L880">
            <v>247</v>
          </cell>
          <cell r="M880">
            <v>13</v>
          </cell>
          <cell r="P880">
            <v>9829462955</v>
          </cell>
        </row>
        <row r="881">
          <cell r="C881">
            <v>0</v>
          </cell>
          <cell r="D881">
            <v>0</v>
          </cell>
          <cell r="E881">
            <v>200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200</v>
          </cell>
          <cell r="L881">
            <v>0</v>
          </cell>
          <cell r="M881">
            <v>0</v>
          </cell>
          <cell r="P881">
            <v>9351427021</v>
          </cell>
        </row>
        <row r="882">
          <cell r="C882">
            <v>0</v>
          </cell>
          <cell r="D882">
            <v>0</v>
          </cell>
          <cell r="E882">
            <v>200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200</v>
          </cell>
          <cell r="L882">
            <v>0</v>
          </cell>
          <cell r="M882">
            <v>0</v>
          </cell>
          <cell r="P882">
            <v>9351427021</v>
          </cell>
        </row>
        <row r="883">
          <cell r="C883">
            <v>2000</v>
          </cell>
          <cell r="D883">
            <v>0</v>
          </cell>
          <cell r="E883">
            <v>200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200</v>
          </cell>
          <cell r="L883">
            <v>0</v>
          </cell>
          <cell r="M883">
            <v>0</v>
          </cell>
          <cell r="P883">
            <v>9352540044</v>
          </cell>
        </row>
        <row r="884">
          <cell r="C884">
            <v>2000</v>
          </cell>
          <cell r="D884">
            <v>0</v>
          </cell>
          <cell r="E884">
            <v>200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200</v>
          </cell>
          <cell r="L884">
            <v>0</v>
          </cell>
          <cell r="M884">
            <v>0</v>
          </cell>
          <cell r="P884">
            <v>9352540044</v>
          </cell>
        </row>
        <row r="885">
          <cell r="C885">
            <v>2000</v>
          </cell>
          <cell r="D885">
            <v>0</v>
          </cell>
          <cell r="E885">
            <v>200</v>
          </cell>
          <cell r="F885">
            <v>0</v>
          </cell>
          <cell r="G885">
            <v>2000</v>
          </cell>
          <cell r="H885">
            <v>0</v>
          </cell>
          <cell r="I885">
            <v>160</v>
          </cell>
          <cell r="J885">
            <v>0</v>
          </cell>
          <cell r="K885">
            <v>2360</v>
          </cell>
          <cell r="L885">
            <v>16000</v>
          </cell>
          <cell r="M885">
            <v>3</v>
          </cell>
          <cell r="P885">
            <v>9352540044</v>
          </cell>
        </row>
        <row r="886">
          <cell r="C886">
            <v>1500</v>
          </cell>
          <cell r="D886">
            <v>0</v>
          </cell>
          <cell r="E886">
            <v>0</v>
          </cell>
          <cell r="F886">
            <v>0</v>
          </cell>
          <cell r="G886">
            <v>607</v>
          </cell>
          <cell r="H886">
            <v>0</v>
          </cell>
          <cell r="I886">
            <v>291</v>
          </cell>
          <cell r="J886">
            <v>0</v>
          </cell>
          <cell r="K886">
            <v>898</v>
          </cell>
          <cell r="L886">
            <v>29107</v>
          </cell>
          <cell r="M886">
            <v>1</v>
          </cell>
          <cell r="P886">
            <v>7742957778</v>
          </cell>
        </row>
        <row r="887">
          <cell r="C887">
            <v>0</v>
          </cell>
          <cell r="D887">
            <v>0</v>
          </cell>
          <cell r="E887">
            <v>200</v>
          </cell>
          <cell r="F887">
            <v>0</v>
          </cell>
          <cell r="G887">
            <v>0</v>
          </cell>
          <cell r="H887">
            <v>0</v>
          </cell>
          <cell r="I887">
            <v>180</v>
          </cell>
          <cell r="J887">
            <v>0</v>
          </cell>
          <cell r="K887">
            <v>380</v>
          </cell>
          <cell r="L887">
            <v>18000</v>
          </cell>
          <cell r="M887">
            <v>1</v>
          </cell>
          <cell r="P887">
            <v>9461038259</v>
          </cell>
        </row>
        <row r="888">
          <cell r="C888">
            <v>0</v>
          </cell>
          <cell r="D888">
            <v>0</v>
          </cell>
          <cell r="E888">
            <v>200</v>
          </cell>
          <cell r="F888">
            <v>0</v>
          </cell>
          <cell r="G888">
            <v>0</v>
          </cell>
          <cell r="H888">
            <v>0</v>
          </cell>
          <cell r="I888">
            <v>180</v>
          </cell>
          <cell r="J888">
            <v>0</v>
          </cell>
          <cell r="K888">
            <v>380</v>
          </cell>
          <cell r="L888">
            <v>18000</v>
          </cell>
          <cell r="M888">
            <v>1</v>
          </cell>
          <cell r="P888">
            <v>9461038259</v>
          </cell>
        </row>
        <row r="889">
          <cell r="C889">
            <v>0</v>
          </cell>
          <cell r="D889">
            <v>0</v>
          </cell>
          <cell r="E889">
            <v>200</v>
          </cell>
          <cell r="F889">
            <v>0</v>
          </cell>
          <cell r="G889">
            <v>0</v>
          </cell>
          <cell r="H889">
            <v>0</v>
          </cell>
          <cell r="I889">
            <v>180</v>
          </cell>
          <cell r="J889">
            <v>0</v>
          </cell>
          <cell r="K889">
            <v>380</v>
          </cell>
          <cell r="L889">
            <v>18000</v>
          </cell>
          <cell r="M889">
            <v>1</v>
          </cell>
          <cell r="P889">
            <v>9461038259</v>
          </cell>
        </row>
        <row r="890">
          <cell r="C890">
            <v>1000</v>
          </cell>
          <cell r="D890">
            <v>0</v>
          </cell>
          <cell r="E890">
            <v>200</v>
          </cell>
          <cell r="F890">
            <v>0</v>
          </cell>
          <cell r="G890">
            <v>1</v>
          </cell>
          <cell r="H890">
            <v>0</v>
          </cell>
          <cell r="I890">
            <v>130</v>
          </cell>
          <cell r="J890">
            <v>0</v>
          </cell>
          <cell r="K890">
            <v>331</v>
          </cell>
          <cell r="L890">
            <v>13001</v>
          </cell>
          <cell r="M890">
            <v>7</v>
          </cell>
          <cell r="P890">
            <v>8824990821</v>
          </cell>
        </row>
        <row r="891">
          <cell r="C891">
            <v>1000</v>
          </cell>
          <cell r="D891">
            <v>0</v>
          </cell>
          <cell r="E891">
            <v>200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200</v>
          </cell>
          <cell r="L891">
            <v>0</v>
          </cell>
          <cell r="M891">
            <v>0</v>
          </cell>
          <cell r="P891">
            <v>8824990821</v>
          </cell>
        </row>
        <row r="892">
          <cell r="C892">
            <v>1000</v>
          </cell>
          <cell r="D892">
            <v>0</v>
          </cell>
          <cell r="E892">
            <v>200</v>
          </cell>
          <cell r="F892">
            <v>0</v>
          </cell>
          <cell r="G892">
            <v>0</v>
          </cell>
          <cell r="H892">
            <v>0</v>
          </cell>
          <cell r="I892">
            <v>74</v>
          </cell>
          <cell r="J892">
            <v>0</v>
          </cell>
          <cell r="K892">
            <v>274</v>
          </cell>
          <cell r="L892">
            <v>7374</v>
          </cell>
          <cell r="M892">
            <v>10</v>
          </cell>
          <cell r="P892">
            <v>9928410700</v>
          </cell>
        </row>
        <row r="893">
          <cell r="C893">
            <v>1000</v>
          </cell>
          <cell r="D893">
            <v>0</v>
          </cell>
          <cell r="E893">
            <v>200</v>
          </cell>
          <cell r="F893">
            <v>0</v>
          </cell>
          <cell r="G893">
            <v>1000</v>
          </cell>
          <cell r="H893">
            <v>0</v>
          </cell>
          <cell r="I893">
            <v>150</v>
          </cell>
          <cell r="J893">
            <v>0</v>
          </cell>
          <cell r="K893">
            <v>1350</v>
          </cell>
          <cell r="L893">
            <v>15000</v>
          </cell>
          <cell r="M893">
            <v>6</v>
          </cell>
          <cell r="P893">
            <v>9799626367</v>
          </cell>
        </row>
        <row r="894">
          <cell r="C894">
            <v>0</v>
          </cell>
          <cell r="D894">
            <v>0</v>
          </cell>
          <cell r="E894">
            <v>200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200</v>
          </cell>
          <cell r="L894">
            <v>0</v>
          </cell>
          <cell r="M894">
            <v>0</v>
          </cell>
          <cell r="P894">
            <v>9799626367</v>
          </cell>
        </row>
        <row r="895">
          <cell r="C895">
            <v>1000</v>
          </cell>
          <cell r="D895">
            <v>0</v>
          </cell>
          <cell r="E895">
            <v>200</v>
          </cell>
          <cell r="F895">
            <v>0</v>
          </cell>
          <cell r="G895">
            <v>0</v>
          </cell>
          <cell r="H895">
            <v>0</v>
          </cell>
          <cell r="I895">
            <v>124</v>
          </cell>
          <cell r="J895">
            <v>0</v>
          </cell>
          <cell r="K895">
            <v>324</v>
          </cell>
          <cell r="L895">
            <v>12392</v>
          </cell>
          <cell r="M895">
            <v>6</v>
          </cell>
          <cell r="P895">
            <v>9799626367</v>
          </cell>
        </row>
        <row r="896">
          <cell r="C896">
            <v>0</v>
          </cell>
          <cell r="D896">
            <v>0</v>
          </cell>
          <cell r="E896">
            <v>190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190</v>
          </cell>
          <cell r="L896">
            <v>-1207</v>
          </cell>
          <cell r="M896">
            <v>2</v>
          </cell>
          <cell r="P896">
            <v>9772972215</v>
          </cell>
        </row>
        <row r="897">
          <cell r="C897">
            <v>1000</v>
          </cell>
          <cell r="D897">
            <v>0</v>
          </cell>
          <cell r="E897">
            <v>200</v>
          </cell>
          <cell r="F897">
            <v>0</v>
          </cell>
          <cell r="G897">
            <v>313</v>
          </cell>
          <cell r="H897">
            <v>0</v>
          </cell>
          <cell r="I897">
            <v>63</v>
          </cell>
          <cell r="J897">
            <v>0</v>
          </cell>
          <cell r="K897">
            <v>576</v>
          </cell>
          <cell r="L897">
            <v>6313</v>
          </cell>
          <cell r="M897">
            <v>14</v>
          </cell>
          <cell r="P897">
            <v>9887981709</v>
          </cell>
        </row>
        <row r="898">
          <cell r="C898">
            <v>1000</v>
          </cell>
          <cell r="D898">
            <v>0</v>
          </cell>
          <cell r="E898">
            <v>200</v>
          </cell>
          <cell r="F898">
            <v>0</v>
          </cell>
          <cell r="G898">
            <v>1000</v>
          </cell>
          <cell r="H898">
            <v>0</v>
          </cell>
          <cell r="I898">
            <v>60</v>
          </cell>
          <cell r="J898">
            <v>0</v>
          </cell>
          <cell r="K898">
            <v>1260</v>
          </cell>
          <cell r="L898">
            <v>6000</v>
          </cell>
          <cell r="M898">
            <v>15</v>
          </cell>
          <cell r="P898">
            <v>8209131043</v>
          </cell>
        </row>
        <row r="899">
          <cell r="C899">
            <v>1000</v>
          </cell>
          <cell r="D899">
            <v>0</v>
          </cell>
          <cell r="E899">
            <v>200</v>
          </cell>
          <cell r="F899">
            <v>0</v>
          </cell>
          <cell r="G899">
            <v>1000</v>
          </cell>
          <cell r="H899">
            <v>0</v>
          </cell>
          <cell r="I899">
            <v>60</v>
          </cell>
          <cell r="J899">
            <v>0</v>
          </cell>
          <cell r="K899">
            <v>1260</v>
          </cell>
          <cell r="L899">
            <v>6000</v>
          </cell>
          <cell r="M899">
            <v>15</v>
          </cell>
          <cell r="P899">
            <v>8209131043</v>
          </cell>
        </row>
        <row r="900">
          <cell r="C900">
            <v>1000</v>
          </cell>
          <cell r="D900">
            <v>0</v>
          </cell>
          <cell r="E900">
            <v>200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200</v>
          </cell>
          <cell r="L900">
            <v>0</v>
          </cell>
          <cell r="M900">
            <v>0</v>
          </cell>
          <cell r="P900">
            <v>9602489968</v>
          </cell>
        </row>
        <row r="901">
          <cell r="C901">
            <v>1000</v>
          </cell>
          <cell r="D901">
            <v>0</v>
          </cell>
          <cell r="E901">
            <v>200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200</v>
          </cell>
          <cell r="L901">
            <v>0</v>
          </cell>
          <cell r="M901">
            <v>0</v>
          </cell>
          <cell r="P901">
            <v>9602489968</v>
          </cell>
        </row>
        <row r="902">
          <cell r="C902">
            <v>0</v>
          </cell>
          <cell r="D902">
            <v>0</v>
          </cell>
          <cell r="E902">
            <v>200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200</v>
          </cell>
          <cell r="L902">
            <v>0</v>
          </cell>
          <cell r="M902">
            <v>0</v>
          </cell>
          <cell r="P902">
            <v>9351427021</v>
          </cell>
        </row>
        <row r="903">
          <cell r="C903">
            <v>0</v>
          </cell>
          <cell r="D903">
            <v>0</v>
          </cell>
          <cell r="E903">
            <v>200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200</v>
          </cell>
          <cell r="L903">
            <v>0</v>
          </cell>
          <cell r="M903">
            <v>0</v>
          </cell>
          <cell r="P903">
            <v>9351427021</v>
          </cell>
        </row>
        <row r="904">
          <cell r="C904">
            <v>0</v>
          </cell>
          <cell r="D904">
            <v>0</v>
          </cell>
          <cell r="E904">
            <v>200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200</v>
          </cell>
          <cell r="L904">
            <v>0</v>
          </cell>
          <cell r="M904">
            <v>0</v>
          </cell>
          <cell r="P904">
            <v>7742515326</v>
          </cell>
        </row>
        <row r="905">
          <cell r="C905">
            <v>0</v>
          </cell>
          <cell r="D905">
            <v>0</v>
          </cell>
          <cell r="E905">
            <v>200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200</v>
          </cell>
          <cell r="L905">
            <v>0</v>
          </cell>
          <cell r="M905">
            <v>0</v>
          </cell>
          <cell r="P905">
            <v>7742515326</v>
          </cell>
        </row>
        <row r="906">
          <cell r="C906">
            <v>1000</v>
          </cell>
          <cell r="D906">
            <v>0</v>
          </cell>
          <cell r="E906">
            <v>190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190</v>
          </cell>
          <cell r="L906">
            <v>0</v>
          </cell>
          <cell r="M906">
            <v>0</v>
          </cell>
          <cell r="P906">
            <v>9772266149</v>
          </cell>
        </row>
        <row r="907">
          <cell r="C907">
            <v>1000</v>
          </cell>
          <cell r="D907">
            <v>0</v>
          </cell>
          <cell r="E907">
            <v>200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200</v>
          </cell>
          <cell r="L907">
            <v>0</v>
          </cell>
          <cell r="M907">
            <v>0</v>
          </cell>
          <cell r="P907">
            <v>9772266149</v>
          </cell>
        </row>
        <row r="908">
          <cell r="C908">
            <v>500</v>
          </cell>
          <cell r="D908">
            <v>0</v>
          </cell>
          <cell r="E908">
            <v>200</v>
          </cell>
          <cell r="F908">
            <v>0</v>
          </cell>
          <cell r="G908">
            <v>500</v>
          </cell>
          <cell r="H908">
            <v>0</v>
          </cell>
          <cell r="I908">
            <v>130</v>
          </cell>
          <cell r="J908">
            <v>0</v>
          </cell>
          <cell r="K908">
            <v>830</v>
          </cell>
          <cell r="L908">
            <v>13000</v>
          </cell>
          <cell r="M908">
            <v>15</v>
          </cell>
          <cell r="P908">
            <v>9828072198</v>
          </cell>
        </row>
        <row r="909">
          <cell r="C909">
            <v>500</v>
          </cell>
          <cell r="D909">
            <v>0</v>
          </cell>
          <cell r="E909">
            <v>200</v>
          </cell>
          <cell r="F909">
            <v>0</v>
          </cell>
          <cell r="G909">
            <v>500</v>
          </cell>
          <cell r="H909">
            <v>0</v>
          </cell>
          <cell r="I909">
            <v>130</v>
          </cell>
          <cell r="J909">
            <v>0</v>
          </cell>
          <cell r="K909">
            <v>830</v>
          </cell>
          <cell r="L909">
            <v>13000</v>
          </cell>
          <cell r="M909">
            <v>15</v>
          </cell>
          <cell r="P909">
            <v>9828072198</v>
          </cell>
        </row>
        <row r="910">
          <cell r="C910">
            <v>500</v>
          </cell>
          <cell r="D910">
            <v>0</v>
          </cell>
          <cell r="E910">
            <v>200</v>
          </cell>
          <cell r="F910">
            <v>0</v>
          </cell>
          <cell r="G910">
            <v>500</v>
          </cell>
          <cell r="H910">
            <v>0</v>
          </cell>
          <cell r="I910">
            <v>130</v>
          </cell>
          <cell r="J910">
            <v>0</v>
          </cell>
          <cell r="K910">
            <v>830</v>
          </cell>
          <cell r="L910">
            <v>13000</v>
          </cell>
          <cell r="M910">
            <v>15</v>
          </cell>
          <cell r="P910">
            <v>91667880643</v>
          </cell>
        </row>
        <row r="911">
          <cell r="C911">
            <v>500</v>
          </cell>
          <cell r="D911">
            <v>0</v>
          </cell>
          <cell r="E911">
            <v>200</v>
          </cell>
          <cell r="F911">
            <v>0</v>
          </cell>
          <cell r="G911">
            <v>500</v>
          </cell>
          <cell r="H911">
            <v>0</v>
          </cell>
          <cell r="I911">
            <v>130</v>
          </cell>
          <cell r="J911">
            <v>0</v>
          </cell>
          <cell r="K911">
            <v>830</v>
          </cell>
          <cell r="L911">
            <v>13000</v>
          </cell>
          <cell r="M911">
            <v>15</v>
          </cell>
          <cell r="P911">
            <v>91667880643</v>
          </cell>
        </row>
        <row r="912">
          <cell r="C912">
            <v>500</v>
          </cell>
          <cell r="D912">
            <v>0</v>
          </cell>
          <cell r="E912">
            <v>200</v>
          </cell>
          <cell r="F912">
            <v>0</v>
          </cell>
          <cell r="G912">
            <v>500</v>
          </cell>
          <cell r="H912">
            <v>0</v>
          </cell>
          <cell r="I912">
            <v>130</v>
          </cell>
          <cell r="J912">
            <v>0</v>
          </cell>
          <cell r="K912">
            <v>830</v>
          </cell>
          <cell r="L912">
            <v>13000</v>
          </cell>
          <cell r="M912">
            <v>15</v>
          </cell>
          <cell r="P912">
            <v>91667880643</v>
          </cell>
        </row>
        <row r="913">
          <cell r="C913">
            <v>500</v>
          </cell>
          <cell r="D913">
            <v>0</v>
          </cell>
          <cell r="E913">
            <v>200</v>
          </cell>
          <cell r="F913">
            <v>0</v>
          </cell>
          <cell r="G913">
            <v>500</v>
          </cell>
          <cell r="H913">
            <v>0</v>
          </cell>
          <cell r="I913">
            <v>130</v>
          </cell>
          <cell r="J913">
            <v>0</v>
          </cell>
          <cell r="K913">
            <v>830</v>
          </cell>
          <cell r="L913">
            <v>13000</v>
          </cell>
          <cell r="M913">
            <v>15</v>
          </cell>
          <cell r="P913">
            <v>91667880643</v>
          </cell>
        </row>
        <row r="914">
          <cell r="C914">
            <v>500</v>
          </cell>
          <cell r="D914">
            <v>0</v>
          </cell>
          <cell r="E914">
            <v>200</v>
          </cell>
          <cell r="F914">
            <v>0</v>
          </cell>
          <cell r="G914">
            <v>500</v>
          </cell>
          <cell r="H914">
            <v>0</v>
          </cell>
          <cell r="I914">
            <v>130</v>
          </cell>
          <cell r="J914">
            <v>0</v>
          </cell>
          <cell r="K914">
            <v>830</v>
          </cell>
          <cell r="L914">
            <v>13000</v>
          </cell>
          <cell r="M914">
            <v>15</v>
          </cell>
          <cell r="P914">
            <v>91667880643</v>
          </cell>
        </row>
        <row r="915">
          <cell r="C915">
            <v>1000</v>
          </cell>
          <cell r="D915">
            <v>0</v>
          </cell>
          <cell r="E915">
            <v>200</v>
          </cell>
          <cell r="F915">
            <v>0</v>
          </cell>
          <cell r="G915">
            <v>1000</v>
          </cell>
          <cell r="H915">
            <v>0</v>
          </cell>
          <cell r="I915">
            <v>90</v>
          </cell>
          <cell r="J915">
            <v>0</v>
          </cell>
          <cell r="K915">
            <v>1290</v>
          </cell>
          <cell r="L915">
            <v>9000</v>
          </cell>
          <cell r="M915">
            <v>12</v>
          </cell>
          <cell r="P915">
            <v>9929216977</v>
          </cell>
        </row>
        <row r="916">
          <cell r="C916">
            <v>1000</v>
          </cell>
          <cell r="D916">
            <v>0</v>
          </cell>
          <cell r="E916">
            <v>200</v>
          </cell>
          <cell r="F916">
            <v>0</v>
          </cell>
          <cell r="G916">
            <v>1000</v>
          </cell>
          <cell r="H916">
            <v>0</v>
          </cell>
          <cell r="I916">
            <v>90</v>
          </cell>
          <cell r="J916">
            <v>0</v>
          </cell>
          <cell r="K916">
            <v>1290</v>
          </cell>
          <cell r="L916">
            <v>9000</v>
          </cell>
          <cell r="M916">
            <v>12</v>
          </cell>
          <cell r="P916">
            <v>9929216977</v>
          </cell>
        </row>
        <row r="917">
          <cell r="C917">
            <v>1000</v>
          </cell>
          <cell r="D917">
            <v>0</v>
          </cell>
          <cell r="E917">
            <v>660</v>
          </cell>
          <cell r="F917">
            <v>51</v>
          </cell>
          <cell r="G917">
            <v>3000</v>
          </cell>
          <cell r="H917">
            <v>280</v>
          </cell>
          <cell r="I917">
            <v>110</v>
          </cell>
          <cell r="J917">
            <v>0</v>
          </cell>
          <cell r="K917">
            <v>4101</v>
          </cell>
          <cell r="L917">
            <v>11000</v>
          </cell>
          <cell r="M917">
            <v>12</v>
          </cell>
          <cell r="P917">
            <v>9694079167</v>
          </cell>
        </row>
        <row r="918">
          <cell r="C918">
            <v>1000</v>
          </cell>
          <cell r="D918">
            <v>0</v>
          </cell>
          <cell r="E918">
            <v>800</v>
          </cell>
          <cell r="F918">
            <v>63</v>
          </cell>
          <cell r="G918">
            <v>3000</v>
          </cell>
          <cell r="H918">
            <v>280</v>
          </cell>
          <cell r="I918">
            <v>110</v>
          </cell>
          <cell r="J918">
            <v>0</v>
          </cell>
          <cell r="K918">
            <v>4253</v>
          </cell>
          <cell r="L918">
            <v>11000</v>
          </cell>
          <cell r="M918">
            <v>12</v>
          </cell>
          <cell r="P918">
            <v>9694079167</v>
          </cell>
        </row>
        <row r="919">
          <cell r="C919">
            <v>1000</v>
          </cell>
          <cell r="D919">
            <v>0</v>
          </cell>
          <cell r="E919">
            <v>800</v>
          </cell>
          <cell r="F919">
            <v>63</v>
          </cell>
          <cell r="G919">
            <v>3000</v>
          </cell>
          <cell r="H919">
            <v>280</v>
          </cell>
          <cell r="I919">
            <v>110</v>
          </cell>
          <cell r="J919">
            <v>0</v>
          </cell>
          <cell r="K919">
            <v>4253</v>
          </cell>
          <cell r="L919">
            <v>11000</v>
          </cell>
          <cell r="M919">
            <v>12</v>
          </cell>
          <cell r="P919">
            <v>9694079167</v>
          </cell>
        </row>
        <row r="920">
          <cell r="C920">
            <v>500</v>
          </cell>
          <cell r="D920">
            <v>0</v>
          </cell>
          <cell r="E920">
            <v>200</v>
          </cell>
          <cell r="F920">
            <v>0</v>
          </cell>
          <cell r="G920">
            <v>0</v>
          </cell>
          <cell r="H920">
            <v>0</v>
          </cell>
          <cell r="I920">
            <v>129</v>
          </cell>
          <cell r="J920">
            <v>0</v>
          </cell>
          <cell r="K920">
            <v>329</v>
          </cell>
          <cell r="L920">
            <v>12921</v>
          </cell>
          <cell r="M920">
            <v>12</v>
          </cell>
          <cell r="P920">
            <v>7891681482</v>
          </cell>
        </row>
        <row r="921">
          <cell r="C921">
            <v>500</v>
          </cell>
          <cell r="D921">
            <v>0</v>
          </cell>
          <cell r="E921">
            <v>200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200</v>
          </cell>
          <cell r="L921">
            <v>0</v>
          </cell>
          <cell r="M921">
            <v>0</v>
          </cell>
          <cell r="P921">
            <v>7891681482</v>
          </cell>
        </row>
        <row r="922">
          <cell r="C922">
            <v>0</v>
          </cell>
          <cell r="D922">
            <v>0</v>
          </cell>
          <cell r="E922">
            <v>200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200</v>
          </cell>
          <cell r="L922">
            <v>0</v>
          </cell>
          <cell r="M922">
            <v>0</v>
          </cell>
          <cell r="P922">
            <v>9694027034</v>
          </cell>
        </row>
        <row r="923">
          <cell r="C923">
            <v>0</v>
          </cell>
          <cell r="D923">
            <v>0</v>
          </cell>
          <cell r="E923">
            <v>200</v>
          </cell>
          <cell r="F923">
            <v>0</v>
          </cell>
          <cell r="G923">
            <v>0</v>
          </cell>
          <cell r="H923">
            <v>0</v>
          </cell>
          <cell r="I923">
            <v>99</v>
          </cell>
          <cell r="J923">
            <v>0</v>
          </cell>
          <cell r="K923">
            <v>299</v>
          </cell>
          <cell r="L923">
            <v>9900</v>
          </cell>
          <cell r="M923">
            <v>2</v>
          </cell>
          <cell r="P923">
            <v>9694027034</v>
          </cell>
        </row>
        <row r="924">
          <cell r="C924">
            <v>1000</v>
          </cell>
          <cell r="D924">
            <v>0</v>
          </cell>
          <cell r="E924">
            <v>200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200</v>
          </cell>
          <cell r="L924">
            <v>0</v>
          </cell>
          <cell r="M924">
            <v>0</v>
          </cell>
          <cell r="P924">
            <v>9928577989</v>
          </cell>
        </row>
        <row r="925">
          <cell r="C925">
            <v>1000</v>
          </cell>
          <cell r="D925">
            <v>0</v>
          </cell>
          <cell r="E925">
            <v>200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200</v>
          </cell>
          <cell r="L925">
            <v>0</v>
          </cell>
          <cell r="M925">
            <v>0</v>
          </cell>
          <cell r="P925">
            <v>9928577989</v>
          </cell>
        </row>
        <row r="926">
          <cell r="C926">
            <v>500</v>
          </cell>
          <cell r="D926">
            <v>0</v>
          </cell>
          <cell r="E926">
            <v>200</v>
          </cell>
          <cell r="F926">
            <v>0</v>
          </cell>
          <cell r="G926">
            <v>0</v>
          </cell>
          <cell r="H926">
            <v>0</v>
          </cell>
          <cell r="I926">
            <v>265</v>
          </cell>
          <cell r="J926">
            <v>0</v>
          </cell>
          <cell r="K926">
            <v>465</v>
          </cell>
          <cell r="L926">
            <v>26500</v>
          </cell>
          <cell r="M926">
            <v>7</v>
          </cell>
          <cell r="P926">
            <v>9982447051</v>
          </cell>
        </row>
        <row r="927">
          <cell r="C927">
            <v>500</v>
          </cell>
          <cell r="D927">
            <v>0</v>
          </cell>
          <cell r="E927">
            <v>200</v>
          </cell>
          <cell r="F927">
            <v>0</v>
          </cell>
          <cell r="G927">
            <v>0</v>
          </cell>
          <cell r="H927">
            <v>0</v>
          </cell>
          <cell r="I927">
            <v>265</v>
          </cell>
          <cell r="J927">
            <v>0</v>
          </cell>
          <cell r="K927">
            <v>465</v>
          </cell>
          <cell r="L927">
            <v>26500</v>
          </cell>
          <cell r="M927">
            <v>7</v>
          </cell>
          <cell r="P927">
            <v>9982447051</v>
          </cell>
        </row>
        <row r="928">
          <cell r="C928">
            <v>500</v>
          </cell>
          <cell r="D928">
            <v>0</v>
          </cell>
          <cell r="E928">
            <v>200</v>
          </cell>
          <cell r="F928">
            <v>0</v>
          </cell>
          <cell r="G928">
            <v>0</v>
          </cell>
          <cell r="H928">
            <v>0</v>
          </cell>
          <cell r="I928">
            <v>265</v>
          </cell>
          <cell r="J928">
            <v>0</v>
          </cell>
          <cell r="K928">
            <v>465</v>
          </cell>
          <cell r="L928">
            <v>26500</v>
          </cell>
          <cell r="M928">
            <v>7</v>
          </cell>
          <cell r="P928">
            <v>9982447051</v>
          </cell>
        </row>
        <row r="929">
          <cell r="C929">
            <v>1000</v>
          </cell>
          <cell r="D929">
            <v>0</v>
          </cell>
          <cell r="E929">
            <v>200</v>
          </cell>
          <cell r="F929">
            <v>0</v>
          </cell>
          <cell r="G929">
            <v>1000</v>
          </cell>
          <cell r="H929">
            <v>0</v>
          </cell>
          <cell r="I929">
            <v>240</v>
          </cell>
          <cell r="J929">
            <v>0</v>
          </cell>
          <cell r="K929">
            <v>1440</v>
          </cell>
          <cell r="L929">
            <v>24000</v>
          </cell>
          <cell r="M929">
            <v>7</v>
          </cell>
          <cell r="P929">
            <v>9982447051</v>
          </cell>
        </row>
        <row r="930">
          <cell r="C930">
            <v>200</v>
          </cell>
          <cell r="D930">
            <v>0</v>
          </cell>
          <cell r="E930">
            <v>200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200</v>
          </cell>
          <cell r="L930">
            <v>0</v>
          </cell>
          <cell r="M930">
            <v>0</v>
          </cell>
          <cell r="P930">
            <v>9929194619</v>
          </cell>
        </row>
        <row r="931">
          <cell r="C931">
            <v>200</v>
          </cell>
          <cell r="D931">
            <v>0</v>
          </cell>
          <cell r="E931">
            <v>200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200</v>
          </cell>
          <cell r="L931">
            <v>0</v>
          </cell>
          <cell r="M931">
            <v>0</v>
          </cell>
          <cell r="P931">
            <v>9929194619</v>
          </cell>
        </row>
        <row r="932">
          <cell r="C932">
            <v>200</v>
          </cell>
          <cell r="D932">
            <v>0</v>
          </cell>
          <cell r="E932">
            <v>200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200</v>
          </cell>
          <cell r="L932">
            <v>0</v>
          </cell>
          <cell r="M932">
            <v>0</v>
          </cell>
          <cell r="P932">
            <v>9929194619</v>
          </cell>
        </row>
        <row r="933">
          <cell r="C933">
            <v>200</v>
          </cell>
          <cell r="D933">
            <v>0</v>
          </cell>
          <cell r="E933">
            <v>200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200</v>
          </cell>
          <cell r="L933">
            <v>0</v>
          </cell>
          <cell r="M933">
            <v>0</v>
          </cell>
          <cell r="P933">
            <v>9929194619</v>
          </cell>
        </row>
        <row r="934">
          <cell r="C934">
            <v>200</v>
          </cell>
          <cell r="D934">
            <v>0</v>
          </cell>
          <cell r="E934">
            <v>200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200</v>
          </cell>
          <cell r="L934">
            <v>0</v>
          </cell>
          <cell r="M934">
            <v>0</v>
          </cell>
          <cell r="P934">
            <v>9929194619</v>
          </cell>
        </row>
        <row r="935">
          <cell r="C935">
            <v>0</v>
          </cell>
          <cell r="D935">
            <v>0</v>
          </cell>
          <cell r="E935">
            <v>200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200</v>
          </cell>
          <cell r="L935">
            <v>0</v>
          </cell>
          <cell r="M935">
            <v>0</v>
          </cell>
          <cell r="P935">
            <v>9314298877</v>
          </cell>
        </row>
        <row r="936">
          <cell r="C936">
            <v>1000</v>
          </cell>
          <cell r="D936">
            <v>0</v>
          </cell>
          <cell r="E936">
            <v>200</v>
          </cell>
          <cell r="F936">
            <v>0</v>
          </cell>
          <cell r="G936">
            <v>1000</v>
          </cell>
          <cell r="H936">
            <v>0</v>
          </cell>
          <cell r="I936">
            <v>260</v>
          </cell>
          <cell r="J936">
            <v>0</v>
          </cell>
          <cell r="K936">
            <v>1460</v>
          </cell>
          <cell r="L936">
            <v>26000</v>
          </cell>
          <cell r="M936">
            <v>5</v>
          </cell>
          <cell r="P936">
            <v>9314298877</v>
          </cell>
        </row>
        <row r="937">
          <cell r="C937">
            <v>1000</v>
          </cell>
          <cell r="D937">
            <v>0</v>
          </cell>
          <cell r="E937">
            <v>200</v>
          </cell>
          <cell r="F937">
            <v>0</v>
          </cell>
          <cell r="G937">
            <v>1000</v>
          </cell>
          <cell r="H937">
            <v>0</v>
          </cell>
          <cell r="I937">
            <v>260</v>
          </cell>
          <cell r="J937">
            <v>0</v>
          </cell>
          <cell r="K937">
            <v>1460</v>
          </cell>
          <cell r="L937">
            <v>26000</v>
          </cell>
          <cell r="M937">
            <v>5</v>
          </cell>
          <cell r="P937">
            <v>9314298877</v>
          </cell>
        </row>
        <row r="938">
          <cell r="C938">
            <v>0</v>
          </cell>
          <cell r="D938">
            <v>0</v>
          </cell>
          <cell r="E938">
            <v>200</v>
          </cell>
          <cell r="F938">
            <v>4</v>
          </cell>
          <cell r="G938">
            <v>0</v>
          </cell>
          <cell r="H938">
            <v>2</v>
          </cell>
          <cell r="I938">
            <v>109</v>
          </cell>
          <cell r="J938">
            <v>0</v>
          </cell>
          <cell r="K938">
            <v>315</v>
          </cell>
          <cell r="L938">
            <v>10872</v>
          </cell>
          <cell r="M938">
            <v>3</v>
          </cell>
          <cell r="P938">
            <v>9649551001</v>
          </cell>
        </row>
        <row r="939">
          <cell r="C939">
            <v>0</v>
          </cell>
          <cell r="D939">
            <v>18901</v>
          </cell>
          <cell r="E939">
            <v>2767</v>
          </cell>
          <cell r="F939">
            <v>1077</v>
          </cell>
          <cell r="G939">
            <v>32685</v>
          </cell>
          <cell r="H939">
            <v>22549</v>
          </cell>
          <cell r="I939">
            <v>3767</v>
          </cell>
          <cell r="J939">
            <v>0</v>
          </cell>
          <cell r="K939">
            <v>62845</v>
          </cell>
          <cell r="L939">
            <v>32685</v>
          </cell>
          <cell r="M939">
            <v>16</v>
          </cell>
          <cell r="P939">
            <v>9799878762</v>
          </cell>
        </row>
        <row r="940">
          <cell r="C940">
            <v>2500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300</v>
          </cell>
          <cell r="J940">
            <v>0</v>
          </cell>
          <cell r="K940">
            <v>300</v>
          </cell>
          <cell r="L940">
            <v>30000</v>
          </cell>
          <cell r="M940">
            <v>1</v>
          </cell>
          <cell r="P940">
            <v>9680409946</v>
          </cell>
        </row>
        <row r="941">
          <cell r="C941">
            <v>1000</v>
          </cell>
          <cell r="D941">
            <v>0</v>
          </cell>
          <cell r="E941">
            <v>0</v>
          </cell>
          <cell r="F941">
            <v>0</v>
          </cell>
          <cell r="G941">
            <v>1000</v>
          </cell>
          <cell r="H941">
            <v>0</v>
          </cell>
          <cell r="I941">
            <v>300</v>
          </cell>
          <cell r="J941">
            <v>0</v>
          </cell>
          <cell r="K941">
            <v>1300</v>
          </cell>
          <cell r="L941">
            <v>30000</v>
          </cell>
          <cell r="M941">
            <v>1</v>
          </cell>
          <cell r="P941">
            <v>9680409946</v>
          </cell>
        </row>
        <row r="942">
          <cell r="C942">
            <v>1000</v>
          </cell>
          <cell r="D942">
            <v>0</v>
          </cell>
          <cell r="E942">
            <v>0</v>
          </cell>
          <cell r="F942">
            <v>0</v>
          </cell>
          <cell r="G942">
            <v>1000</v>
          </cell>
          <cell r="H942">
            <v>0</v>
          </cell>
          <cell r="I942">
            <v>290</v>
          </cell>
          <cell r="J942">
            <v>0</v>
          </cell>
          <cell r="K942">
            <v>1290</v>
          </cell>
          <cell r="L942">
            <v>30000</v>
          </cell>
          <cell r="M942">
            <v>1</v>
          </cell>
          <cell r="P942">
            <v>9680409946</v>
          </cell>
        </row>
        <row r="943">
          <cell r="C943">
            <v>1500</v>
          </cell>
          <cell r="D943">
            <v>0</v>
          </cell>
          <cell r="E943">
            <v>0</v>
          </cell>
          <cell r="F943">
            <v>0</v>
          </cell>
          <cell r="G943">
            <v>1500</v>
          </cell>
          <cell r="H943">
            <v>0</v>
          </cell>
          <cell r="I943">
            <v>280</v>
          </cell>
          <cell r="J943">
            <v>0</v>
          </cell>
          <cell r="K943">
            <v>1780</v>
          </cell>
          <cell r="L943">
            <v>30000</v>
          </cell>
          <cell r="M943">
            <v>1</v>
          </cell>
          <cell r="P943">
            <v>9680409946</v>
          </cell>
        </row>
        <row r="944">
          <cell r="C944">
            <v>500</v>
          </cell>
          <cell r="D944">
            <v>0</v>
          </cell>
          <cell r="E944">
            <v>200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200</v>
          </cell>
          <cell r="L944">
            <v>0</v>
          </cell>
          <cell r="M944">
            <v>0</v>
          </cell>
          <cell r="P944">
            <v>9571650476</v>
          </cell>
        </row>
        <row r="945">
          <cell r="C945">
            <v>500</v>
          </cell>
          <cell r="D945">
            <v>0</v>
          </cell>
          <cell r="E945">
            <v>200</v>
          </cell>
          <cell r="F945">
            <v>2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202</v>
          </cell>
          <cell r="L945">
            <v>0</v>
          </cell>
          <cell r="M945">
            <v>0</v>
          </cell>
          <cell r="P945">
            <v>9571650476</v>
          </cell>
        </row>
        <row r="946">
          <cell r="C946">
            <v>500</v>
          </cell>
          <cell r="D946">
            <v>0</v>
          </cell>
          <cell r="E946">
            <v>200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200</v>
          </cell>
          <cell r="L946">
            <v>0</v>
          </cell>
          <cell r="M946">
            <v>0</v>
          </cell>
          <cell r="P946">
            <v>9571650476</v>
          </cell>
        </row>
        <row r="947">
          <cell r="C947">
            <v>400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225</v>
          </cell>
          <cell r="J947">
            <v>0</v>
          </cell>
          <cell r="K947">
            <v>225</v>
          </cell>
          <cell r="L947">
            <v>22478</v>
          </cell>
          <cell r="M947">
            <v>3</v>
          </cell>
          <cell r="P947">
            <v>9828069556</v>
          </cell>
        </row>
        <row r="948">
          <cell r="C948">
            <v>0</v>
          </cell>
          <cell r="D948">
            <v>0</v>
          </cell>
          <cell r="E948">
            <v>152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152</v>
          </cell>
          <cell r="L948">
            <v>0</v>
          </cell>
          <cell r="M948">
            <v>0</v>
          </cell>
          <cell r="P948">
            <v>8000025359</v>
          </cell>
        </row>
        <row r="949">
          <cell r="C949">
            <v>0</v>
          </cell>
          <cell r="D949">
            <v>0</v>
          </cell>
          <cell r="E949">
            <v>200</v>
          </cell>
          <cell r="F949">
            <v>2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202</v>
          </cell>
          <cell r="L949">
            <v>0</v>
          </cell>
          <cell r="M949">
            <v>0</v>
          </cell>
          <cell r="P949">
            <v>8078622395</v>
          </cell>
        </row>
        <row r="950">
          <cell r="C950">
            <v>0</v>
          </cell>
          <cell r="D950">
            <v>0</v>
          </cell>
          <cell r="E950">
            <v>200</v>
          </cell>
          <cell r="F950">
            <v>2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202</v>
          </cell>
          <cell r="L950">
            <v>0</v>
          </cell>
          <cell r="M950">
            <v>0</v>
          </cell>
          <cell r="P950">
            <v>8078622395</v>
          </cell>
        </row>
        <row r="951">
          <cell r="C951">
            <v>0</v>
          </cell>
          <cell r="D951">
            <v>0</v>
          </cell>
          <cell r="E951">
            <v>200</v>
          </cell>
          <cell r="F951">
            <v>2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202</v>
          </cell>
          <cell r="L951">
            <v>0</v>
          </cell>
          <cell r="M951">
            <v>0</v>
          </cell>
          <cell r="P951">
            <v>8078622395</v>
          </cell>
        </row>
        <row r="952">
          <cell r="C952">
            <v>0</v>
          </cell>
          <cell r="D952">
            <v>0</v>
          </cell>
          <cell r="E952">
            <v>200</v>
          </cell>
          <cell r="F952">
            <v>0</v>
          </cell>
          <cell r="G952">
            <v>14387</v>
          </cell>
          <cell r="H952">
            <v>0</v>
          </cell>
          <cell r="I952">
            <v>144</v>
          </cell>
          <cell r="J952">
            <v>0</v>
          </cell>
          <cell r="K952">
            <v>14731</v>
          </cell>
          <cell r="L952">
            <v>14387</v>
          </cell>
          <cell r="M952">
            <v>10</v>
          </cell>
          <cell r="P952">
            <v>9116421345</v>
          </cell>
        </row>
        <row r="953">
          <cell r="C953">
            <v>0</v>
          </cell>
          <cell r="D953">
            <v>0</v>
          </cell>
          <cell r="E953">
            <v>200</v>
          </cell>
          <cell r="F953">
            <v>0</v>
          </cell>
          <cell r="G953">
            <v>15500</v>
          </cell>
          <cell r="H953">
            <v>0</v>
          </cell>
          <cell r="I953">
            <v>155</v>
          </cell>
          <cell r="J953">
            <v>0</v>
          </cell>
          <cell r="K953">
            <v>15855</v>
          </cell>
          <cell r="L953">
            <v>15500</v>
          </cell>
          <cell r="M953">
            <v>10</v>
          </cell>
          <cell r="P953">
            <v>9116421345</v>
          </cell>
        </row>
        <row r="954">
          <cell r="C954">
            <v>0</v>
          </cell>
          <cell r="D954">
            <v>0</v>
          </cell>
          <cell r="E954">
            <v>200</v>
          </cell>
          <cell r="F954">
            <v>0</v>
          </cell>
          <cell r="G954">
            <v>15500</v>
          </cell>
          <cell r="H954">
            <v>0</v>
          </cell>
          <cell r="I954">
            <v>155</v>
          </cell>
          <cell r="J954">
            <v>0</v>
          </cell>
          <cell r="K954">
            <v>15855</v>
          </cell>
          <cell r="L954">
            <v>15500</v>
          </cell>
          <cell r="M954">
            <v>10</v>
          </cell>
          <cell r="P954">
            <v>9116421345</v>
          </cell>
        </row>
        <row r="955">
          <cell r="C955">
            <v>0</v>
          </cell>
          <cell r="D955">
            <v>0</v>
          </cell>
          <cell r="E955">
            <v>200</v>
          </cell>
          <cell r="F955">
            <v>0</v>
          </cell>
          <cell r="G955">
            <v>15500</v>
          </cell>
          <cell r="H955">
            <v>0</v>
          </cell>
          <cell r="I955">
            <v>155</v>
          </cell>
          <cell r="J955">
            <v>0</v>
          </cell>
          <cell r="K955">
            <v>15855</v>
          </cell>
          <cell r="L955">
            <v>15500</v>
          </cell>
          <cell r="M955">
            <v>10</v>
          </cell>
          <cell r="P955">
            <v>9116421345</v>
          </cell>
        </row>
        <row r="956">
          <cell r="C956">
            <v>1000</v>
          </cell>
          <cell r="D956">
            <v>0</v>
          </cell>
          <cell r="E956">
            <v>200</v>
          </cell>
          <cell r="F956">
            <v>0</v>
          </cell>
          <cell r="G956">
            <v>1000</v>
          </cell>
          <cell r="H956">
            <v>0</v>
          </cell>
          <cell r="I956">
            <v>80</v>
          </cell>
          <cell r="J956">
            <v>0</v>
          </cell>
          <cell r="K956">
            <v>1280</v>
          </cell>
          <cell r="L956">
            <v>8000</v>
          </cell>
          <cell r="M956">
            <v>13</v>
          </cell>
          <cell r="P956">
            <v>8000857197</v>
          </cell>
        </row>
        <row r="957">
          <cell r="C957">
            <v>1000</v>
          </cell>
          <cell r="D957">
            <v>0</v>
          </cell>
          <cell r="E957">
            <v>200</v>
          </cell>
          <cell r="F957">
            <v>0</v>
          </cell>
          <cell r="G957">
            <v>0</v>
          </cell>
          <cell r="H957">
            <v>0</v>
          </cell>
          <cell r="I957">
            <v>46</v>
          </cell>
          <cell r="J957">
            <v>0</v>
          </cell>
          <cell r="K957">
            <v>246</v>
          </cell>
          <cell r="L957">
            <v>4638</v>
          </cell>
          <cell r="M957">
            <v>14</v>
          </cell>
          <cell r="P957">
            <v>8000857197</v>
          </cell>
        </row>
        <row r="958">
          <cell r="C958">
            <v>0</v>
          </cell>
          <cell r="D958">
            <v>2213</v>
          </cell>
          <cell r="E958">
            <v>3000</v>
          </cell>
          <cell r="F958">
            <v>1303</v>
          </cell>
          <cell r="G958">
            <v>5000</v>
          </cell>
          <cell r="H958">
            <v>3122</v>
          </cell>
          <cell r="I958">
            <v>750</v>
          </cell>
          <cell r="J958">
            <v>0</v>
          </cell>
          <cell r="K958">
            <v>13175</v>
          </cell>
          <cell r="L958">
            <v>5000</v>
          </cell>
          <cell r="M958">
            <v>15</v>
          </cell>
          <cell r="P958">
            <v>7023851055</v>
          </cell>
        </row>
        <row r="959">
          <cell r="C959">
            <v>0</v>
          </cell>
          <cell r="D959">
            <v>2213</v>
          </cell>
          <cell r="E959">
            <v>3000</v>
          </cell>
          <cell r="F959">
            <v>1303</v>
          </cell>
          <cell r="G959">
            <v>5000</v>
          </cell>
          <cell r="H959">
            <v>3122</v>
          </cell>
          <cell r="I959">
            <v>750</v>
          </cell>
          <cell r="J959">
            <v>0</v>
          </cell>
          <cell r="K959">
            <v>13175</v>
          </cell>
          <cell r="L959">
            <v>5000</v>
          </cell>
          <cell r="M959">
            <v>15</v>
          </cell>
          <cell r="P959">
            <v>7023851055</v>
          </cell>
        </row>
        <row r="960">
          <cell r="C960">
            <v>0</v>
          </cell>
          <cell r="D960">
            <v>796</v>
          </cell>
          <cell r="E960">
            <v>3000</v>
          </cell>
          <cell r="F960">
            <v>1303</v>
          </cell>
          <cell r="G960">
            <v>1550</v>
          </cell>
          <cell r="H960">
            <v>971</v>
          </cell>
          <cell r="I960">
            <v>240</v>
          </cell>
          <cell r="J960">
            <v>0</v>
          </cell>
          <cell r="K960">
            <v>7064</v>
          </cell>
          <cell r="L960">
            <v>1550</v>
          </cell>
          <cell r="M960">
            <v>15</v>
          </cell>
          <cell r="P960">
            <v>7023851055</v>
          </cell>
        </row>
        <row r="961">
          <cell r="C961">
            <v>0</v>
          </cell>
          <cell r="D961">
            <v>445</v>
          </cell>
          <cell r="E961">
            <v>2966</v>
          </cell>
          <cell r="F961">
            <v>1271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4237</v>
          </cell>
          <cell r="L961">
            <v>0</v>
          </cell>
          <cell r="M961">
            <v>0</v>
          </cell>
          <cell r="P961">
            <v>7023851055</v>
          </cell>
        </row>
        <row r="962">
          <cell r="C962">
            <v>0</v>
          </cell>
          <cell r="D962">
            <v>0</v>
          </cell>
          <cell r="E962">
            <v>200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200</v>
          </cell>
          <cell r="L962">
            <v>0</v>
          </cell>
          <cell r="M962">
            <v>0</v>
          </cell>
          <cell r="P962">
            <v>98294503307</v>
          </cell>
        </row>
        <row r="963">
          <cell r="C963">
            <v>0</v>
          </cell>
          <cell r="D963">
            <v>0</v>
          </cell>
          <cell r="E963">
            <v>200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200</v>
          </cell>
          <cell r="L963">
            <v>0</v>
          </cell>
          <cell r="M963">
            <v>0</v>
          </cell>
          <cell r="P963">
            <v>98294503307</v>
          </cell>
        </row>
        <row r="964">
          <cell r="C964">
            <v>0</v>
          </cell>
          <cell r="D964">
            <v>0</v>
          </cell>
          <cell r="E964">
            <v>200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200</v>
          </cell>
          <cell r="L964">
            <v>0</v>
          </cell>
          <cell r="M964">
            <v>0</v>
          </cell>
          <cell r="P964">
            <v>98294503307</v>
          </cell>
        </row>
        <row r="965">
          <cell r="C965">
            <v>21000</v>
          </cell>
          <cell r="D965">
            <v>0</v>
          </cell>
          <cell r="E965">
            <v>0</v>
          </cell>
          <cell r="F965">
            <v>0</v>
          </cell>
          <cell r="G965">
            <v>1000</v>
          </cell>
          <cell r="H965">
            <v>0</v>
          </cell>
          <cell r="I965">
            <v>220</v>
          </cell>
          <cell r="J965">
            <v>0</v>
          </cell>
          <cell r="K965">
            <v>1220</v>
          </cell>
          <cell r="L965">
            <v>22000</v>
          </cell>
          <cell r="M965">
            <v>9</v>
          </cell>
          <cell r="P965">
            <v>9782323306</v>
          </cell>
        </row>
        <row r="966">
          <cell r="C966">
            <v>21000</v>
          </cell>
          <cell r="D966">
            <v>0</v>
          </cell>
          <cell r="E966">
            <v>0</v>
          </cell>
          <cell r="F966">
            <v>0</v>
          </cell>
          <cell r="G966">
            <v>1000</v>
          </cell>
          <cell r="H966">
            <v>0</v>
          </cell>
          <cell r="I966">
            <v>220</v>
          </cell>
          <cell r="J966">
            <v>0</v>
          </cell>
          <cell r="K966">
            <v>1220</v>
          </cell>
          <cell r="L966">
            <v>22000</v>
          </cell>
          <cell r="M966">
            <v>9</v>
          </cell>
          <cell r="P966">
            <v>9782323306</v>
          </cell>
        </row>
        <row r="967">
          <cell r="C967">
            <v>500</v>
          </cell>
          <cell r="D967">
            <v>0</v>
          </cell>
          <cell r="E967">
            <v>200</v>
          </cell>
          <cell r="F967">
            <v>0</v>
          </cell>
          <cell r="G967">
            <v>0</v>
          </cell>
          <cell r="H967">
            <v>0</v>
          </cell>
          <cell r="I967">
            <v>55</v>
          </cell>
          <cell r="J967">
            <v>0</v>
          </cell>
          <cell r="K967">
            <v>255</v>
          </cell>
          <cell r="L967">
            <v>5471</v>
          </cell>
          <cell r="M967">
            <v>12</v>
          </cell>
          <cell r="P967">
            <v>7891681482</v>
          </cell>
        </row>
        <row r="968">
          <cell r="C968">
            <v>500</v>
          </cell>
          <cell r="D968">
            <v>0</v>
          </cell>
          <cell r="E968">
            <v>200</v>
          </cell>
          <cell r="F968">
            <v>0</v>
          </cell>
          <cell r="G968">
            <v>0</v>
          </cell>
          <cell r="H968">
            <v>0</v>
          </cell>
          <cell r="I968">
            <v>115</v>
          </cell>
          <cell r="J968">
            <v>0</v>
          </cell>
          <cell r="K968">
            <v>315</v>
          </cell>
          <cell r="L968">
            <v>11523</v>
          </cell>
          <cell r="M968">
            <v>12</v>
          </cell>
          <cell r="P968">
            <v>7891681482</v>
          </cell>
        </row>
        <row r="969">
          <cell r="C969">
            <v>1000</v>
          </cell>
          <cell r="D969">
            <v>0</v>
          </cell>
          <cell r="E969">
            <v>200</v>
          </cell>
          <cell r="F969">
            <v>0</v>
          </cell>
          <cell r="G969">
            <v>1000</v>
          </cell>
          <cell r="H969">
            <v>0</v>
          </cell>
          <cell r="I969">
            <v>110</v>
          </cell>
          <cell r="J969">
            <v>0</v>
          </cell>
          <cell r="K969">
            <v>1310</v>
          </cell>
          <cell r="L969">
            <v>11000</v>
          </cell>
          <cell r="M969">
            <v>10</v>
          </cell>
          <cell r="P969">
            <v>9887981709</v>
          </cell>
        </row>
        <row r="970">
          <cell r="C970">
            <v>0</v>
          </cell>
          <cell r="D970">
            <v>0</v>
          </cell>
          <cell r="E970">
            <v>1000</v>
          </cell>
          <cell r="F970">
            <v>103</v>
          </cell>
          <cell r="G970">
            <v>308</v>
          </cell>
          <cell r="H970">
            <v>0</v>
          </cell>
          <cell r="I970">
            <v>15</v>
          </cell>
          <cell r="J970">
            <v>0</v>
          </cell>
          <cell r="K970">
            <v>1426</v>
          </cell>
          <cell r="L970">
            <v>308</v>
          </cell>
          <cell r="M970">
            <v>7</v>
          </cell>
          <cell r="P970">
            <v>9782135618</v>
          </cell>
        </row>
        <row r="971">
          <cell r="C971">
            <v>500</v>
          </cell>
          <cell r="D971">
            <v>0</v>
          </cell>
          <cell r="E971">
            <v>400</v>
          </cell>
          <cell r="F971">
            <v>10</v>
          </cell>
          <cell r="G971">
            <v>500</v>
          </cell>
          <cell r="H971">
            <v>0</v>
          </cell>
          <cell r="I971">
            <v>145</v>
          </cell>
          <cell r="J971">
            <v>0</v>
          </cell>
          <cell r="K971">
            <v>1055</v>
          </cell>
          <cell r="L971">
            <v>14500</v>
          </cell>
          <cell r="M971">
            <v>12</v>
          </cell>
          <cell r="P971">
            <v>9680047030</v>
          </cell>
        </row>
        <row r="972">
          <cell r="C972">
            <v>500</v>
          </cell>
          <cell r="D972">
            <v>0</v>
          </cell>
          <cell r="E972">
            <v>400</v>
          </cell>
          <cell r="F972">
            <v>10</v>
          </cell>
          <cell r="G972">
            <v>500</v>
          </cell>
          <cell r="H972">
            <v>0</v>
          </cell>
          <cell r="I972">
            <v>145</v>
          </cell>
          <cell r="J972">
            <v>0</v>
          </cell>
          <cell r="K972">
            <v>1055</v>
          </cell>
          <cell r="L972">
            <v>14500</v>
          </cell>
          <cell r="M972">
            <v>12</v>
          </cell>
          <cell r="P972">
            <v>9680047030</v>
          </cell>
        </row>
        <row r="973">
          <cell r="C973">
            <v>500</v>
          </cell>
          <cell r="D973">
            <v>0</v>
          </cell>
          <cell r="E973">
            <v>400</v>
          </cell>
          <cell r="F973">
            <v>10</v>
          </cell>
          <cell r="G973">
            <v>0</v>
          </cell>
          <cell r="H973">
            <v>0</v>
          </cell>
          <cell r="I973">
            <v>129</v>
          </cell>
          <cell r="J973">
            <v>0</v>
          </cell>
          <cell r="K973">
            <v>539</v>
          </cell>
          <cell r="L973">
            <v>12923</v>
          </cell>
          <cell r="M973">
            <v>12</v>
          </cell>
          <cell r="P973">
            <v>9680047030</v>
          </cell>
        </row>
        <row r="974">
          <cell r="C974">
            <v>500</v>
          </cell>
          <cell r="D974">
            <v>0</v>
          </cell>
          <cell r="E974">
            <v>211</v>
          </cell>
          <cell r="F974">
            <v>1</v>
          </cell>
          <cell r="G974">
            <v>500</v>
          </cell>
          <cell r="H974">
            <v>0</v>
          </cell>
          <cell r="I974">
            <v>145</v>
          </cell>
          <cell r="J974">
            <v>0</v>
          </cell>
          <cell r="K974">
            <v>857</v>
          </cell>
          <cell r="L974">
            <v>14500</v>
          </cell>
          <cell r="M974">
            <v>12</v>
          </cell>
          <cell r="P974">
            <v>9680047030</v>
          </cell>
        </row>
        <row r="975">
          <cell r="C975">
            <v>500</v>
          </cell>
          <cell r="D975">
            <v>0</v>
          </cell>
          <cell r="E975">
            <v>200</v>
          </cell>
          <cell r="F975">
            <v>0</v>
          </cell>
          <cell r="G975">
            <v>500</v>
          </cell>
          <cell r="H975">
            <v>0</v>
          </cell>
          <cell r="I975">
            <v>145</v>
          </cell>
          <cell r="J975">
            <v>0</v>
          </cell>
          <cell r="K975">
            <v>845</v>
          </cell>
          <cell r="L975">
            <v>14500</v>
          </cell>
          <cell r="M975">
            <v>12</v>
          </cell>
          <cell r="P975">
            <v>9680047030</v>
          </cell>
        </row>
        <row r="976">
          <cell r="C976">
            <v>500</v>
          </cell>
          <cell r="D976">
            <v>0</v>
          </cell>
          <cell r="E976">
            <v>200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200</v>
          </cell>
          <cell r="L976">
            <v>0</v>
          </cell>
          <cell r="M976">
            <v>0</v>
          </cell>
          <cell r="P976">
            <v>8005916423</v>
          </cell>
        </row>
        <row r="977">
          <cell r="C977">
            <v>500</v>
          </cell>
          <cell r="D977">
            <v>0</v>
          </cell>
          <cell r="E977">
            <v>200</v>
          </cell>
          <cell r="F977">
            <v>0</v>
          </cell>
          <cell r="G977">
            <v>0</v>
          </cell>
          <cell r="H977">
            <v>0</v>
          </cell>
          <cell r="I977">
            <v>142</v>
          </cell>
          <cell r="J977">
            <v>0</v>
          </cell>
          <cell r="K977">
            <v>342</v>
          </cell>
          <cell r="L977">
            <v>14152</v>
          </cell>
          <cell r="M977">
            <v>11</v>
          </cell>
          <cell r="P977">
            <v>8005916423</v>
          </cell>
        </row>
        <row r="978">
          <cell r="C978">
            <v>500</v>
          </cell>
          <cell r="D978">
            <v>0</v>
          </cell>
          <cell r="E978">
            <v>200</v>
          </cell>
          <cell r="F978">
            <v>0</v>
          </cell>
          <cell r="G978">
            <v>500</v>
          </cell>
          <cell r="H978">
            <v>0</v>
          </cell>
          <cell r="I978">
            <v>150</v>
          </cell>
          <cell r="J978">
            <v>0</v>
          </cell>
          <cell r="K978">
            <v>850</v>
          </cell>
          <cell r="L978">
            <v>15000</v>
          </cell>
          <cell r="M978">
            <v>11</v>
          </cell>
          <cell r="P978">
            <v>8005916423</v>
          </cell>
        </row>
        <row r="979">
          <cell r="C979">
            <v>500</v>
          </cell>
          <cell r="D979">
            <v>0</v>
          </cell>
          <cell r="E979">
            <v>200</v>
          </cell>
          <cell r="F979">
            <v>0</v>
          </cell>
          <cell r="G979">
            <v>500</v>
          </cell>
          <cell r="H979">
            <v>0</v>
          </cell>
          <cell r="I979">
            <v>150</v>
          </cell>
          <cell r="J979">
            <v>0</v>
          </cell>
          <cell r="K979">
            <v>850</v>
          </cell>
          <cell r="L979">
            <v>15000</v>
          </cell>
          <cell r="M979">
            <v>11</v>
          </cell>
          <cell r="P979">
            <v>8005916423</v>
          </cell>
        </row>
        <row r="980">
          <cell r="C980">
            <v>500</v>
          </cell>
          <cell r="D980">
            <v>0</v>
          </cell>
          <cell r="E980">
            <v>200</v>
          </cell>
          <cell r="F980">
            <v>0</v>
          </cell>
          <cell r="G980">
            <v>500</v>
          </cell>
          <cell r="H980">
            <v>0</v>
          </cell>
          <cell r="I980">
            <v>150</v>
          </cell>
          <cell r="J980">
            <v>0</v>
          </cell>
          <cell r="K980">
            <v>850</v>
          </cell>
          <cell r="L980">
            <v>15000</v>
          </cell>
          <cell r="M980">
            <v>11</v>
          </cell>
          <cell r="P980">
            <v>8005916423</v>
          </cell>
        </row>
        <row r="981">
          <cell r="C981">
            <v>250</v>
          </cell>
          <cell r="D981">
            <v>0</v>
          </cell>
          <cell r="E981">
            <v>200</v>
          </cell>
          <cell r="F981">
            <v>0</v>
          </cell>
          <cell r="G981">
            <v>250</v>
          </cell>
          <cell r="H981">
            <v>0</v>
          </cell>
          <cell r="I981">
            <v>178</v>
          </cell>
          <cell r="J981">
            <v>0</v>
          </cell>
          <cell r="K981">
            <v>628</v>
          </cell>
          <cell r="L981">
            <v>17750</v>
          </cell>
          <cell r="M981">
            <v>10</v>
          </cell>
          <cell r="P981">
            <v>9680047030</v>
          </cell>
        </row>
        <row r="982">
          <cell r="C982">
            <v>250</v>
          </cell>
          <cell r="D982">
            <v>0</v>
          </cell>
          <cell r="E982">
            <v>200</v>
          </cell>
          <cell r="F982">
            <v>0</v>
          </cell>
          <cell r="G982">
            <v>0</v>
          </cell>
          <cell r="H982">
            <v>0</v>
          </cell>
          <cell r="I982">
            <v>162</v>
          </cell>
          <cell r="J982">
            <v>0</v>
          </cell>
          <cell r="K982">
            <v>362</v>
          </cell>
          <cell r="L982">
            <v>16199</v>
          </cell>
          <cell r="M982">
            <v>10</v>
          </cell>
          <cell r="P982">
            <v>9680047030</v>
          </cell>
        </row>
        <row r="983">
          <cell r="C983">
            <v>250</v>
          </cell>
          <cell r="D983">
            <v>0</v>
          </cell>
          <cell r="E983">
            <v>200</v>
          </cell>
          <cell r="F983">
            <v>0</v>
          </cell>
          <cell r="G983">
            <v>250</v>
          </cell>
          <cell r="H983">
            <v>0</v>
          </cell>
          <cell r="I983">
            <v>178</v>
          </cell>
          <cell r="J983">
            <v>0</v>
          </cell>
          <cell r="K983">
            <v>628</v>
          </cell>
          <cell r="L983">
            <v>17750</v>
          </cell>
          <cell r="M983">
            <v>10</v>
          </cell>
          <cell r="P983">
            <v>9680047030</v>
          </cell>
        </row>
        <row r="984">
          <cell r="C984">
            <v>250</v>
          </cell>
          <cell r="D984">
            <v>0</v>
          </cell>
          <cell r="E984">
            <v>200</v>
          </cell>
          <cell r="F984">
            <v>0</v>
          </cell>
          <cell r="G984">
            <v>250</v>
          </cell>
          <cell r="H984">
            <v>0</v>
          </cell>
          <cell r="I984">
            <v>178</v>
          </cell>
          <cell r="J984">
            <v>0</v>
          </cell>
          <cell r="K984">
            <v>628</v>
          </cell>
          <cell r="L984">
            <v>17750</v>
          </cell>
          <cell r="M984">
            <v>10</v>
          </cell>
          <cell r="P984">
            <v>9680047030</v>
          </cell>
        </row>
        <row r="985">
          <cell r="C985">
            <v>250</v>
          </cell>
          <cell r="D985">
            <v>0</v>
          </cell>
          <cell r="E985">
            <v>200</v>
          </cell>
          <cell r="F985">
            <v>0</v>
          </cell>
          <cell r="G985">
            <v>250</v>
          </cell>
          <cell r="H985">
            <v>0</v>
          </cell>
          <cell r="I985">
            <v>178</v>
          </cell>
          <cell r="J985">
            <v>0</v>
          </cell>
          <cell r="K985">
            <v>628</v>
          </cell>
          <cell r="L985">
            <v>17750</v>
          </cell>
          <cell r="M985">
            <v>10</v>
          </cell>
          <cell r="P985">
            <v>9680047030</v>
          </cell>
        </row>
        <row r="986">
          <cell r="C986">
            <v>469</v>
          </cell>
          <cell r="D986">
            <v>0</v>
          </cell>
          <cell r="E986">
            <v>400</v>
          </cell>
          <cell r="F986">
            <v>10</v>
          </cell>
          <cell r="G986">
            <v>0</v>
          </cell>
          <cell r="H986">
            <v>0</v>
          </cell>
          <cell r="I986">
            <v>92</v>
          </cell>
          <cell r="J986">
            <v>0</v>
          </cell>
          <cell r="K986">
            <v>502</v>
          </cell>
          <cell r="L986">
            <v>4562</v>
          </cell>
          <cell r="M986">
            <v>4</v>
          </cell>
          <cell r="P986">
            <v>9001114455</v>
          </cell>
        </row>
        <row r="987">
          <cell r="C987">
            <v>500</v>
          </cell>
          <cell r="D987">
            <v>0</v>
          </cell>
          <cell r="E987">
            <v>400</v>
          </cell>
          <cell r="F987">
            <v>10</v>
          </cell>
          <cell r="G987">
            <v>0</v>
          </cell>
          <cell r="H987">
            <v>2</v>
          </cell>
          <cell r="I987">
            <v>90</v>
          </cell>
          <cell r="J987">
            <v>0</v>
          </cell>
          <cell r="K987">
            <v>502</v>
          </cell>
          <cell r="L987">
            <v>4500</v>
          </cell>
          <cell r="M987">
            <v>4</v>
          </cell>
          <cell r="P987">
            <v>9001114455</v>
          </cell>
        </row>
        <row r="988">
          <cell r="C988">
            <v>500</v>
          </cell>
          <cell r="D988">
            <v>0</v>
          </cell>
          <cell r="E988">
            <v>400</v>
          </cell>
          <cell r="F988">
            <v>10</v>
          </cell>
          <cell r="G988">
            <v>0</v>
          </cell>
          <cell r="H988">
            <v>2</v>
          </cell>
          <cell r="I988">
            <v>90</v>
          </cell>
          <cell r="J988">
            <v>0</v>
          </cell>
          <cell r="K988">
            <v>502</v>
          </cell>
          <cell r="L988">
            <v>4500</v>
          </cell>
          <cell r="M988">
            <v>4</v>
          </cell>
          <cell r="P988">
            <v>9001114455</v>
          </cell>
        </row>
        <row r="989">
          <cell r="C989">
            <v>500</v>
          </cell>
          <cell r="D989">
            <v>0</v>
          </cell>
          <cell r="E989">
            <v>400</v>
          </cell>
          <cell r="F989">
            <v>10</v>
          </cell>
          <cell r="G989">
            <v>0</v>
          </cell>
          <cell r="H989">
            <v>2</v>
          </cell>
          <cell r="I989">
            <v>90</v>
          </cell>
          <cell r="J989">
            <v>0</v>
          </cell>
          <cell r="K989">
            <v>502</v>
          </cell>
          <cell r="L989">
            <v>4500</v>
          </cell>
          <cell r="M989">
            <v>4</v>
          </cell>
          <cell r="P989">
            <v>9001114455</v>
          </cell>
        </row>
        <row r="990">
          <cell r="C990">
            <v>0</v>
          </cell>
          <cell r="D990">
            <v>0</v>
          </cell>
          <cell r="E990">
            <v>200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200</v>
          </cell>
          <cell r="L990">
            <v>0</v>
          </cell>
          <cell r="M990">
            <v>0</v>
          </cell>
          <cell r="P990">
            <v>9116421345</v>
          </cell>
        </row>
        <row r="991">
          <cell r="C991">
            <v>0</v>
          </cell>
          <cell r="D991">
            <v>0</v>
          </cell>
          <cell r="E991">
            <v>200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200</v>
          </cell>
          <cell r="L991">
            <v>0</v>
          </cell>
          <cell r="M991">
            <v>0</v>
          </cell>
          <cell r="P991">
            <v>9116421345</v>
          </cell>
        </row>
        <row r="992">
          <cell r="C992">
            <v>0</v>
          </cell>
          <cell r="D992">
            <v>0</v>
          </cell>
          <cell r="E992">
            <v>200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200</v>
          </cell>
          <cell r="L992">
            <v>0</v>
          </cell>
          <cell r="M992">
            <v>0</v>
          </cell>
          <cell r="P992">
            <v>9116421345</v>
          </cell>
        </row>
        <row r="993">
          <cell r="C993">
            <v>0</v>
          </cell>
          <cell r="D993">
            <v>0</v>
          </cell>
          <cell r="E993">
            <v>200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200</v>
          </cell>
          <cell r="L993">
            <v>0</v>
          </cell>
          <cell r="M993">
            <v>0</v>
          </cell>
          <cell r="P993">
            <v>9116421345</v>
          </cell>
        </row>
        <row r="994">
          <cell r="C994">
            <v>0</v>
          </cell>
          <cell r="D994">
            <v>0</v>
          </cell>
          <cell r="E994">
            <v>200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200</v>
          </cell>
          <cell r="L994">
            <v>0</v>
          </cell>
          <cell r="M994">
            <v>0</v>
          </cell>
          <cell r="P994">
            <v>9116421345</v>
          </cell>
        </row>
        <row r="995">
          <cell r="C995">
            <v>1000</v>
          </cell>
          <cell r="D995">
            <v>0</v>
          </cell>
          <cell r="E995">
            <v>200</v>
          </cell>
          <cell r="F995">
            <v>0</v>
          </cell>
          <cell r="G995">
            <v>1000</v>
          </cell>
          <cell r="H995">
            <v>0</v>
          </cell>
          <cell r="I995">
            <v>190</v>
          </cell>
          <cell r="J995">
            <v>0</v>
          </cell>
          <cell r="K995">
            <v>1390</v>
          </cell>
          <cell r="L995">
            <v>19000</v>
          </cell>
          <cell r="M995">
            <v>2</v>
          </cell>
          <cell r="P995">
            <v>8769913917</v>
          </cell>
        </row>
        <row r="996">
          <cell r="C996">
            <v>0</v>
          </cell>
          <cell r="D996">
            <v>0</v>
          </cell>
          <cell r="E996">
            <v>150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150</v>
          </cell>
          <cell r="L996">
            <v>0</v>
          </cell>
          <cell r="M996">
            <v>0</v>
          </cell>
          <cell r="P996">
            <v>9982953153</v>
          </cell>
        </row>
        <row r="997">
          <cell r="C997">
            <v>0</v>
          </cell>
          <cell r="D997">
            <v>0</v>
          </cell>
          <cell r="E997">
            <v>100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100</v>
          </cell>
          <cell r="L997">
            <v>0</v>
          </cell>
          <cell r="M997">
            <v>0</v>
          </cell>
          <cell r="P997">
            <v>9982953153</v>
          </cell>
        </row>
        <row r="998">
          <cell r="C998">
            <v>1000</v>
          </cell>
          <cell r="D998">
            <v>0</v>
          </cell>
          <cell r="E998">
            <v>200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200</v>
          </cell>
          <cell r="L998">
            <v>0</v>
          </cell>
          <cell r="M998">
            <v>0</v>
          </cell>
          <cell r="P998">
            <v>7742016348</v>
          </cell>
        </row>
        <row r="999">
          <cell r="C999">
            <v>1000</v>
          </cell>
          <cell r="D999">
            <v>0</v>
          </cell>
          <cell r="E999">
            <v>200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200</v>
          </cell>
          <cell r="L999">
            <v>0</v>
          </cell>
          <cell r="M999">
            <v>0</v>
          </cell>
          <cell r="P999">
            <v>7742016348</v>
          </cell>
        </row>
        <row r="1000">
          <cell r="C1000">
            <v>1000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13500</v>
          </cell>
          <cell r="M1000">
            <v>6</v>
          </cell>
          <cell r="P1000">
            <v>8306989133</v>
          </cell>
        </row>
        <row r="1001">
          <cell r="C1001">
            <v>1000</v>
          </cell>
          <cell r="D1001">
            <v>0</v>
          </cell>
          <cell r="E1001">
            <v>200</v>
          </cell>
          <cell r="F1001">
            <v>0</v>
          </cell>
          <cell r="G1001">
            <v>0</v>
          </cell>
          <cell r="H1001">
            <v>0</v>
          </cell>
          <cell r="I1001">
            <v>126</v>
          </cell>
          <cell r="J1001">
            <v>0</v>
          </cell>
          <cell r="K1001">
            <v>326</v>
          </cell>
          <cell r="L1001">
            <v>12565</v>
          </cell>
          <cell r="M1001">
            <v>6</v>
          </cell>
          <cell r="P1001">
            <v>8306989133</v>
          </cell>
        </row>
        <row r="1002">
          <cell r="C1002">
            <v>1000</v>
          </cell>
          <cell r="D1002">
            <v>0</v>
          </cell>
          <cell r="E1002">
            <v>200</v>
          </cell>
          <cell r="F1002">
            <v>0</v>
          </cell>
          <cell r="G1002">
            <v>1000</v>
          </cell>
          <cell r="H1002">
            <v>0</v>
          </cell>
          <cell r="I1002">
            <v>180</v>
          </cell>
          <cell r="J1002">
            <v>0</v>
          </cell>
          <cell r="K1002">
            <v>1380</v>
          </cell>
          <cell r="L1002">
            <v>18000</v>
          </cell>
          <cell r="M1002">
            <v>3</v>
          </cell>
          <cell r="P1002">
            <v>9784911551</v>
          </cell>
        </row>
        <row r="1003">
          <cell r="C1003">
            <v>1000</v>
          </cell>
          <cell r="D1003">
            <v>0</v>
          </cell>
          <cell r="E1003">
            <v>193</v>
          </cell>
          <cell r="F1003">
            <v>0</v>
          </cell>
          <cell r="G1003">
            <v>1000</v>
          </cell>
          <cell r="H1003">
            <v>0</v>
          </cell>
          <cell r="I1003">
            <v>130</v>
          </cell>
          <cell r="J1003">
            <v>0</v>
          </cell>
          <cell r="K1003">
            <v>1323</v>
          </cell>
          <cell r="L1003">
            <v>13000</v>
          </cell>
          <cell r="M1003">
            <v>8</v>
          </cell>
          <cell r="P1003">
            <v>9784575270</v>
          </cell>
        </row>
        <row r="1004">
          <cell r="C1004">
            <v>1000</v>
          </cell>
          <cell r="D1004">
            <v>0</v>
          </cell>
          <cell r="E1004">
            <v>200</v>
          </cell>
          <cell r="F1004">
            <v>0</v>
          </cell>
          <cell r="G1004">
            <v>1000</v>
          </cell>
          <cell r="H1004">
            <v>0</v>
          </cell>
          <cell r="I1004">
            <v>130</v>
          </cell>
          <cell r="J1004">
            <v>0</v>
          </cell>
          <cell r="K1004">
            <v>1330</v>
          </cell>
          <cell r="L1004">
            <v>13000</v>
          </cell>
          <cell r="M1004">
            <v>8</v>
          </cell>
          <cell r="P1004">
            <v>9784575270</v>
          </cell>
        </row>
        <row r="1005">
          <cell r="C1005">
            <v>1000</v>
          </cell>
          <cell r="D1005">
            <v>0</v>
          </cell>
          <cell r="E1005">
            <v>200</v>
          </cell>
          <cell r="F1005">
            <v>0</v>
          </cell>
          <cell r="G1005">
            <v>1000</v>
          </cell>
          <cell r="H1005">
            <v>0</v>
          </cell>
          <cell r="I1005">
            <v>130</v>
          </cell>
          <cell r="J1005">
            <v>0</v>
          </cell>
          <cell r="K1005">
            <v>1330</v>
          </cell>
          <cell r="L1005">
            <v>13000</v>
          </cell>
          <cell r="M1005">
            <v>8</v>
          </cell>
          <cell r="P1005">
            <v>9784575270</v>
          </cell>
        </row>
        <row r="1006">
          <cell r="C1006">
            <v>1000</v>
          </cell>
          <cell r="D1006">
            <v>0</v>
          </cell>
          <cell r="E1006">
            <v>0</v>
          </cell>
          <cell r="F1006">
            <v>0</v>
          </cell>
          <cell r="G1006">
            <v>1000</v>
          </cell>
          <cell r="H1006">
            <v>0</v>
          </cell>
          <cell r="I1006">
            <v>300</v>
          </cell>
          <cell r="J1006">
            <v>0</v>
          </cell>
          <cell r="K1006">
            <v>1300</v>
          </cell>
          <cell r="L1006">
            <v>30000</v>
          </cell>
          <cell r="M1006">
            <v>1</v>
          </cell>
          <cell r="P1006">
            <v>9782323306</v>
          </cell>
        </row>
        <row r="1007">
          <cell r="C1007">
            <v>1000</v>
          </cell>
          <cell r="D1007">
            <v>0</v>
          </cell>
          <cell r="E1007">
            <v>0</v>
          </cell>
          <cell r="F1007">
            <v>0</v>
          </cell>
          <cell r="G1007">
            <v>1000</v>
          </cell>
          <cell r="H1007">
            <v>0</v>
          </cell>
          <cell r="I1007">
            <v>300</v>
          </cell>
          <cell r="J1007">
            <v>0</v>
          </cell>
          <cell r="K1007">
            <v>1300</v>
          </cell>
          <cell r="L1007">
            <v>30000</v>
          </cell>
          <cell r="M1007">
            <v>1</v>
          </cell>
          <cell r="P1007">
            <v>9782323306</v>
          </cell>
        </row>
        <row r="1008">
          <cell r="C1008">
            <v>1000</v>
          </cell>
          <cell r="D1008">
            <v>0</v>
          </cell>
          <cell r="E1008">
            <v>0</v>
          </cell>
          <cell r="F1008">
            <v>0</v>
          </cell>
          <cell r="G1008">
            <v>1000</v>
          </cell>
          <cell r="H1008">
            <v>0</v>
          </cell>
          <cell r="I1008">
            <v>300</v>
          </cell>
          <cell r="J1008">
            <v>0</v>
          </cell>
          <cell r="K1008">
            <v>1300</v>
          </cell>
          <cell r="L1008">
            <v>30000</v>
          </cell>
          <cell r="M1008">
            <v>1</v>
          </cell>
          <cell r="P1008">
            <v>9782323306</v>
          </cell>
        </row>
        <row r="1009">
          <cell r="C1009">
            <v>1000</v>
          </cell>
          <cell r="D1009">
            <v>0</v>
          </cell>
          <cell r="E1009">
            <v>0</v>
          </cell>
          <cell r="F1009">
            <v>0</v>
          </cell>
          <cell r="G1009">
            <v>1000</v>
          </cell>
          <cell r="H1009">
            <v>0</v>
          </cell>
          <cell r="I1009">
            <v>300</v>
          </cell>
          <cell r="J1009">
            <v>0</v>
          </cell>
          <cell r="K1009">
            <v>1300</v>
          </cell>
          <cell r="L1009">
            <v>30000</v>
          </cell>
          <cell r="M1009">
            <v>1</v>
          </cell>
          <cell r="P1009">
            <v>9782323306</v>
          </cell>
        </row>
        <row r="1010">
          <cell r="C1010">
            <v>1000</v>
          </cell>
          <cell r="D1010">
            <v>0</v>
          </cell>
          <cell r="E1010">
            <v>0</v>
          </cell>
          <cell r="F1010">
            <v>0</v>
          </cell>
          <cell r="G1010">
            <v>1000</v>
          </cell>
          <cell r="H1010">
            <v>0</v>
          </cell>
          <cell r="I1010">
            <v>300</v>
          </cell>
          <cell r="J1010">
            <v>0</v>
          </cell>
          <cell r="K1010">
            <v>1300</v>
          </cell>
          <cell r="L1010">
            <v>30000</v>
          </cell>
          <cell r="M1010">
            <v>1</v>
          </cell>
          <cell r="P1010">
            <v>9782323306</v>
          </cell>
        </row>
        <row r="1011">
          <cell r="C1011">
            <v>0</v>
          </cell>
          <cell r="D1011">
            <v>0</v>
          </cell>
          <cell r="E1011">
            <v>200</v>
          </cell>
          <cell r="F1011">
            <v>0</v>
          </cell>
          <cell r="G1011">
            <v>0</v>
          </cell>
          <cell r="H1011">
            <v>0</v>
          </cell>
          <cell r="I1011">
            <v>109</v>
          </cell>
          <cell r="J1011">
            <v>0</v>
          </cell>
          <cell r="K1011">
            <v>309</v>
          </cell>
          <cell r="L1011">
            <v>10883</v>
          </cell>
          <cell r="M1011">
            <v>3</v>
          </cell>
          <cell r="P1011">
            <v>9782323306</v>
          </cell>
        </row>
        <row r="1012">
          <cell r="C1012">
            <v>0</v>
          </cell>
          <cell r="D1012">
            <v>0</v>
          </cell>
          <cell r="E1012">
            <v>200</v>
          </cell>
          <cell r="F1012">
            <v>0</v>
          </cell>
          <cell r="G1012">
            <v>0</v>
          </cell>
          <cell r="H1012">
            <v>0</v>
          </cell>
          <cell r="I1012">
            <v>180</v>
          </cell>
          <cell r="J1012">
            <v>0</v>
          </cell>
          <cell r="K1012">
            <v>380</v>
          </cell>
          <cell r="L1012">
            <v>18000</v>
          </cell>
          <cell r="M1012">
            <v>3</v>
          </cell>
          <cell r="P1012">
            <v>9782323306</v>
          </cell>
        </row>
        <row r="1013">
          <cell r="C1013">
            <v>1000</v>
          </cell>
          <cell r="D1013">
            <v>0</v>
          </cell>
          <cell r="E1013">
            <v>0</v>
          </cell>
          <cell r="F1013">
            <v>0</v>
          </cell>
          <cell r="G1013">
            <v>1000</v>
          </cell>
          <cell r="H1013">
            <v>0</v>
          </cell>
          <cell r="I1013">
            <v>300</v>
          </cell>
          <cell r="J1013">
            <v>0</v>
          </cell>
          <cell r="K1013">
            <v>1300</v>
          </cell>
          <cell r="L1013">
            <v>30000</v>
          </cell>
          <cell r="M1013">
            <v>1</v>
          </cell>
          <cell r="P1013">
            <v>9782323306</v>
          </cell>
        </row>
        <row r="1014">
          <cell r="C1014">
            <v>1000</v>
          </cell>
          <cell r="D1014">
            <v>0</v>
          </cell>
          <cell r="E1014">
            <v>0</v>
          </cell>
          <cell r="F1014">
            <v>0</v>
          </cell>
          <cell r="G1014">
            <v>1000</v>
          </cell>
          <cell r="H1014">
            <v>0</v>
          </cell>
          <cell r="I1014">
            <v>300</v>
          </cell>
          <cell r="J1014">
            <v>0</v>
          </cell>
          <cell r="K1014">
            <v>1300</v>
          </cell>
          <cell r="L1014">
            <v>30000</v>
          </cell>
          <cell r="M1014">
            <v>1</v>
          </cell>
          <cell r="P1014">
            <v>9782323306</v>
          </cell>
        </row>
        <row r="1015">
          <cell r="C1015">
            <v>1000</v>
          </cell>
          <cell r="D1015">
            <v>0</v>
          </cell>
          <cell r="E1015">
            <v>0</v>
          </cell>
          <cell r="F1015">
            <v>0</v>
          </cell>
          <cell r="G1015">
            <v>1000</v>
          </cell>
          <cell r="H1015">
            <v>0</v>
          </cell>
          <cell r="I1015">
            <v>300</v>
          </cell>
          <cell r="J1015">
            <v>0</v>
          </cell>
          <cell r="K1015">
            <v>1300</v>
          </cell>
          <cell r="L1015">
            <v>30000</v>
          </cell>
          <cell r="M1015">
            <v>1</v>
          </cell>
          <cell r="P1015">
            <v>9782323306</v>
          </cell>
        </row>
        <row r="1016">
          <cell r="C1016">
            <v>0</v>
          </cell>
          <cell r="D1016">
            <v>0</v>
          </cell>
          <cell r="E1016">
            <v>200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200</v>
          </cell>
          <cell r="L1016">
            <v>0</v>
          </cell>
          <cell r="M1016">
            <v>0</v>
          </cell>
          <cell r="P1016">
            <v>9799418113</v>
          </cell>
        </row>
        <row r="1017">
          <cell r="C1017">
            <v>2000</v>
          </cell>
          <cell r="D1017">
            <v>0</v>
          </cell>
          <cell r="E1017">
            <v>200</v>
          </cell>
          <cell r="F1017">
            <v>0</v>
          </cell>
          <cell r="G1017">
            <v>0</v>
          </cell>
          <cell r="H1017">
            <v>0</v>
          </cell>
          <cell r="I1017">
            <v>33</v>
          </cell>
          <cell r="J1017">
            <v>0</v>
          </cell>
          <cell r="K1017">
            <v>233</v>
          </cell>
          <cell r="L1017">
            <v>3338</v>
          </cell>
          <cell r="M1017">
            <v>8</v>
          </cell>
          <cell r="P1017">
            <v>9799418113</v>
          </cell>
        </row>
        <row r="1018">
          <cell r="C1018">
            <v>2000</v>
          </cell>
          <cell r="D1018">
            <v>0</v>
          </cell>
          <cell r="E1018">
            <v>200</v>
          </cell>
          <cell r="F1018">
            <v>0</v>
          </cell>
          <cell r="G1018">
            <v>2000</v>
          </cell>
          <cell r="H1018">
            <v>0</v>
          </cell>
          <cell r="I1018">
            <v>60</v>
          </cell>
          <cell r="J1018">
            <v>0</v>
          </cell>
          <cell r="K1018">
            <v>2260</v>
          </cell>
          <cell r="L1018">
            <v>6000</v>
          </cell>
          <cell r="M1018">
            <v>8</v>
          </cell>
          <cell r="P1018">
            <v>9799418113</v>
          </cell>
        </row>
        <row r="1019">
          <cell r="C1019">
            <v>2000</v>
          </cell>
          <cell r="D1019">
            <v>0</v>
          </cell>
          <cell r="E1019">
            <v>200</v>
          </cell>
          <cell r="F1019">
            <v>0</v>
          </cell>
          <cell r="G1019">
            <v>2000</v>
          </cell>
          <cell r="H1019">
            <v>0</v>
          </cell>
          <cell r="I1019">
            <v>60</v>
          </cell>
          <cell r="J1019">
            <v>0</v>
          </cell>
          <cell r="K1019">
            <v>2260</v>
          </cell>
          <cell r="L1019">
            <v>6000</v>
          </cell>
          <cell r="M1019">
            <v>8</v>
          </cell>
          <cell r="P1019">
            <v>9799418113</v>
          </cell>
        </row>
        <row r="1020">
          <cell r="C1020">
            <v>2000</v>
          </cell>
          <cell r="D1020">
            <v>0</v>
          </cell>
          <cell r="E1020">
            <v>200</v>
          </cell>
          <cell r="F1020">
            <v>0</v>
          </cell>
          <cell r="G1020">
            <v>2000</v>
          </cell>
          <cell r="H1020">
            <v>0</v>
          </cell>
          <cell r="I1020">
            <v>60</v>
          </cell>
          <cell r="J1020">
            <v>0</v>
          </cell>
          <cell r="K1020">
            <v>2260</v>
          </cell>
          <cell r="L1020">
            <v>6000</v>
          </cell>
          <cell r="M1020">
            <v>8</v>
          </cell>
          <cell r="P1020">
            <v>9799418113</v>
          </cell>
        </row>
        <row r="1021">
          <cell r="C1021">
            <v>1000</v>
          </cell>
          <cell r="D1021">
            <v>0</v>
          </cell>
          <cell r="E1021">
            <v>200</v>
          </cell>
          <cell r="F1021">
            <v>0</v>
          </cell>
          <cell r="G1021">
            <v>1000</v>
          </cell>
          <cell r="H1021">
            <v>0</v>
          </cell>
          <cell r="I1021">
            <v>130</v>
          </cell>
          <cell r="J1021">
            <v>0</v>
          </cell>
          <cell r="K1021">
            <v>1330</v>
          </cell>
          <cell r="L1021">
            <v>13000</v>
          </cell>
          <cell r="M1021">
            <v>8</v>
          </cell>
          <cell r="P1021">
            <v>9680689067</v>
          </cell>
        </row>
        <row r="1022">
          <cell r="C1022">
            <v>1000</v>
          </cell>
          <cell r="D1022">
            <v>0</v>
          </cell>
          <cell r="E1022">
            <v>200</v>
          </cell>
          <cell r="F1022">
            <v>0</v>
          </cell>
          <cell r="G1022">
            <v>1000</v>
          </cell>
          <cell r="H1022">
            <v>0</v>
          </cell>
          <cell r="I1022">
            <v>130</v>
          </cell>
          <cell r="J1022">
            <v>0</v>
          </cell>
          <cell r="K1022">
            <v>1330</v>
          </cell>
          <cell r="L1022">
            <v>13000</v>
          </cell>
          <cell r="M1022">
            <v>8</v>
          </cell>
          <cell r="P1022">
            <v>9680689067</v>
          </cell>
        </row>
        <row r="1023">
          <cell r="C1023">
            <v>1000</v>
          </cell>
          <cell r="D1023">
            <v>0</v>
          </cell>
          <cell r="E1023">
            <v>200</v>
          </cell>
          <cell r="F1023">
            <v>0</v>
          </cell>
          <cell r="G1023">
            <v>1000</v>
          </cell>
          <cell r="H1023">
            <v>0</v>
          </cell>
          <cell r="I1023">
            <v>130</v>
          </cell>
          <cell r="J1023">
            <v>0</v>
          </cell>
          <cell r="K1023">
            <v>1330</v>
          </cell>
          <cell r="L1023">
            <v>13000</v>
          </cell>
          <cell r="M1023">
            <v>8</v>
          </cell>
          <cell r="P1023">
            <v>9680689067</v>
          </cell>
        </row>
        <row r="1024">
          <cell r="C1024">
            <v>1000</v>
          </cell>
          <cell r="D1024">
            <v>0</v>
          </cell>
          <cell r="E1024">
            <v>200</v>
          </cell>
          <cell r="F1024">
            <v>0</v>
          </cell>
          <cell r="G1024">
            <v>1000</v>
          </cell>
          <cell r="H1024">
            <v>0</v>
          </cell>
          <cell r="I1024">
            <v>380</v>
          </cell>
          <cell r="J1024">
            <v>0</v>
          </cell>
          <cell r="K1024">
            <v>1580</v>
          </cell>
          <cell r="L1024">
            <v>38000</v>
          </cell>
          <cell r="M1024">
            <v>3</v>
          </cell>
          <cell r="P1024">
            <v>9680688645</v>
          </cell>
        </row>
        <row r="1025">
          <cell r="C1025">
            <v>1000</v>
          </cell>
          <cell r="D1025">
            <v>0</v>
          </cell>
          <cell r="E1025">
            <v>200</v>
          </cell>
          <cell r="F1025">
            <v>0</v>
          </cell>
          <cell r="G1025">
            <v>1000</v>
          </cell>
          <cell r="H1025">
            <v>0</v>
          </cell>
          <cell r="I1025">
            <v>380</v>
          </cell>
          <cell r="J1025">
            <v>0</v>
          </cell>
          <cell r="K1025">
            <v>1580</v>
          </cell>
          <cell r="L1025">
            <v>38000</v>
          </cell>
          <cell r="M1025">
            <v>3</v>
          </cell>
          <cell r="P1025">
            <v>9680688645</v>
          </cell>
        </row>
        <row r="1026">
          <cell r="C1026">
            <v>1000</v>
          </cell>
          <cell r="D1026">
            <v>0</v>
          </cell>
          <cell r="E1026">
            <v>200</v>
          </cell>
          <cell r="F1026">
            <v>0</v>
          </cell>
          <cell r="G1026">
            <v>1000</v>
          </cell>
          <cell r="H1026">
            <v>0</v>
          </cell>
          <cell r="I1026">
            <v>380</v>
          </cell>
          <cell r="J1026">
            <v>0</v>
          </cell>
          <cell r="K1026">
            <v>1580</v>
          </cell>
          <cell r="L1026">
            <v>38000</v>
          </cell>
          <cell r="M1026">
            <v>3</v>
          </cell>
          <cell r="P1026">
            <v>9680688645</v>
          </cell>
        </row>
        <row r="1027">
          <cell r="C1027">
            <v>1000</v>
          </cell>
          <cell r="D1027">
            <v>0</v>
          </cell>
          <cell r="E1027">
            <v>200</v>
          </cell>
          <cell r="F1027">
            <v>0</v>
          </cell>
          <cell r="G1027">
            <v>1000</v>
          </cell>
          <cell r="H1027">
            <v>0</v>
          </cell>
          <cell r="I1027">
            <v>380</v>
          </cell>
          <cell r="J1027">
            <v>0</v>
          </cell>
          <cell r="K1027">
            <v>1580</v>
          </cell>
          <cell r="L1027">
            <v>38000</v>
          </cell>
          <cell r="M1027">
            <v>3</v>
          </cell>
          <cell r="P1027">
            <v>9680688645</v>
          </cell>
        </row>
        <row r="1028">
          <cell r="C1028">
            <v>1000</v>
          </cell>
          <cell r="D1028">
            <v>0</v>
          </cell>
          <cell r="E1028">
            <v>200</v>
          </cell>
          <cell r="F1028">
            <v>0</v>
          </cell>
          <cell r="G1028">
            <v>1000</v>
          </cell>
          <cell r="H1028">
            <v>0</v>
          </cell>
          <cell r="I1028">
            <v>380</v>
          </cell>
          <cell r="J1028">
            <v>0</v>
          </cell>
          <cell r="K1028">
            <v>1580</v>
          </cell>
          <cell r="L1028">
            <v>38000</v>
          </cell>
          <cell r="M1028">
            <v>3</v>
          </cell>
          <cell r="P1028">
            <v>9680688645</v>
          </cell>
        </row>
        <row r="1029">
          <cell r="C1029">
            <v>1000</v>
          </cell>
          <cell r="D1029">
            <v>0</v>
          </cell>
          <cell r="E1029">
            <v>200</v>
          </cell>
          <cell r="F1029">
            <v>0</v>
          </cell>
          <cell r="G1029">
            <v>500</v>
          </cell>
          <cell r="H1029">
            <v>0</v>
          </cell>
          <cell r="I1029">
            <v>355</v>
          </cell>
          <cell r="J1029">
            <v>0</v>
          </cell>
          <cell r="K1029">
            <v>1055</v>
          </cell>
          <cell r="L1029">
            <v>35500</v>
          </cell>
          <cell r="M1029">
            <v>5</v>
          </cell>
          <cell r="P1029">
            <v>9928365124</v>
          </cell>
        </row>
        <row r="1030">
          <cell r="C1030">
            <v>1000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858</v>
          </cell>
          <cell r="J1030">
            <v>0</v>
          </cell>
          <cell r="K1030">
            <v>858</v>
          </cell>
          <cell r="L1030">
            <v>42896</v>
          </cell>
          <cell r="M1030">
            <v>5</v>
          </cell>
          <cell r="P1030">
            <v>9928365124</v>
          </cell>
        </row>
        <row r="1031">
          <cell r="C1031">
            <v>1000</v>
          </cell>
          <cell r="D1031">
            <v>0</v>
          </cell>
          <cell r="E1031">
            <v>200</v>
          </cell>
          <cell r="F1031">
            <v>0</v>
          </cell>
          <cell r="G1031">
            <v>500</v>
          </cell>
          <cell r="H1031">
            <v>0</v>
          </cell>
          <cell r="I1031">
            <v>355</v>
          </cell>
          <cell r="J1031">
            <v>0</v>
          </cell>
          <cell r="K1031">
            <v>1055</v>
          </cell>
          <cell r="L1031">
            <v>35500</v>
          </cell>
          <cell r="M1031">
            <v>5</v>
          </cell>
          <cell r="P1031">
            <v>9928365124</v>
          </cell>
        </row>
        <row r="1032">
          <cell r="C1032">
            <v>2000</v>
          </cell>
          <cell r="D1032">
            <v>0</v>
          </cell>
          <cell r="E1032">
            <v>200</v>
          </cell>
          <cell r="F1032">
            <v>0</v>
          </cell>
          <cell r="G1032">
            <v>2000</v>
          </cell>
          <cell r="H1032">
            <v>0</v>
          </cell>
          <cell r="I1032">
            <v>360</v>
          </cell>
          <cell r="J1032">
            <v>0</v>
          </cell>
          <cell r="K1032">
            <v>2560</v>
          </cell>
          <cell r="L1032">
            <v>36000</v>
          </cell>
          <cell r="M1032">
            <v>3</v>
          </cell>
          <cell r="P1032">
            <v>91667880643</v>
          </cell>
        </row>
        <row r="1033">
          <cell r="C1033">
            <v>2000</v>
          </cell>
          <cell r="D1033">
            <v>0</v>
          </cell>
          <cell r="E1033">
            <v>200</v>
          </cell>
          <cell r="F1033">
            <v>0</v>
          </cell>
          <cell r="G1033">
            <v>2000</v>
          </cell>
          <cell r="H1033">
            <v>0</v>
          </cell>
          <cell r="I1033">
            <v>360</v>
          </cell>
          <cell r="J1033">
            <v>0</v>
          </cell>
          <cell r="K1033">
            <v>2560</v>
          </cell>
          <cell r="L1033">
            <v>36000</v>
          </cell>
          <cell r="M1033">
            <v>3</v>
          </cell>
          <cell r="P1033">
            <v>91667880643</v>
          </cell>
        </row>
        <row r="1034">
          <cell r="C1034">
            <v>2000</v>
          </cell>
          <cell r="D1034">
            <v>0</v>
          </cell>
          <cell r="E1034">
            <v>180</v>
          </cell>
          <cell r="F1034">
            <v>0</v>
          </cell>
          <cell r="G1034">
            <v>2000</v>
          </cell>
          <cell r="H1034">
            <v>0</v>
          </cell>
          <cell r="I1034">
            <v>400</v>
          </cell>
          <cell r="J1034">
            <v>0</v>
          </cell>
          <cell r="K1034">
            <v>2580</v>
          </cell>
          <cell r="L1034">
            <v>40000</v>
          </cell>
          <cell r="M1034">
            <v>1</v>
          </cell>
          <cell r="P1034">
            <v>9784601232</v>
          </cell>
        </row>
        <row r="1035">
          <cell r="C1035">
            <v>16200</v>
          </cell>
          <cell r="D1035">
            <v>0</v>
          </cell>
          <cell r="E1035">
            <v>200</v>
          </cell>
          <cell r="F1035">
            <v>0</v>
          </cell>
          <cell r="G1035">
            <v>1800</v>
          </cell>
          <cell r="H1035">
            <v>0</v>
          </cell>
          <cell r="I1035">
            <v>180</v>
          </cell>
          <cell r="J1035">
            <v>0</v>
          </cell>
          <cell r="K1035">
            <v>2180</v>
          </cell>
          <cell r="L1035">
            <v>18000</v>
          </cell>
          <cell r="M1035">
            <v>5</v>
          </cell>
          <cell r="P1035">
            <v>9784601232</v>
          </cell>
        </row>
        <row r="1036">
          <cell r="C1036">
            <v>0</v>
          </cell>
          <cell r="D1036">
            <v>0</v>
          </cell>
          <cell r="E1036">
            <v>200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200</v>
          </cell>
          <cell r="L1036">
            <v>0</v>
          </cell>
          <cell r="M1036">
            <v>0</v>
          </cell>
          <cell r="P1036">
            <v>9784601232</v>
          </cell>
        </row>
        <row r="1037">
          <cell r="C1037">
            <v>0</v>
          </cell>
          <cell r="D1037">
            <v>0</v>
          </cell>
          <cell r="E1037">
            <v>200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200</v>
          </cell>
          <cell r="L1037">
            <v>0</v>
          </cell>
          <cell r="M1037">
            <v>0</v>
          </cell>
          <cell r="P1037">
            <v>9784601232</v>
          </cell>
        </row>
        <row r="1038">
          <cell r="C1038">
            <v>0</v>
          </cell>
          <cell r="D1038">
            <v>0</v>
          </cell>
          <cell r="E1038">
            <v>200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200</v>
          </cell>
          <cell r="L1038">
            <v>0</v>
          </cell>
          <cell r="M1038">
            <v>0</v>
          </cell>
          <cell r="P1038">
            <v>9784601232</v>
          </cell>
        </row>
        <row r="1039">
          <cell r="C1039">
            <v>0</v>
          </cell>
          <cell r="D1039">
            <v>0</v>
          </cell>
          <cell r="E1039">
            <v>200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200</v>
          </cell>
          <cell r="L1039">
            <v>0</v>
          </cell>
          <cell r="M1039">
            <v>0</v>
          </cell>
          <cell r="P1039">
            <v>9352230042</v>
          </cell>
        </row>
        <row r="1040">
          <cell r="C1040">
            <v>0</v>
          </cell>
          <cell r="D1040">
            <v>0</v>
          </cell>
          <cell r="E1040">
            <v>200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200</v>
          </cell>
          <cell r="L1040">
            <v>0</v>
          </cell>
          <cell r="M1040">
            <v>0</v>
          </cell>
          <cell r="P1040">
            <v>9782865220</v>
          </cell>
        </row>
        <row r="1041">
          <cell r="C1041">
            <v>16200</v>
          </cell>
          <cell r="D1041">
            <v>0</v>
          </cell>
          <cell r="E1041">
            <v>1000</v>
          </cell>
          <cell r="F1041">
            <v>78</v>
          </cell>
          <cell r="G1041">
            <v>1800</v>
          </cell>
          <cell r="H1041">
            <v>71</v>
          </cell>
          <cell r="I1041">
            <v>900</v>
          </cell>
          <cell r="J1041">
            <v>0</v>
          </cell>
          <cell r="K1041">
            <v>3849</v>
          </cell>
          <cell r="L1041">
            <v>18000</v>
          </cell>
          <cell r="M1041">
            <v>5</v>
          </cell>
          <cell r="P1041">
            <v>9829392916</v>
          </cell>
        </row>
        <row r="1042">
          <cell r="C1042">
            <v>10800</v>
          </cell>
          <cell r="D1042">
            <v>0</v>
          </cell>
          <cell r="E1042">
            <v>984</v>
          </cell>
          <cell r="F1042">
            <v>77</v>
          </cell>
          <cell r="G1042">
            <v>1200</v>
          </cell>
          <cell r="H1042">
            <v>46</v>
          </cell>
          <cell r="I1042">
            <v>600</v>
          </cell>
          <cell r="J1042">
            <v>0</v>
          </cell>
          <cell r="K1042">
            <v>2907</v>
          </cell>
          <cell r="L1042">
            <v>12000</v>
          </cell>
          <cell r="M1042">
            <v>5</v>
          </cell>
          <cell r="P1042">
            <v>9829392916</v>
          </cell>
        </row>
        <row r="1043">
          <cell r="C1043">
            <v>0</v>
          </cell>
          <cell r="D1043">
            <v>0</v>
          </cell>
          <cell r="E1043">
            <v>200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200</v>
          </cell>
          <cell r="L1043">
            <v>0</v>
          </cell>
          <cell r="M1043">
            <v>0</v>
          </cell>
          <cell r="P1043">
            <v>9828669365</v>
          </cell>
        </row>
        <row r="1044">
          <cell r="C1044">
            <v>0</v>
          </cell>
          <cell r="D1044">
            <v>0</v>
          </cell>
          <cell r="E1044">
            <v>200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200</v>
          </cell>
          <cell r="L1044">
            <v>0</v>
          </cell>
          <cell r="M1044">
            <v>0</v>
          </cell>
          <cell r="P1044">
            <v>9828669365</v>
          </cell>
        </row>
        <row r="1045">
          <cell r="C1045">
            <v>0</v>
          </cell>
          <cell r="D1045">
            <v>0</v>
          </cell>
          <cell r="E1045">
            <v>200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200</v>
          </cell>
          <cell r="L1045">
            <v>0</v>
          </cell>
          <cell r="M1045">
            <v>0</v>
          </cell>
          <cell r="P1045">
            <v>9828669365</v>
          </cell>
        </row>
        <row r="1046">
          <cell r="C1046">
            <v>0</v>
          </cell>
          <cell r="D1046">
            <v>0</v>
          </cell>
          <cell r="E1046">
            <v>139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139</v>
          </cell>
          <cell r="L1046">
            <v>0</v>
          </cell>
          <cell r="M1046">
            <v>0</v>
          </cell>
          <cell r="P1046">
            <v>2829450337</v>
          </cell>
        </row>
        <row r="1047">
          <cell r="C1047">
            <v>0</v>
          </cell>
          <cell r="D1047">
            <v>0</v>
          </cell>
          <cell r="E1047">
            <v>200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200</v>
          </cell>
          <cell r="L1047">
            <v>0</v>
          </cell>
          <cell r="M1047">
            <v>0</v>
          </cell>
          <cell r="P1047">
            <v>2829450337</v>
          </cell>
        </row>
        <row r="1048">
          <cell r="C1048">
            <v>0</v>
          </cell>
          <cell r="D1048">
            <v>0</v>
          </cell>
          <cell r="E1048">
            <v>200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200</v>
          </cell>
          <cell r="L1048">
            <v>0</v>
          </cell>
          <cell r="M1048">
            <v>0</v>
          </cell>
          <cell r="P1048">
            <v>8107577831</v>
          </cell>
        </row>
        <row r="1049">
          <cell r="C1049">
            <v>0</v>
          </cell>
          <cell r="D1049">
            <v>0</v>
          </cell>
          <cell r="E1049">
            <v>200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200</v>
          </cell>
          <cell r="L1049">
            <v>0</v>
          </cell>
          <cell r="M1049">
            <v>0</v>
          </cell>
          <cell r="P1049">
            <v>8107577831</v>
          </cell>
        </row>
        <row r="1050">
          <cell r="C1050">
            <v>16200</v>
          </cell>
          <cell r="D1050">
            <v>0</v>
          </cell>
          <cell r="E1050">
            <v>200</v>
          </cell>
          <cell r="F1050">
            <v>0</v>
          </cell>
          <cell r="G1050">
            <v>1800</v>
          </cell>
          <cell r="H1050">
            <v>0</v>
          </cell>
          <cell r="I1050">
            <v>180</v>
          </cell>
          <cell r="J1050">
            <v>0</v>
          </cell>
          <cell r="K1050">
            <v>2180</v>
          </cell>
          <cell r="L1050">
            <v>18000</v>
          </cell>
          <cell r="M1050">
            <v>5</v>
          </cell>
          <cell r="P1050">
            <v>7877191250</v>
          </cell>
        </row>
        <row r="1051">
          <cell r="C1051">
            <v>1000</v>
          </cell>
          <cell r="D1051">
            <v>0</v>
          </cell>
          <cell r="E1051">
            <v>200</v>
          </cell>
          <cell r="F1051">
            <v>0</v>
          </cell>
          <cell r="G1051">
            <v>1000</v>
          </cell>
          <cell r="H1051">
            <v>0</v>
          </cell>
          <cell r="I1051">
            <v>380</v>
          </cell>
          <cell r="J1051">
            <v>0</v>
          </cell>
          <cell r="K1051">
            <v>1580</v>
          </cell>
          <cell r="L1051">
            <v>38000</v>
          </cell>
          <cell r="M1051">
            <v>3</v>
          </cell>
          <cell r="P1051">
            <v>7877191250</v>
          </cell>
        </row>
        <row r="1052">
          <cell r="C1052">
            <v>1000</v>
          </cell>
          <cell r="D1052">
            <v>0</v>
          </cell>
          <cell r="E1052">
            <v>200</v>
          </cell>
          <cell r="F1052">
            <v>0</v>
          </cell>
          <cell r="G1052">
            <v>1000</v>
          </cell>
          <cell r="H1052">
            <v>0</v>
          </cell>
          <cell r="I1052">
            <v>380</v>
          </cell>
          <cell r="J1052">
            <v>0</v>
          </cell>
          <cell r="K1052">
            <v>1580</v>
          </cell>
          <cell r="L1052">
            <v>38000</v>
          </cell>
          <cell r="M1052">
            <v>3</v>
          </cell>
          <cell r="P1052">
            <v>7877191250</v>
          </cell>
        </row>
        <row r="1053">
          <cell r="C1053">
            <v>1000</v>
          </cell>
          <cell r="D1053">
            <v>0</v>
          </cell>
          <cell r="E1053">
            <v>200</v>
          </cell>
          <cell r="F1053">
            <v>0</v>
          </cell>
          <cell r="G1053">
            <v>1000</v>
          </cell>
          <cell r="H1053">
            <v>0</v>
          </cell>
          <cell r="I1053">
            <v>380</v>
          </cell>
          <cell r="J1053">
            <v>0</v>
          </cell>
          <cell r="K1053">
            <v>1580</v>
          </cell>
          <cell r="L1053">
            <v>38000</v>
          </cell>
          <cell r="M1053">
            <v>3</v>
          </cell>
          <cell r="P1053">
            <v>7877191250</v>
          </cell>
        </row>
        <row r="1054">
          <cell r="C1054">
            <v>1000</v>
          </cell>
          <cell r="D1054">
            <v>0</v>
          </cell>
          <cell r="E1054">
            <v>0</v>
          </cell>
          <cell r="F1054">
            <v>0</v>
          </cell>
          <cell r="G1054">
            <v>1000</v>
          </cell>
          <cell r="H1054">
            <v>0</v>
          </cell>
          <cell r="I1054">
            <v>490</v>
          </cell>
          <cell r="J1054">
            <v>0</v>
          </cell>
          <cell r="K1054">
            <v>1490</v>
          </cell>
          <cell r="L1054">
            <v>49000</v>
          </cell>
          <cell r="M1054">
            <v>2</v>
          </cell>
          <cell r="P1054">
            <v>9784575270</v>
          </cell>
        </row>
        <row r="1055">
          <cell r="C1055">
            <v>1000</v>
          </cell>
          <cell r="D1055">
            <v>0</v>
          </cell>
          <cell r="E1055">
            <v>0</v>
          </cell>
          <cell r="F1055">
            <v>0</v>
          </cell>
          <cell r="G1055">
            <v>1000</v>
          </cell>
          <cell r="H1055">
            <v>0</v>
          </cell>
          <cell r="I1055">
            <v>490</v>
          </cell>
          <cell r="J1055">
            <v>0</v>
          </cell>
          <cell r="K1055">
            <v>1490</v>
          </cell>
          <cell r="L1055">
            <v>49000</v>
          </cell>
          <cell r="M1055">
            <v>2</v>
          </cell>
          <cell r="P1055">
            <v>9784575270</v>
          </cell>
        </row>
        <row r="1056">
          <cell r="C1056">
            <v>1000</v>
          </cell>
          <cell r="D1056">
            <v>0</v>
          </cell>
          <cell r="E1056">
            <v>0</v>
          </cell>
          <cell r="F1056">
            <v>0</v>
          </cell>
          <cell r="G1056">
            <v>1000</v>
          </cell>
          <cell r="H1056">
            <v>0</v>
          </cell>
          <cell r="I1056">
            <v>490</v>
          </cell>
          <cell r="J1056">
            <v>0</v>
          </cell>
          <cell r="K1056">
            <v>1490</v>
          </cell>
          <cell r="L1056">
            <v>49000</v>
          </cell>
          <cell r="M1056">
            <v>2</v>
          </cell>
          <cell r="P1056">
            <v>9784575270</v>
          </cell>
        </row>
        <row r="1057">
          <cell r="C1057">
            <v>0</v>
          </cell>
          <cell r="D1057">
            <v>0</v>
          </cell>
          <cell r="E1057">
            <v>200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200</v>
          </cell>
          <cell r="L1057">
            <v>0</v>
          </cell>
          <cell r="M1057">
            <v>0</v>
          </cell>
          <cell r="P1057">
            <v>8003555711</v>
          </cell>
        </row>
        <row r="1058">
          <cell r="C1058">
            <v>0</v>
          </cell>
          <cell r="D1058">
            <v>0</v>
          </cell>
          <cell r="E1058">
            <v>200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200</v>
          </cell>
          <cell r="L1058">
            <v>0</v>
          </cell>
          <cell r="M1058">
            <v>0</v>
          </cell>
          <cell r="P1058">
            <v>8003555711</v>
          </cell>
        </row>
        <row r="1059">
          <cell r="C1059">
            <v>0</v>
          </cell>
          <cell r="D1059">
            <v>0</v>
          </cell>
          <cell r="E1059">
            <v>200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200</v>
          </cell>
          <cell r="L1059">
            <v>0</v>
          </cell>
          <cell r="M1059">
            <v>0</v>
          </cell>
          <cell r="P1059">
            <v>8003555711</v>
          </cell>
        </row>
        <row r="1060">
          <cell r="C1060">
            <v>0</v>
          </cell>
          <cell r="D1060">
            <v>0</v>
          </cell>
          <cell r="E1060">
            <v>200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200</v>
          </cell>
          <cell r="L1060">
            <v>0</v>
          </cell>
          <cell r="M1060">
            <v>0</v>
          </cell>
          <cell r="P1060">
            <v>9928442678</v>
          </cell>
        </row>
        <row r="1061">
          <cell r="C1061">
            <v>0</v>
          </cell>
          <cell r="D1061">
            <v>0</v>
          </cell>
          <cell r="E1061">
            <v>200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200</v>
          </cell>
          <cell r="L1061">
            <v>0</v>
          </cell>
          <cell r="M1061">
            <v>0</v>
          </cell>
          <cell r="P1061">
            <v>9928442678</v>
          </cell>
        </row>
        <row r="1062">
          <cell r="C1062">
            <v>0</v>
          </cell>
          <cell r="D1062">
            <v>0</v>
          </cell>
          <cell r="E1062">
            <v>200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200</v>
          </cell>
          <cell r="L1062">
            <v>0</v>
          </cell>
          <cell r="M1062">
            <v>0</v>
          </cell>
          <cell r="P1062">
            <v>9928442678</v>
          </cell>
        </row>
        <row r="1063">
          <cell r="C1063">
            <v>16200</v>
          </cell>
          <cell r="D1063">
            <v>0</v>
          </cell>
          <cell r="E1063">
            <v>200</v>
          </cell>
          <cell r="F1063">
            <v>0</v>
          </cell>
          <cell r="G1063">
            <v>0</v>
          </cell>
          <cell r="H1063">
            <v>0</v>
          </cell>
          <cell r="I1063">
            <v>125</v>
          </cell>
          <cell r="J1063">
            <v>0</v>
          </cell>
          <cell r="K1063">
            <v>325</v>
          </cell>
          <cell r="L1063">
            <v>12486</v>
          </cell>
          <cell r="M1063">
            <v>5</v>
          </cell>
          <cell r="P1063">
            <v>9166920823</v>
          </cell>
        </row>
        <row r="1064">
          <cell r="C1064">
            <v>16200</v>
          </cell>
          <cell r="D1064">
            <v>0</v>
          </cell>
          <cell r="E1064">
            <v>200</v>
          </cell>
          <cell r="F1064">
            <v>0</v>
          </cell>
          <cell r="G1064">
            <v>0</v>
          </cell>
          <cell r="H1064">
            <v>0</v>
          </cell>
          <cell r="I1064">
            <v>160</v>
          </cell>
          <cell r="J1064">
            <v>0</v>
          </cell>
          <cell r="K1064">
            <v>360</v>
          </cell>
          <cell r="L1064">
            <v>16000</v>
          </cell>
          <cell r="M1064">
            <v>5</v>
          </cell>
          <cell r="P1064">
            <v>9166920823</v>
          </cell>
        </row>
        <row r="1065">
          <cell r="C1065">
            <v>1000</v>
          </cell>
          <cell r="D1065">
            <v>0</v>
          </cell>
          <cell r="E1065">
            <v>200</v>
          </cell>
          <cell r="F1065">
            <v>0</v>
          </cell>
          <cell r="G1065">
            <v>1000</v>
          </cell>
          <cell r="H1065">
            <v>0</v>
          </cell>
          <cell r="I1065">
            <v>390</v>
          </cell>
          <cell r="J1065">
            <v>0</v>
          </cell>
          <cell r="K1065">
            <v>1590</v>
          </cell>
          <cell r="L1065">
            <v>39000</v>
          </cell>
          <cell r="M1065">
            <v>2</v>
          </cell>
          <cell r="P1065">
            <v>9166920823</v>
          </cell>
        </row>
        <row r="1066">
          <cell r="C1066">
            <v>1000</v>
          </cell>
          <cell r="D1066">
            <v>0</v>
          </cell>
          <cell r="E1066">
            <v>200</v>
          </cell>
          <cell r="F1066">
            <v>0</v>
          </cell>
          <cell r="G1066">
            <v>1000</v>
          </cell>
          <cell r="H1066">
            <v>0</v>
          </cell>
          <cell r="I1066">
            <v>390</v>
          </cell>
          <cell r="J1066">
            <v>0</v>
          </cell>
          <cell r="K1066">
            <v>1590</v>
          </cell>
          <cell r="L1066">
            <v>39000</v>
          </cell>
          <cell r="M1066">
            <v>2</v>
          </cell>
          <cell r="P1066">
            <v>9166920823</v>
          </cell>
        </row>
        <row r="1067">
          <cell r="C1067">
            <v>1000</v>
          </cell>
          <cell r="D1067">
            <v>0</v>
          </cell>
          <cell r="E1067">
            <v>200</v>
          </cell>
          <cell r="F1067">
            <v>0</v>
          </cell>
          <cell r="G1067">
            <v>1000</v>
          </cell>
          <cell r="H1067">
            <v>0</v>
          </cell>
          <cell r="I1067">
            <v>390</v>
          </cell>
          <cell r="J1067">
            <v>0</v>
          </cell>
          <cell r="K1067">
            <v>1590</v>
          </cell>
          <cell r="L1067">
            <v>39000</v>
          </cell>
          <cell r="M1067">
            <v>2</v>
          </cell>
          <cell r="P1067">
            <v>9166920823</v>
          </cell>
        </row>
        <row r="1068">
          <cell r="C1068">
            <v>500</v>
          </cell>
          <cell r="D1068">
            <v>0</v>
          </cell>
          <cell r="E1068">
            <v>200</v>
          </cell>
          <cell r="F1068">
            <v>0</v>
          </cell>
          <cell r="G1068">
            <v>500</v>
          </cell>
          <cell r="H1068">
            <v>0</v>
          </cell>
          <cell r="I1068">
            <v>395</v>
          </cell>
          <cell r="J1068">
            <v>0</v>
          </cell>
          <cell r="K1068">
            <v>1095</v>
          </cell>
          <cell r="L1068">
            <v>39500</v>
          </cell>
          <cell r="M1068">
            <v>2</v>
          </cell>
          <cell r="P1068">
            <v>9928695433</v>
          </cell>
        </row>
        <row r="1069">
          <cell r="C1069">
            <v>500</v>
          </cell>
          <cell r="D1069">
            <v>0</v>
          </cell>
          <cell r="E1069">
            <v>200</v>
          </cell>
          <cell r="F1069">
            <v>0</v>
          </cell>
          <cell r="G1069">
            <v>500</v>
          </cell>
          <cell r="H1069">
            <v>0</v>
          </cell>
          <cell r="I1069">
            <v>395</v>
          </cell>
          <cell r="J1069">
            <v>0</v>
          </cell>
          <cell r="K1069">
            <v>1095</v>
          </cell>
          <cell r="L1069">
            <v>39500</v>
          </cell>
          <cell r="M1069">
            <v>2</v>
          </cell>
          <cell r="P1069">
            <v>9928695433</v>
          </cell>
        </row>
        <row r="1070">
          <cell r="C1070">
            <v>500</v>
          </cell>
          <cell r="D1070">
            <v>0</v>
          </cell>
          <cell r="E1070">
            <v>200</v>
          </cell>
          <cell r="F1070">
            <v>0</v>
          </cell>
          <cell r="G1070">
            <v>500</v>
          </cell>
          <cell r="H1070">
            <v>0</v>
          </cell>
          <cell r="I1070">
            <v>395</v>
          </cell>
          <cell r="J1070">
            <v>0</v>
          </cell>
          <cell r="K1070">
            <v>1095</v>
          </cell>
          <cell r="L1070">
            <v>39500</v>
          </cell>
          <cell r="M1070">
            <v>2</v>
          </cell>
          <cell r="P1070">
            <v>9928695433</v>
          </cell>
        </row>
        <row r="1071">
          <cell r="C1071">
            <v>16200</v>
          </cell>
          <cell r="D1071">
            <v>0</v>
          </cell>
          <cell r="E1071">
            <v>200</v>
          </cell>
          <cell r="F1071">
            <v>0</v>
          </cell>
          <cell r="G1071">
            <v>1800</v>
          </cell>
          <cell r="H1071">
            <v>0</v>
          </cell>
          <cell r="I1071">
            <v>180</v>
          </cell>
          <cell r="J1071">
            <v>0</v>
          </cell>
          <cell r="K1071">
            <v>2180</v>
          </cell>
          <cell r="L1071">
            <v>18000</v>
          </cell>
          <cell r="M1071">
            <v>5</v>
          </cell>
          <cell r="P1071">
            <v>9116421345</v>
          </cell>
        </row>
        <row r="1072">
          <cell r="C1072">
            <v>16200</v>
          </cell>
          <cell r="D1072">
            <v>0</v>
          </cell>
          <cell r="E1072">
            <v>200</v>
          </cell>
          <cell r="F1072">
            <v>0</v>
          </cell>
          <cell r="G1072">
            <v>1800</v>
          </cell>
          <cell r="H1072">
            <v>0</v>
          </cell>
          <cell r="I1072">
            <v>180</v>
          </cell>
          <cell r="J1072">
            <v>0</v>
          </cell>
          <cell r="K1072">
            <v>2180</v>
          </cell>
          <cell r="L1072">
            <v>18000</v>
          </cell>
          <cell r="M1072">
            <v>5</v>
          </cell>
          <cell r="P1072">
            <v>9116421345</v>
          </cell>
        </row>
        <row r="1073">
          <cell r="C1073">
            <v>7500</v>
          </cell>
          <cell r="D1073">
            <v>0</v>
          </cell>
          <cell r="E1073">
            <v>200</v>
          </cell>
          <cell r="F1073">
            <v>0</v>
          </cell>
          <cell r="G1073">
            <v>0</v>
          </cell>
          <cell r="H1073">
            <v>0</v>
          </cell>
          <cell r="I1073">
            <v>17</v>
          </cell>
          <cell r="J1073">
            <v>0</v>
          </cell>
          <cell r="K1073">
            <v>217</v>
          </cell>
          <cell r="L1073">
            <v>1670</v>
          </cell>
          <cell r="M1073">
            <v>5</v>
          </cell>
          <cell r="P1073">
            <v>9116421345</v>
          </cell>
        </row>
        <row r="1074">
          <cell r="C1074">
            <v>16200</v>
          </cell>
          <cell r="D1074">
            <v>0</v>
          </cell>
          <cell r="E1074">
            <v>200</v>
          </cell>
          <cell r="F1074">
            <v>2</v>
          </cell>
          <cell r="G1074">
            <v>1800</v>
          </cell>
          <cell r="H1074">
            <v>2</v>
          </cell>
          <cell r="I1074">
            <v>180</v>
          </cell>
          <cell r="J1074">
            <v>0</v>
          </cell>
          <cell r="K1074">
            <v>2184</v>
          </cell>
          <cell r="L1074">
            <v>18000</v>
          </cell>
          <cell r="M1074">
            <v>5</v>
          </cell>
          <cell r="P1074">
            <v>9887287886</v>
          </cell>
        </row>
        <row r="1075">
          <cell r="C1075">
            <v>16200</v>
          </cell>
          <cell r="D1075">
            <v>0</v>
          </cell>
          <cell r="E1075">
            <v>200</v>
          </cell>
          <cell r="F1075">
            <v>2</v>
          </cell>
          <cell r="G1075">
            <v>0</v>
          </cell>
          <cell r="H1075">
            <v>0</v>
          </cell>
          <cell r="I1075">
            <v>90</v>
          </cell>
          <cell r="J1075">
            <v>0</v>
          </cell>
          <cell r="K1075">
            <v>292</v>
          </cell>
          <cell r="L1075">
            <v>9000</v>
          </cell>
          <cell r="M1075">
            <v>5</v>
          </cell>
          <cell r="P1075">
            <v>9887287886</v>
          </cell>
        </row>
        <row r="1076">
          <cell r="C1076">
            <v>2000</v>
          </cell>
          <cell r="D1076">
            <v>0</v>
          </cell>
          <cell r="E1076">
            <v>200</v>
          </cell>
          <cell r="F1076">
            <v>2</v>
          </cell>
          <cell r="G1076">
            <v>0</v>
          </cell>
          <cell r="H1076">
            <v>25</v>
          </cell>
          <cell r="I1076">
            <v>319</v>
          </cell>
          <cell r="J1076">
            <v>0</v>
          </cell>
          <cell r="K1076">
            <v>546</v>
          </cell>
          <cell r="L1076">
            <v>31827</v>
          </cell>
          <cell r="M1076">
            <v>4</v>
          </cell>
          <cell r="P1076">
            <v>9887287886</v>
          </cell>
        </row>
        <row r="1077">
          <cell r="C1077">
            <v>16200</v>
          </cell>
          <cell r="D1077">
            <v>0</v>
          </cell>
          <cell r="E1077">
            <v>200</v>
          </cell>
          <cell r="F1077">
            <v>0</v>
          </cell>
          <cell r="G1077">
            <v>1626</v>
          </cell>
          <cell r="H1077">
            <v>0</v>
          </cell>
          <cell r="I1077">
            <v>178</v>
          </cell>
          <cell r="J1077">
            <v>0</v>
          </cell>
          <cell r="K1077">
            <v>2004</v>
          </cell>
          <cell r="L1077">
            <v>17826</v>
          </cell>
          <cell r="M1077">
            <v>5</v>
          </cell>
          <cell r="P1077">
            <v>9828209521</v>
          </cell>
        </row>
        <row r="1078">
          <cell r="C1078">
            <v>16200</v>
          </cell>
          <cell r="D1078">
            <v>0</v>
          </cell>
          <cell r="E1078">
            <v>200</v>
          </cell>
          <cell r="F1078">
            <v>0</v>
          </cell>
          <cell r="G1078">
            <v>1800</v>
          </cell>
          <cell r="H1078">
            <v>0</v>
          </cell>
          <cell r="I1078">
            <v>180</v>
          </cell>
          <cell r="J1078">
            <v>0</v>
          </cell>
          <cell r="K1078">
            <v>2180</v>
          </cell>
          <cell r="L1078">
            <v>18000</v>
          </cell>
          <cell r="M1078">
            <v>5</v>
          </cell>
          <cell r="P1078">
            <v>9828209521</v>
          </cell>
        </row>
        <row r="1079">
          <cell r="C1079">
            <v>16200</v>
          </cell>
          <cell r="D1079">
            <v>0</v>
          </cell>
          <cell r="E1079">
            <v>200</v>
          </cell>
          <cell r="F1079">
            <v>0</v>
          </cell>
          <cell r="G1079">
            <v>1092</v>
          </cell>
          <cell r="H1079">
            <v>0</v>
          </cell>
          <cell r="I1079">
            <v>173</v>
          </cell>
          <cell r="J1079">
            <v>0</v>
          </cell>
          <cell r="K1079">
            <v>1465</v>
          </cell>
          <cell r="L1079">
            <v>17292</v>
          </cell>
          <cell r="M1079">
            <v>5</v>
          </cell>
          <cell r="P1079">
            <v>9602489968</v>
          </cell>
        </row>
        <row r="1080">
          <cell r="C1080">
            <v>16200</v>
          </cell>
          <cell r="D1080">
            <v>0</v>
          </cell>
          <cell r="E1080">
            <v>200</v>
          </cell>
          <cell r="F1080">
            <v>0</v>
          </cell>
          <cell r="G1080">
            <v>1800</v>
          </cell>
          <cell r="H1080">
            <v>0</v>
          </cell>
          <cell r="I1080">
            <v>180</v>
          </cell>
          <cell r="J1080">
            <v>0</v>
          </cell>
          <cell r="K1080">
            <v>2180</v>
          </cell>
          <cell r="L1080">
            <v>18000</v>
          </cell>
          <cell r="M1080">
            <v>5</v>
          </cell>
          <cell r="P1080">
            <v>9602489968</v>
          </cell>
        </row>
        <row r="1081">
          <cell r="C1081">
            <v>16200</v>
          </cell>
          <cell r="D1081">
            <v>0</v>
          </cell>
          <cell r="E1081">
            <v>200</v>
          </cell>
          <cell r="F1081">
            <v>0</v>
          </cell>
          <cell r="G1081">
            <v>1800</v>
          </cell>
          <cell r="H1081">
            <v>0</v>
          </cell>
          <cell r="I1081">
            <v>180</v>
          </cell>
          <cell r="J1081">
            <v>0</v>
          </cell>
          <cell r="K1081">
            <v>2180</v>
          </cell>
          <cell r="L1081">
            <v>18000</v>
          </cell>
          <cell r="M1081">
            <v>5</v>
          </cell>
          <cell r="P1081">
            <v>9602489968</v>
          </cell>
        </row>
        <row r="1082">
          <cell r="C1082">
            <v>1000</v>
          </cell>
          <cell r="D1082">
            <v>0</v>
          </cell>
          <cell r="E1082">
            <v>0</v>
          </cell>
          <cell r="F1082">
            <v>0</v>
          </cell>
          <cell r="G1082">
            <v>1000</v>
          </cell>
          <cell r="H1082">
            <v>0</v>
          </cell>
          <cell r="I1082">
            <v>460</v>
          </cell>
          <cell r="J1082">
            <v>0</v>
          </cell>
          <cell r="K1082">
            <v>1460</v>
          </cell>
          <cell r="L1082">
            <v>46000</v>
          </cell>
          <cell r="M1082">
            <v>5</v>
          </cell>
          <cell r="P1082">
            <v>9602489968</v>
          </cell>
        </row>
        <row r="1083">
          <cell r="C1083">
            <v>1000</v>
          </cell>
          <cell r="D1083">
            <v>0</v>
          </cell>
          <cell r="E1083">
            <v>200</v>
          </cell>
          <cell r="F1083">
            <v>0</v>
          </cell>
          <cell r="G1083">
            <v>1000</v>
          </cell>
          <cell r="H1083">
            <v>0</v>
          </cell>
          <cell r="I1083">
            <v>360</v>
          </cell>
          <cell r="J1083">
            <v>0</v>
          </cell>
          <cell r="K1083">
            <v>1560</v>
          </cell>
          <cell r="L1083">
            <v>36000</v>
          </cell>
          <cell r="M1083">
            <v>5</v>
          </cell>
          <cell r="P1083">
            <v>9602489968</v>
          </cell>
        </row>
        <row r="1084">
          <cell r="C1084">
            <v>1000</v>
          </cell>
          <cell r="D1084">
            <v>0</v>
          </cell>
          <cell r="E1084">
            <v>200</v>
          </cell>
          <cell r="F1084">
            <v>0</v>
          </cell>
          <cell r="G1084">
            <v>1000</v>
          </cell>
          <cell r="H1084">
            <v>0</v>
          </cell>
          <cell r="I1084">
            <v>360</v>
          </cell>
          <cell r="J1084">
            <v>0</v>
          </cell>
          <cell r="K1084">
            <v>1560</v>
          </cell>
          <cell r="L1084">
            <v>36000</v>
          </cell>
          <cell r="M1084">
            <v>5</v>
          </cell>
          <cell r="P1084">
            <v>9602489968</v>
          </cell>
        </row>
        <row r="1085">
          <cell r="C1085">
            <v>1000</v>
          </cell>
          <cell r="D1085">
            <v>0</v>
          </cell>
          <cell r="E1085">
            <v>200</v>
          </cell>
          <cell r="F1085">
            <v>0</v>
          </cell>
          <cell r="G1085">
            <v>1000</v>
          </cell>
          <cell r="H1085">
            <v>0</v>
          </cell>
          <cell r="I1085">
            <v>360</v>
          </cell>
          <cell r="J1085">
            <v>0</v>
          </cell>
          <cell r="K1085">
            <v>1560</v>
          </cell>
          <cell r="L1085">
            <v>36000</v>
          </cell>
          <cell r="M1085">
            <v>5</v>
          </cell>
          <cell r="P1085">
            <v>9602489968</v>
          </cell>
        </row>
        <row r="1086">
          <cell r="C1086">
            <v>16200</v>
          </cell>
          <cell r="D1086">
            <v>0</v>
          </cell>
          <cell r="E1086">
            <v>200</v>
          </cell>
          <cell r="F1086">
            <v>0</v>
          </cell>
          <cell r="G1086">
            <v>0</v>
          </cell>
          <cell r="H1086">
            <v>0</v>
          </cell>
          <cell r="I1086">
            <v>4</v>
          </cell>
          <cell r="J1086">
            <v>0</v>
          </cell>
          <cell r="K1086">
            <v>204</v>
          </cell>
          <cell r="L1086">
            <v>408</v>
          </cell>
          <cell r="M1086">
            <v>5</v>
          </cell>
          <cell r="P1086">
            <v>9352540044</v>
          </cell>
        </row>
        <row r="1087">
          <cell r="C1087">
            <v>6000</v>
          </cell>
          <cell r="D1087">
            <v>0</v>
          </cell>
          <cell r="E1087">
            <v>0</v>
          </cell>
          <cell r="F1087">
            <v>0</v>
          </cell>
          <cell r="G1087">
            <v>6000</v>
          </cell>
          <cell r="H1087">
            <v>0</v>
          </cell>
          <cell r="I1087">
            <v>480</v>
          </cell>
          <cell r="J1087">
            <v>0</v>
          </cell>
          <cell r="K1087">
            <v>6480</v>
          </cell>
          <cell r="L1087">
            <v>48000</v>
          </cell>
          <cell r="M1087">
            <v>3</v>
          </cell>
          <cell r="P1087">
            <v>9352540044</v>
          </cell>
        </row>
        <row r="1088">
          <cell r="C1088">
            <v>6000</v>
          </cell>
          <cell r="D1088">
            <v>0</v>
          </cell>
          <cell r="E1088">
            <v>0</v>
          </cell>
          <cell r="F1088">
            <v>0</v>
          </cell>
          <cell r="G1088">
            <v>6000</v>
          </cell>
          <cell r="H1088">
            <v>0</v>
          </cell>
          <cell r="I1088">
            <v>480</v>
          </cell>
          <cell r="J1088">
            <v>0</v>
          </cell>
          <cell r="K1088">
            <v>6480</v>
          </cell>
          <cell r="L1088">
            <v>48000</v>
          </cell>
          <cell r="M1088">
            <v>3</v>
          </cell>
          <cell r="P1088">
            <v>9352540044</v>
          </cell>
        </row>
        <row r="1089">
          <cell r="C1089">
            <v>6000</v>
          </cell>
          <cell r="D1089">
            <v>0</v>
          </cell>
          <cell r="E1089">
            <v>0</v>
          </cell>
          <cell r="F1089">
            <v>0</v>
          </cell>
          <cell r="G1089">
            <v>6000</v>
          </cell>
          <cell r="H1089">
            <v>0</v>
          </cell>
          <cell r="I1089">
            <v>480</v>
          </cell>
          <cell r="J1089">
            <v>0</v>
          </cell>
          <cell r="K1089">
            <v>6480</v>
          </cell>
          <cell r="L1089">
            <v>48000</v>
          </cell>
          <cell r="M1089">
            <v>3</v>
          </cell>
          <cell r="P1089">
            <v>9352540044</v>
          </cell>
        </row>
        <row r="1090">
          <cell r="C1090">
            <v>6000</v>
          </cell>
          <cell r="D1090">
            <v>0</v>
          </cell>
          <cell r="E1090">
            <v>0</v>
          </cell>
          <cell r="F1090">
            <v>0</v>
          </cell>
          <cell r="G1090">
            <v>6000</v>
          </cell>
          <cell r="H1090">
            <v>0</v>
          </cell>
          <cell r="I1090">
            <v>480</v>
          </cell>
          <cell r="J1090">
            <v>0</v>
          </cell>
          <cell r="K1090">
            <v>6480</v>
          </cell>
          <cell r="L1090">
            <v>48000</v>
          </cell>
          <cell r="M1090">
            <v>3</v>
          </cell>
          <cell r="P1090">
            <v>9352540044</v>
          </cell>
        </row>
        <row r="1091">
          <cell r="C1091">
            <v>6000</v>
          </cell>
          <cell r="D1091">
            <v>0</v>
          </cell>
          <cell r="E1091">
            <v>0</v>
          </cell>
          <cell r="F1091">
            <v>0</v>
          </cell>
          <cell r="G1091">
            <v>6000</v>
          </cell>
          <cell r="H1091">
            <v>0</v>
          </cell>
          <cell r="I1091">
            <v>480</v>
          </cell>
          <cell r="J1091">
            <v>0</v>
          </cell>
          <cell r="K1091">
            <v>6480</v>
          </cell>
          <cell r="L1091">
            <v>48000</v>
          </cell>
          <cell r="M1091">
            <v>3</v>
          </cell>
          <cell r="P1091">
            <v>9352540044</v>
          </cell>
        </row>
        <row r="1092">
          <cell r="C1092">
            <v>6000</v>
          </cell>
          <cell r="D1092">
            <v>0</v>
          </cell>
          <cell r="E1092">
            <v>0</v>
          </cell>
          <cell r="F1092">
            <v>0</v>
          </cell>
          <cell r="G1092">
            <v>6000</v>
          </cell>
          <cell r="H1092">
            <v>0</v>
          </cell>
          <cell r="I1092">
            <v>480</v>
          </cell>
          <cell r="J1092">
            <v>0</v>
          </cell>
          <cell r="K1092">
            <v>6480</v>
          </cell>
          <cell r="L1092">
            <v>48000</v>
          </cell>
          <cell r="M1092">
            <v>3</v>
          </cell>
          <cell r="P1092">
            <v>9352540044</v>
          </cell>
        </row>
        <row r="1093">
          <cell r="C1093">
            <v>6000</v>
          </cell>
          <cell r="D1093">
            <v>0</v>
          </cell>
          <cell r="E1093">
            <v>0</v>
          </cell>
          <cell r="F1093">
            <v>0</v>
          </cell>
          <cell r="G1093">
            <v>6000</v>
          </cell>
          <cell r="H1093">
            <v>0</v>
          </cell>
          <cell r="I1093">
            <v>420</v>
          </cell>
          <cell r="J1093">
            <v>0</v>
          </cell>
          <cell r="K1093">
            <v>6420</v>
          </cell>
          <cell r="L1093">
            <v>42000</v>
          </cell>
          <cell r="M1093">
            <v>4</v>
          </cell>
          <cell r="P1093">
            <v>9352540044</v>
          </cell>
        </row>
        <row r="1094">
          <cell r="C1094">
            <v>6000</v>
          </cell>
          <cell r="D1094">
            <v>0</v>
          </cell>
          <cell r="E1094">
            <v>0</v>
          </cell>
          <cell r="F1094">
            <v>0</v>
          </cell>
          <cell r="G1094">
            <v>6000</v>
          </cell>
          <cell r="H1094">
            <v>0</v>
          </cell>
          <cell r="I1094">
            <v>420</v>
          </cell>
          <cell r="J1094">
            <v>0</v>
          </cell>
          <cell r="K1094">
            <v>6420</v>
          </cell>
          <cell r="L1094">
            <v>42000</v>
          </cell>
          <cell r="M1094">
            <v>4</v>
          </cell>
          <cell r="P1094">
            <v>9352540044</v>
          </cell>
        </row>
        <row r="1095">
          <cell r="C1095">
            <v>0</v>
          </cell>
          <cell r="D1095">
            <v>0</v>
          </cell>
          <cell r="E1095">
            <v>200</v>
          </cell>
          <cell r="F1095">
            <v>2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202</v>
          </cell>
          <cell r="L1095">
            <v>0</v>
          </cell>
          <cell r="M1095">
            <v>0</v>
          </cell>
          <cell r="P1095">
            <v>9982361246</v>
          </cell>
        </row>
        <row r="1096">
          <cell r="C1096">
            <v>0</v>
          </cell>
          <cell r="D1096">
            <v>0</v>
          </cell>
          <cell r="E1096">
            <v>200</v>
          </cell>
          <cell r="F1096">
            <v>2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202</v>
          </cell>
          <cell r="L1096">
            <v>0</v>
          </cell>
          <cell r="M1096">
            <v>0</v>
          </cell>
          <cell r="P1096">
            <v>9982361246</v>
          </cell>
        </row>
        <row r="1097">
          <cell r="C1097">
            <v>0</v>
          </cell>
          <cell r="D1097">
            <v>0</v>
          </cell>
          <cell r="E1097">
            <v>200</v>
          </cell>
          <cell r="F1097">
            <v>2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202</v>
          </cell>
          <cell r="L1097">
            <v>0</v>
          </cell>
          <cell r="M1097">
            <v>0</v>
          </cell>
          <cell r="P1097">
            <v>9982361246</v>
          </cell>
        </row>
        <row r="1098">
          <cell r="C1098">
            <v>0</v>
          </cell>
          <cell r="D1098">
            <v>0</v>
          </cell>
          <cell r="E1098">
            <v>200</v>
          </cell>
          <cell r="F1098">
            <v>2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202</v>
          </cell>
          <cell r="L1098">
            <v>0</v>
          </cell>
          <cell r="M1098">
            <v>0</v>
          </cell>
          <cell r="P1098">
            <v>9982361246</v>
          </cell>
        </row>
        <row r="1099">
          <cell r="C1099">
            <v>16200</v>
          </cell>
          <cell r="D1099">
            <v>0</v>
          </cell>
          <cell r="E1099">
            <v>200</v>
          </cell>
          <cell r="F1099">
            <v>0</v>
          </cell>
          <cell r="G1099">
            <v>0</v>
          </cell>
          <cell r="H1099">
            <v>0</v>
          </cell>
          <cell r="I1099">
            <v>141</v>
          </cell>
          <cell r="J1099">
            <v>0</v>
          </cell>
          <cell r="K1099">
            <v>341</v>
          </cell>
          <cell r="L1099">
            <v>14092</v>
          </cell>
          <cell r="M1099">
            <v>5</v>
          </cell>
          <cell r="P1099">
            <v>9828072198</v>
          </cell>
        </row>
        <row r="1100">
          <cell r="C1100">
            <v>16200</v>
          </cell>
          <cell r="D1100">
            <v>0</v>
          </cell>
          <cell r="E1100">
            <v>200</v>
          </cell>
          <cell r="F1100">
            <v>0</v>
          </cell>
          <cell r="G1100">
            <v>0</v>
          </cell>
          <cell r="H1100">
            <v>0</v>
          </cell>
          <cell r="I1100">
            <v>150</v>
          </cell>
          <cell r="J1100">
            <v>0</v>
          </cell>
          <cell r="K1100">
            <v>350</v>
          </cell>
          <cell r="L1100">
            <v>15000</v>
          </cell>
          <cell r="M1100">
            <v>5</v>
          </cell>
          <cell r="P1100">
            <v>9828072198</v>
          </cell>
        </row>
        <row r="1101">
          <cell r="C1101">
            <v>16200</v>
          </cell>
          <cell r="D1101">
            <v>0</v>
          </cell>
          <cell r="E1101">
            <v>200</v>
          </cell>
          <cell r="F1101">
            <v>0</v>
          </cell>
          <cell r="G1101">
            <v>0</v>
          </cell>
          <cell r="H1101">
            <v>0</v>
          </cell>
          <cell r="I1101">
            <v>151</v>
          </cell>
          <cell r="J1101">
            <v>0</v>
          </cell>
          <cell r="K1101">
            <v>351</v>
          </cell>
          <cell r="L1101">
            <v>15143</v>
          </cell>
          <cell r="M1101">
            <v>5</v>
          </cell>
          <cell r="P1101">
            <v>9828072198</v>
          </cell>
        </row>
        <row r="1102">
          <cell r="C1102">
            <v>0</v>
          </cell>
          <cell r="D1102">
            <v>0</v>
          </cell>
          <cell r="E1102">
            <v>200</v>
          </cell>
          <cell r="F1102">
            <v>0</v>
          </cell>
          <cell r="G1102">
            <v>0</v>
          </cell>
          <cell r="H1102">
            <v>0</v>
          </cell>
          <cell r="I1102">
            <v>400</v>
          </cell>
          <cell r="J1102">
            <v>0</v>
          </cell>
          <cell r="K1102">
            <v>600</v>
          </cell>
          <cell r="L1102">
            <v>40000</v>
          </cell>
          <cell r="M1102">
            <v>2</v>
          </cell>
          <cell r="P1102">
            <v>8824990821</v>
          </cell>
        </row>
        <row r="1103">
          <cell r="C1103">
            <v>0</v>
          </cell>
          <cell r="D1103">
            <v>0</v>
          </cell>
          <cell r="E1103">
            <v>200</v>
          </cell>
          <cell r="F1103">
            <v>0</v>
          </cell>
          <cell r="G1103">
            <v>0</v>
          </cell>
          <cell r="H1103">
            <v>0</v>
          </cell>
          <cell r="I1103">
            <v>400</v>
          </cell>
          <cell r="J1103">
            <v>0</v>
          </cell>
          <cell r="K1103">
            <v>600</v>
          </cell>
          <cell r="L1103">
            <v>40000</v>
          </cell>
          <cell r="M1103">
            <v>2</v>
          </cell>
          <cell r="P1103">
            <v>8824990821</v>
          </cell>
        </row>
        <row r="1104">
          <cell r="C1104">
            <v>16200</v>
          </cell>
          <cell r="D1104">
            <v>0</v>
          </cell>
          <cell r="E1104">
            <v>200</v>
          </cell>
          <cell r="F1104">
            <v>0</v>
          </cell>
          <cell r="G1104">
            <v>0</v>
          </cell>
          <cell r="H1104">
            <v>0</v>
          </cell>
          <cell r="I1104">
            <v>400</v>
          </cell>
          <cell r="J1104">
            <v>0</v>
          </cell>
          <cell r="K1104">
            <v>600</v>
          </cell>
          <cell r="L1104">
            <v>40000</v>
          </cell>
          <cell r="M1104">
            <v>2</v>
          </cell>
          <cell r="P1104">
            <v>8824990821</v>
          </cell>
        </row>
        <row r="1105">
          <cell r="C1105">
            <v>16200</v>
          </cell>
          <cell r="D1105">
            <v>0</v>
          </cell>
          <cell r="E1105">
            <v>200</v>
          </cell>
          <cell r="F1105">
            <v>0</v>
          </cell>
          <cell r="G1105">
            <v>0</v>
          </cell>
          <cell r="H1105">
            <v>0</v>
          </cell>
          <cell r="I1105">
            <v>400</v>
          </cell>
          <cell r="J1105">
            <v>0</v>
          </cell>
          <cell r="K1105">
            <v>600</v>
          </cell>
          <cell r="L1105">
            <v>40000</v>
          </cell>
          <cell r="M1105">
            <v>2</v>
          </cell>
          <cell r="P1105">
            <v>8824990821</v>
          </cell>
        </row>
        <row r="1106">
          <cell r="C1106">
            <v>16200</v>
          </cell>
          <cell r="D1106">
            <v>0</v>
          </cell>
          <cell r="E1106">
            <v>200</v>
          </cell>
          <cell r="F1106">
            <v>0</v>
          </cell>
          <cell r="G1106">
            <v>0</v>
          </cell>
          <cell r="H1106">
            <v>0</v>
          </cell>
          <cell r="I1106">
            <v>400</v>
          </cell>
          <cell r="J1106">
            <v>0</v>
          </cell>
          <cell r="K1106">
            <v>600</v>
          </cell>
          <cell r="L1106">
            <v>40000</v>
          </cell>
          <cell r="M1106">
            <v>2</v>
          </cell>
          <cell r="P1106">
            <v>8824990821</v>
          </cell>
        </row>
        <row r="1107">
          <cell r="C1107">
            <v>4000</v>
          </cell>
          <cell r="D1107">
            <v>0</v>
          </cell>
          <cell r="E1107">
            <v>200</v>
          </cell>
          <cell r="F1107">
            <v>0</v>
          </cell>
          <cell r="G1107">
            <v>4000</v>
          </cell>
          <cell r="H1107">
            <v>0</v>
          </cell>
          <cell r="I1107">
            <v>400</v>
          </cell>
          <cell r="J1107">
            <v>0</v>
          </cell>
          <cell r="K1107">
            <v>4600</v>
          </cell>
          <cell r="L1107">
            <v>40000</v>
          </cell>
          <cell r="M1107">
            <v>1</v>
          </cell>
          <cell r="P1107">
            <v>8824990821</v>
          </cell>
        </row>
        <row r="1108">
          <cell r="C1108">
            <v>4000</v>
          </cell>
          <cell r="D1108">
            <v>0</v>
          </cell>
          <cell r="E1108">
            <v>200</v>
          </cell>
          <cell r="F1108">
            <v>0</v>
          </cell>
          <cell r="G1108">
            <v>4000</v>
          </cell>
          <cell r="H1108">
            <v>0</v>
          </cell>
          <cell r="I1108">
            <v>400</v>
          </cell>
          <cell r="J1108">
            <v>0</v>
          </cell>
          <cell r="K1108">
            <v>4600</v>
          </cell>
          <cell r="L1108">
            <v>40000</v>
          </cell>
          <cell r="M1108">
            <v>1</v>
          </cell>
          <cell r="P1108">
            <v>8824990821</v>
          </cell>
        </row>
        <row r="1109">
          <cell r="C1109">
            <v>16200</v>
          </cell>
          <cell r="D1109">
            <v>0</v>
          </cell>
          <cell r="E1109">
            <v>200</v>
          </cell>
          <cell r="F1109">
            <v>0</v>
          </cell>
          <cell r="G1109">
            <v>1800</v>
          </cell>
          <cell r="H1109">
            <v>0</v>
          </cell>
          <cell r="I1109">
            <v>180</v>
          </cell>
          <cell r="J1109">
            <v>0</v>
          </cell>
          <cell r="K1109">
            <v>2180</v>
          </cell>
          <cell r="L1109">
            <v>18000</v>
          </cell>
          <cell r="M1109">
            <v>5</v>
          </cell>
          <cell r="P1109">
            <v>8824990821</v>
          </cell>
        </row>
        <row r="1110">
          <cell r="C1110">
            <v>0</v>
          </cell>
          <cell r="D1110">
            <v>0</v>
          </cell>
          <cell r="E1110">
            <v>200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200</v>
          </cell>
          <cell r="L1110">
            <v>0</v>
          </cell>
          <cell r="M1110">
            <v>0</v>
          </cell>
          <cell r="P1110">
            <v>9352230042</v>
          </cell>
        </row>
        <row r="1111">
          <cell r="C1111">
            <v>0</v>
          </cell>
          <cell r="D1111">
            <v>0</v>
          </cell>
          <cell r="E1111">
            <v>200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200</v>
          </cell>
          <cell r="L1111">
            <v>0</v>
          </cell>
          <cell r="M1111">
            <v>0</v>
          </cell>
          <cell r="P1111">
            <v>9352230042</v>
          </cell>
        </row>
        <row r="1112">
          <cell r="C1112">
            <v>500</v>
          </cell>
          <cell r="D1112">
            <v>0</v>
          </cell>
          <cell r="E1112">
            <v>200</v>
          </cell>
          <cell r="F1112">
            <v>0</v>
          </cell>
          <cell r="G1112">
            <v>500</v>
          </cell>
          <cell r="H1112">
            <v>0</v>
          </cell>
          <cell r="I1112">
            <v>380</v>
          </cell>
          <cell r="J1112">
            <v>0</v>
          </cell>
          <cell r="K1112">
            <v>1080</v>
          </cell>
          <cell r="L1112">
            <v>38000</v>
          </cell>
          <cell r="M1112">
            <v>5</v>
          </cell>
          <cell r="P1112">
            <v>9828702457</v>
          </cell>
        </row>
        <row r="1113">
          <cell r="C1113">
            <v>0</v>
          </cell>
          <cell r="D1113">
            <v>0</v>
          </cell>
          <cell r="E1113">
            <v>200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200</v>
          </cell>
          <cell r="L1113">
            <v>0</v>
          </cell>
          <cell r="M1113">
            <v>0</v>
          </cell>
          <cell r="P1113">
            <v>9828702457</v>
          </cell>
        </row>
        <row r="1114">
          <cell r="C1114">
            <v>500</v>
          </cell>
          <cell r="D1114">
            <v>0</v>
          </cell>
          <cell r="E1114">
            <v>200</v>
          </cell>
          <cell r="F1114">
            <v>0</v>
          </cell>
          <cell r="G1114">
            <v>0</v>
          </cell>
          <cell r="H1114">
            <v>0</v>
          </cell>
          <cell r="I1114">
            <v>374</v>
          </cell>
          <cell r="J1114">
            <v>0</v>
          </cell>
          <cell r="K1114">
            <v>574</v>
          </cell>
          <cell r="L1114">
            <v>37381</v>
          </cell>
          <cell r="M1114">
            <v>4</v>
          </cell>
          <cell r="P1114">
            <v>9828702457</v>
          </cell>
        </row>
        <row r="1115">
          <cell r="C1115">
            <v>0</v>
          </cell>
          <cell r="D1115">
            <v>0</v>
          </cell>
          <cell r="E1115">
            <v>200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200</v>
          </cell>
          <cell r="L1115">
            <v>0</v>
          </cell>
          <cell r="M1115">
            <v>0</v>
          </cell>
          <cell r="P1115">
            <v>9828702457</v>
          </cell>
        </row>
        <row r="1116">
          <cell r="C1116">
            <v>0</v>
          </cell>
          <cell r="D1116">
            <v>0</v>
          </cell>
          <cell r="E1116">
            <v>200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200</v>
          </cell>
          <cell r="L1116">
            <v>0</v>
          </cell>
          <cell r="M1116">
            <v>0</v>
          </cell>
          <cell r="P1116">
            <v>9828702457</v>
          </cell>
        </row>
        <row r="1117">
          <cell r="C1117">
            <v>500</v>
          </cell>
          <cell r="D1117">
            <v>0</v>
          </cell>
          <cell r="E1117">
            <v>200</v>
          </cell>
          <cell r="F1117">
            <v>0</v>
          </cell>
          <cell r="G1117">
            <v>500</v>
          </cell>
          <cell r="H1117">
            <v>0</v>
          </cell>
          <cell r="I1117">
            <v>385</v>
          </cell>
          <cell r="J1117">
            <v>0</v>
          </cell>
          <cell r="K1117">
            <v>1085</v>
          </cell>
          <cell r="L1117">
            <v>38500</v>
          </cell>
          <cell r="M1117">
            <v>4</v>
          </cell>
          <cell r="P1117">
            <v>9828702457</v>
          </cell>
        </row>
        <row r="1118">
          <cell r="C1118">
            <v>0</v>
          </cell>
          <cell r="D1118">
            <v>0</v>
          </cell>
          <cell r="E1118">
            <v>200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200</v>
          </cell>
          <cell r="L1118">
            <v>0</v>
          </cell>
          <cell r="M1118">
            <v>0</v>
          </cell>
          <cell r="P1118">
            <v>9828702457</v>
          </cell>
        </row>
        <row r="1119">
          <cell r="C1119">
            <v>250</v>
          </cell>
          <cell r="D1119">
            <v>0</v>
          </cell>
          <cell r="E1119">
            <v>200</v>
          </cell>
          <cell r="F1119">
            <v>0</v>
          </cell>
          <cell r="G1119">
            <v>0</v>
          </cell>
          <cell r="H1119">
            <v>0</v>
          </cell>
          <cell r="I1119">
            <v>485</v>
          </cell>
          <cell r="J1119">
            <v>0</v>
          </cell>
          <cell r="K1119">
            <v>685</v>
          </cell>
          <cell r="L1119">
            <v>48500</v>
          </cell>
          <cell r="M1119">
            <v>5</v>
          </cell>
          <cell r="P1119">
            <v>9664229613</v>
          </cell>
        </row>
        <row r="1120">
          <cell r="C1120">
            <v>250</v>
          </cell>
          <cell r="D1120">
            <v>0</v>
          </cell>
          <cell r="E1120">
            <v>200</v>
          </cell>
          <cell r="F1120">
            <v>0</v>
          </cell>
          <cell r="G1120">
            <v>0</v>
          </cell>
          <cell r="H1120">
            <v>0</v>
          </cell>
          <cell r="I1120">
            <v>485</v>
          </cell>
          <cell r="J1120">
            <v>0</v>
          </cell>
          <cell r="K1120">
            <v>685</v>
          </cell>
          <cell r="L1120">
            <v>48500</v>
          </cell>
          <cell r="M1120">
            <v>5</v>
          </cell>
          <cell r="P1120">
            <v>9664229613</v>
          </cell>
        </row>
        <row r="1121">
          <cell r="C1121">
            <v>250</v>
          </cell>
          <cell r="D1121">
            <v>0</v>
          </cell>
          <cell r="E1121">
            <v>200</v>
          </cell>
          <cell r="F1121">
            <v>0</v>
          </cell>
          <cell r="G1121">
            <v>0</v>
          </cell>
          <cell r="H1121">
            <v>0</v>
          </cell>
          <cell r="I1121">
            <v>485</v>
          </cell>
          <cell r="J1121">
            <v>0</v>
          </cell>
          <cell r="K1121">
            <v>685</v>
          </cell>
          <cell r="L1121">
            <v>48500</v>
          </cell>
          <cell r="M1121">
            <v>5</v>
          </cell>
          <cell r="P1121">
            <v>9664229613</v>
          </cell>
        </row>
        <row r="1122">
          <cell r="C1122">
            <v>250</v>
          </cell>
          <cell r="D1122">
            <v>0</v>
          </cell>
          <cell r="E1122">
            <v>200</v>
          </cell>
          <cell r="F1122">
            <v>0</v>
          </cell>
          <cell r="G1122">
            <v>0</v>
          </cell>
          <cell r="H1122">
            <v>0</v>
          </cell>
          <cell r="I1122">
            <v>485</v>
          </cell>
          <cell r="J1122">
            <v>0</v>
          </cell>
          <cell r="K1122">
            <v>685</v>
          </cell>
          <cell r="L1122">
            <v>48500</v>
          </cell>
          <cell r="M1122">
            <v>5</v>
          </cell>
          <cell r="P1122">
            <v>9664229613</v>
          </cell>
        </row>
        <row r="1123">
          <cell r="C1123">
            <v>250</v>
          </cell>
          <cell r="D1123">
            <v>0</v>
          </cell>
          <cell r="E1123">
            <v>200</v>
          </cell>
          <cell r="F1123">
            <v>0</v>
          </cell>
          <cell r="G1123">
            <v>0</v>
          </cell>
          <cell r="H1123">
            <v>0</v>
          </cell>
          <cell r="I1123">
            <v>485</v>
          </cell>
          <cell r="J1123">
            <v>0</v>
          </cell>
          <cell r="K1123">
            <v>685</v>
          </cell>
          <cell r="L1123">
            <v>48500</v>
          </cell>
          <cell r="M1123">
            <v>5</v>
          </cell>
          <cell r="P1123">
            <v>9664229613</v>
          </cell>
        </row>
        <row r="1124">
          <cell r="C1124">
            <v>250</v>
          </cell>
          <cell r="D1124">
            <v>0</v>
          </cell>
          <cell r="E1124">
            <v>200</v>
          </cell>
          <cell r="F1124">
            <v>0</v>
          </cell>
          <cell r="G1124">
            <v>0</v>
          </cell>
          <cell r="H1124">
            <v>0</v>
          </cell>
          <cell r="I1124">
            <v>485</v>
          </cell>
          <cell r="J1124">
            <v>0</v>
          </cell>
          <cell r="K1124">
            <v>685</v>
          </cell>
          <cell r="L1124">
            <v>48500</v>
          </cell>
          <cell r="M1124">
            <v>5</v>
          </cell>
          <cell r="P1124">
            <v>9664229613</v>
          </cell>
        </row>
        <row r="1125">
          <cell r="C1125">
            <v>250</v>
          </cell>
          <cell r="D1125">
            <v>0</v>
          </cell>
          <cell r="E1125">
            <v>200</v>
          </cell>
          <cell r="F1125">
            <v>0</v>
          </cell>
          <cell r="G1125">
            <v>0</v>
          </cell>
          <cell r="H1125">
            <v>0</v>
          </cell>
          <cell r="I1125">
            <v>485</v>
          </cell>
          <cell r="J1125">
            <v>0</v>
          </cell>
          <cell r="K1125">
            <v>685</v>
          </cell>
          <cell r="L1125">
            <v>48500</v>
          </cell>
          <cell r="M1125">
            <v>5</v>
          </cell>
          <cell r="P1125">
            <v>9664229613</v>
          </cell>
        </row>
        <row r="1126">
          <cell r="C1126">
            <v>250</v>
          </cell>
          <cell r="D1126">
            <v>0</v>
          </cell>
          <cell r="E1126">
            <v>200</v>
          </cell>
          <cell r="F1126">
            <v>0</v>
          </cell>
          <cell r="G1126">
            <v>0</v>
          </cell>
          <cell r="H1126">
            <v>0</v>
          </cell>
          <cell r="I1126">
            <v>485</v>
          </cell>
          <cell r="J1126">
            <v>0</v>
          </cell>
          <cell r="K1126">
            <v>685</v>
          </cell>
          <cell r="L1126">
            <v>48500</v>
          </cell>
          <cell r="M1126">
            <v>5</v>
          </cell>
          <cell r="P1126">
            <v>9664229613</v>
          </cell>
        </row>
        <row r="1127">
          <cell r="C1127">
            <v>250</v>
          </cell>
          <cell r="D1127">
            <v>0</v>
          </cell>
          <cell r="E1127">
            <v>200</v>
          </cell>
          <cell r="F1127">
            <v>0</v>
          </cell>
          <cell r="G1127">
            <v>0</v>
          </cell>
          <cell r="H1127">
            <v>0</v>
          </cell>
          <cell r="I1127">
            <v>485</v>
          </cell>
          <cell r="J1127">
            <v>0</v>
          </cell>
          <cell r="K1127">
            <v>685</v>
          </cell>
          <cell r="L1127">
            <v>48500</v>
          </cell>
          <cell r="M1127">
            <v>5</v>
          </cell>
          <cell r="P1127">
            <v>9664229613</v>
          </cell>
        </row>
        <row r="1128">
          <cell r="C1128">
            <v>250</v>
          </cell>
          <cell r="D1128">
            <v>0</v>
          </cell>
          <cell r="E1128">
            <v>200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200</v>
          </cell>
          <cell r="L1128">
            <v>0</v>
          </cell>
          <cell r="M1128">
            <v>0</v>
          </cell>
          <cell r="P1128">
            <v>9664229613</v>
          </cell>
        </row>
        <row r="1129">
          <cell r="C1129">
            <v>500</v>
          </cell>
          <cell r="D1129">
            <v>0</v>
          </cell>
          <cell r="E1129">
            <v>200</v>
          </cell>
          <cell r="F1129">
            <v>0</v>
          </cell>
          <cell r="G1129">
            <v>500</v>
          </cell>
          <cell r="H1129">
            <v>0</v>
          </cell>
          <cell r="I1129">
            <v>680</v>
          </cell>
          <cell r="J1129">
            <v>0</v>
          </cell>
          <cell r="K1129">
            <v>1380</v>
          </cell>
          <cell r="L1129">
            <v>68000</v>
          </cell>
          <cell r="M1129">
            <v>5</v>
          </cell>
          <cell r="P1129">
            <v>9982447051</v>
          </cell>
        </row>
        <row r="1130">
          <cell r="C1130">
            <v>500</v>
          </cell>
          <cell r="D1130">
            <v>0</v>
          </cell>
          <cell r="E1130">
            <v>200</v>
          </cell>
          <cell r="F1130">
            <v>0</v>
          </cell>
          <cell r="G1130">
            <v>500</v>
          </cell>
          <cell r="H1130">
            <v>0</v>
          </cell>
          <cell r="I1130">
            <v>680</v>
          </cell>
          <cell r="J1130">
            <v>0</v>
          </cell>
          <cell r="K1130">
            <v>1380</v>
          </cell>
          <cell r="L1130">
            <v>68000</v>
          </cell>
          <cell r="M1130">
            <v>5</v>
          </cell>
          <cell r="P1130">
            <v>9982447051</v>
          </cell>
        </row>
        <row r="1131">
          <cell r="C1131">
            <v>500</v>
          </cell>
          <cell r="D1131">
            <v>0</v>
          </cell>
          <cell r="E1131">
            <v>200</v>
          </cell>
          <cell r="F1131">
            <v>0</v>
          </cell>
          <cell r="G1131">
            <v>500</v>
          </cell>
          <cell r="H1131">
            <v>0</v>
          </cell>
          <cell r="I1131">
            <v>680</v>
          </cell>
          <cell r="J1131">
            <v>0</v>
          </cell>
          <cell r="K1131">
            <v>1380</v>
          </cell>
          <cell r="L1131">
            <v>68000</v>
          </cell>
          <cell r="M1131">
            <v>5</v>
          </cell>
          <cell r="P1131">
            <v>9982447051</v>
          </cell>
        </row>
        <row r="1132">
          <cell r="C1132">
            <v>500</v>
          </cell>
          <cell r="D1132">
            <v>0</v>
          </cell>
          <cell r="E1132">
            <v>200</v>
          </cell>
          <cell r="F1132">
            <v>0</v>
          </cell>
          <cell r="G1132">
            <v>500</v>
          </cell>
          <cell r="H1132">
            <v>0</v>
          </cell>
          <cell r="I1132">
            <v>680</v>
          </cell>
          <cell r="J1132">
            <v>0</v>
          </cell>
          <cell r="K1132">
            <v>1380</v>
          </cell>
          <cell r="L1132">
            <v>68000</v>
          </cell>
          <cell r="M1132">
            <v>5</v>
          </cell>
          <cell r="P1132">
            <v>9982447051</v>
          </cell>
        </row>
        <row r="1133">
          <cell r="C1133">
            <v>450</v>
          </cell>
          <cell r="D1133">
            <v>0</v>
          </cell>
          <cell r="E1133">
            <v>200</v>
          </cell>
          <cell r="F1133">
            <v>0</v>
          </cell>
          <cell r="G1133">
            <v>450</v>
          </cell>
          <cell r="H1133">
            <v>0</v>
          </cell>
          <cell r="I1133">
            <v>582</v>
          </cell>
          <cell r="J1133">
            <v>0</v>
          </cell>
          <cell r="K1133">
            <v>1232</v>
          </cell>
          <cell r="L1133">
            <v>58200</v>
          </cell>
          <cell r="M1133">
            <v>5</v>
          </cell>
          <cell r="P1133">
            <v>9929194619</v>
          </cell>
        </row>
        <row r="1134">
          <cell r="C1134">
            <v>450</v>
          </cell>
          <cell r="D1134">
            <v>0</v>
          </cell>
          <cell r="E1134">
            <v>200</v>
          </cell>
          <cell r="F1134">
            <v>0</v>
          </cell>
          <cell r="G1134">
            <v>0</v>
          </cell>
          <cell r="H1134">
            <v>0</v>
          </cell>
          <cell r="I1134">
            <v>575</v>
          </cell>
          <cell r="J1134">
            <v>0</v>
          </cell>
          <cell r="K1134">
            <v>775</v>
          </cell>
          <cell r="L1134">
            <v>57450</v>
          </cell>
          <cell r="M1134">
            <v>5</v>
          </cell>
          <cell r="P1134">
            <v>9929194619</v>
          </cell>
        </row>
        <row r="1135">
          <cell r="C1135">
            <v>800</v>
          </cell>
          <cell r="D1135">
            <v>0</v>
          </cell>
          <cell r="E1135">
            <v>200</v>
          </cell>
          <cell r="F1135">
            <v>0</v>
          </cell>
          <cell r="G1135">
            <v>256</v>
          </cell>
          <cell r="H1135">
            <v>0</v>
          </cell>
          <cell r="I1135">
            <v>563</v>
          </cell>
          <cell r="J1135">
            <v>0</v>
          </cell>
          <cell r="K1135">
            <v>1019</v>
          </cell>
          <cell r="L1135">
            <v>56256</v>
          </cell>
          <cell r="M1135">
            <v>5</v>
          </cell>
          <cell r="P1135">
            <v>9929194619</v>
          </cell>
        </row>
        <row r="1136">
          <cell r="C1136">
            <v>800</v>
          </cell>
          <cell r="D1136">
            <v>0</v>
          </cell>
          <cell r="E1136">
            <v>200</v>
          </cell>
          <cell r="F1136">
            <v>0</v>
          </cell>
          <cell r="G1136">
            <v>800</v>
          </cell>
          <cell r="H1136">
            <v>0</v>
          </cell>
          <cell r="I1136">
            <v>568</v>
          </cell>
          <cell r="J1136">
            <v>0</v>
          </cell>
          <cell r="K1136">
            <v>1568</v>
          </cell>
          <cell r="L1136">
            <v>56800</v>
          </cell>
          <cell r="M1136">
            <v>5</v>
          </cell>
          <cell r="P1136">
            <v>9929194619</v>
          </cell>
        </row>
        <row r="1137">
          <cell r="C1137">
            <v>600</v>
          </cell>
          <cell r="D1137">
            <v>0</v>
          </cell>
          <cell r="E1137">
            <v>200</v>
          </cell>
          <cell r="F1137">
            <v>0</v>
          </cell>
          <cell r="G1137">
            <v>600</v>
          </cell>
          <cell r="H1137">
            <v>0</v>
          </cell>
          <cell r="I1137">
            <v>476</v>
          </cell>
          <cell r="J1137">
            <v>0</v>
          </cell>
          <cell r="K1137">
            <v>1276</v>
          </cell>
          <cell r="L1137">
            <v>47600</v>
          </cell>
          <cell r="M1137">
            <v>5</v>
          </cell>
          <cell r="P1137">
            <v>9929194619</v>
          </cell>
        </row>
        <row r="1138">
          <cell r="C1138">
            <v>1000</v>
          </cell>
          <cell r="D1138">
            <v>0</v>
          </cell>
          <cell r="E1138">
            <v>200</v>
          </cell>
          <cell r="F1138">
            <v>0</v>
          </cell>
          <cell r="G1138">
            <v>1000</v>
          </cell>
          <cell r="H1138">
            <v>0</v>
          </cell>
          <cell r="I1138">
            <v>370</v>
          </cell>
          <cell r="J1138">
            <v>0</v>
          </cell>
          <cell r="K1138">
            <v>1570</v>
          </cell>
          <cell r="L1138">
            <v>36995</v>
          </cell>
          <cell r="M1138">
            <v>5</v>
          </cell>
          <cell r="P1138">
            <v>9314298877</v>
          </cell>
        </row>
        <row r="1139">
          <cell r="C1139">
            <v>0</v>
          </cell>
          <cell r="D1139">
            <v>0</v>
          </cell>
          <cell r="E1139">
            <v>200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200</v>
          </cell>
          <cell r="L1139">
            <v>0</v>
          </cell>
          <cell r="M1139">
            <v>0</v>
          </cell>
          <cell r="P1139">
            <v>8560046266</v>
          </cell>
        </row>
        <row r="1140">
          <cell r="C1140">
            <v>0</v>
          </cell>
          <cell r="D1140">
            <v>0</v>
          </cell>
          <cell r="E1140">
            <v>200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200</v>
          </cell>
          <cell r="L1140">
            <v>0</v>
          </cell>
          <cell r="M1140">
            <v>0</v>
          </cell>
          <cell r="P1140">
            <v>8560046266</v>
          </cell>
        </row>
        <row r="1141">
          <cell r="C1141">
            <v>0</v>
          </cell>
          <cell r="D1141">
            <v>0</v>
          </cell>
          <cell r="E1141">
            <v>200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200</v>
          </cell>
          <cell r="L1141">
            <v>0</v>
          </cell>
          <cell r="M1141">
            <v>0</v>
          </cell>
          <cell r="P1141">
            <v>8560046266</v>
          </cell>
        </row>
        <row r="1142">
          <cell r="C1142">
            <v>0</v>
          </cell>
          <cell r="D1142">
            <v>0</v>
          </cell>
          <cell r="E1142">
            <v>200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200</v>
          </cell>
          <cell r="L1142">
            <v>0</v>
          </cell>
          <cell r="M1142">
            <v>0</v>
          </cell>
          <cell r="P1142">
            <v>8560046266</v>
          </cell>
        </row>
        <row r="1143">
          <cell r="C1143">
            <v>0</v>
          </cell>
          <cell r="D1143">
            <v>0</v>
          </cell>
          <cell r="E1143">
            <v>200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200</v>
          </cell>
          <cell r="L1143">
            <v>0</v>
          </cell>
          <cell r="M1143">
            <v>0</v>
          </cell>
          <cell r="P1143">
            <v>8560046266</v>
          </cell>
        </row>
        <row r="1144">
          <cell r="C1144">
            <v>0</v>
          </cell>
          <cell r="D1144">
            <v>0</v>
          </cell>
          <cell r="E1144">
            <v>200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200</v>
          </cell>
          <cell r="L1144">
            <v>0</v>
          </cell>
          <cell r="M1144">
            <v>0</v>
          </cell>
          <cell r="P1144">
            <v>8947800094</v>
          </cell>
        </row>
        <row r="1145">
          <cell r="C1145">
            <v>0</v>
          </cell>
          <cell r="D1145">
            <v>0</v>
          </cell>
          <cell r="E1145">
            <v>200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200</v>
          </cell>
          <cell r="L1145">
            <v>0</v>
          </cell>
          <cell r="M1145">
            <v>0</v>
          </cell>
          <cell r="P1145">
            <v>8947800094</v>
          </cell>
        </row>
        <row r="1146">
          <cell r="C1146">
            <v>0</v>
          </cell>
          <cell r="D1146">
            <v>0</v>
          </cell>
          <cell r="E1146">
            <v>200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200</v>
          </cell>
          <cell r="L1146">
            <v>0</v>
          </cell>
          <cell r="M1146">
            <v>0</v>
          </cell>
          <cell r="P1146">
            <v>8947800094</v>
          </cell>
        </row>
        <row r="1147">
          <cell r="C1147">
            <v>0</v>
          </cell>
          <cell r="D1147">
            <v>0</v>
          </cell>
          <cell r="E1147">
            <v>200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200</v>
          </cell>
          <cell r="L1147">
            <v>0</v>
          </cell>
          <cell r="M1147">
            <v>0</v>
          </cell>
          <cell r="P1147">
            <v>8947800094</v>
          </cell>
        </row>
        <row r="1148">
          <cell r="C1148">
            <v>0</v>
          </cell>
          <cell r="D1148">
            <v>0</v>
          </cell>
          <cell r="E1148">
            <v>200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200</v>
          </cell>
          <cell r="L1148">
            <v>0</v>
          </cell>
          <cell r="M1148">
            <v>0</v>
          </cell>
          <cell r="P1148">
            <v>8947800094</v>
          </cell>
        </row>
        <row r="1149">
          <cell r="C1149">
            <v>16200</v>
          </cell>
          <cell r="D1149">
            <v>0</v>
          </cell>
          <cell r="E1149">
            <v>200</v>
          </cell>
          <cell r="F1149">
            <v>0</v>
          </cell>
          <cell r="G1149">
            <v>1560</v>
          </cell>
          <cell r="H1149">
            <v>0</v>
          </cell>
          <cell r="I1149">
            <v>178</v>
          </cell>
          <cell r="J1149">
            <v>0</v>
          </cell>
          <cell r="K1149">
            <v>1938</v>
          </cell>
          <cell r="L1149">
            <v>17760</v>
          </cell>
          <cell r="M1149">
            <v>5</v>
          </cell>
          <cell r="P1149">
            <v>9982965532</v>
          </cell>
        </row>
        <row r="1150">
          <cell r="C1150">
            <v>16200</v>
          </cell>
          <cell r="D1150">
            <v>0</v>
          </cell>
          <cell r="E1150">
            <v>200</v>
          </cell>
          <cell r="F1150">
            <v>0</v>
          </cell>
          <cell r="G1150">
            <v>1800</v>
          </cell>
          <cell r="H1150">
            <v>0</v>
          </cell>
          <cell r="I1150">
            <v>180</v>
          </cell>
          <cell r="J1150">
            <v>0</v>
          </cell>
          <cell r="K1150">
            <v>2180</v>
          </cell>
          <cell r="L1150">
            <v>18000</v>
          </cell>
          <cell r="M1150">
            <v>5</v>
          </cell>
          <cell r="P1150">
            <v>9982965532</v>
          </cell>
        </row>
        <row r="1151">
          <cell r="C1151">
            <v>0</v>
          </cell>
          <cell r="D1151">
            <v>0</v>
          </cell>
          <cell r="E1151">
            <v>200</v>
          </cell>
          <cell r="F1151">
            <v>2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202</v>
          </cell>
          <cell r="L1151">
            <v>0</v>
          </cell>
          <cell r="M1151">
            <v>0</v>
          </cell>
          <cell r="P1151">
            <v>9829450072</v>
          </cell>
        </row>
        <row r="1152">
          <cell r="C1152">
            <v>500</v>
          </cell>
          <cell r="D1152">
            <v>0</v>
          </cell>
          <cell r="E1152">
            <v>200</v>
          </cell>
          <cell r="F1152">
            <v>0</v>
          </cell>
          <cell r="G1152">
            <v>500</v>
          </cell>
          <cell r="H1152">
            <v>0</v>
          </cell>
          <cell r="I1152">
            <v>395</v>
          </cell>
          <cell r="J1152">
            <v>0</v>
          </cell>
          <cell r="K1152">
            <v>1095</v>
          </cell>
          <cell r="L1152">
            <v>39500</v>
          </cell>
          <cell r="M1152">
            <v>2</v>
          </cell>
          <cell r="P1152">
            <v>9783982680</v>
          </cell>
        </row>
        <row r="1153">
          <cell r="C1153">
            <v>500</v>
          </cell>
          <cell r="D1153">
            <v>0</v>
          </cell>
          <cell r="E1153">
            <v>200</v>
          </cell>
          <cell r="F1153">
            <v>0</v>
          </cell>
          <cell r="G1153">
            <v>500</v>
          </cell>
          <cell r="H1153">
            <v>0</v>
          </cell>
          <cell r="I1153">
            <v>395</v>
          </cell>
          <cell r="J1153">
            <v>0</v>
          </cell>
          <cell r="K1153">
            <v>1095</v>
          </cell>
          <cell r="L1153">
            <v>39500</v>
          </cell>
          <cell r="M1153">
            <v>2</v>
          </cell>
          <cell r="P1153">
            <v>9783982680</v>
          </cell>
        </row>
        <row r="1154">
          <cell r="C1154">
            <v>500</v>
          </cell>
          <cell r="D1154">
            <v>0</v>
          </cell>
          <cell r="E1154">
            <v>200</v>
          </cell>
          <cell r="F1154">
            <v>0</v>
          </cell>
          <cell r="G1154">
            <v>500</v>
          </cell>
          <cell r="H1154">
            <v>0</v>
          </cell>
          <cell r="I1154">
            <v>395</v>
          </cell>
          <cell r="J1154">
            <v>0</v>
          </cell>
          <cell r="K1154">
            <v>1095</v>
          </cell>
          <cell r="L1154">
            <v>39500</v>
          </cell>
          <cell r="M1154">
            <v>2</v>
          </cell>
          <cell r="P1154">
            <v>9783982680</v>
          </cell>
        </row>
        <row r="1155">
          <cell r="C1155">
            <v>1000</v>
          </cell>
          <cell r="D1155">
            <v>0</v>
          </cell>
          <cell r="E1155">
            <v>200</v>
          </cell>
          <cell r="F1155">
            <v>0</v>
          </cell>
          <cell r="G1155">
            <v>12</v>
          </cell>
          <cell r="H1155">
            <v>0</v>
          </cell>
          <cell r="I1155">
            <v>168</v>
          </cell>
          <cell r="J1155">
            <v>0</v>
          </cell>
          <cell r="K1155">
            <v>380</v>
          </cell>
          <cell r="L1155">
            <v>16012</v>
          </cell>
          <cell r="M1155">
            <v>4</v>
          </cell>
          <cell r="P1155">
            <v>7742957778</v>
          </cell>
        </row>
        <row r="1156">
          <cell r="C1156">
            <v>1000</v>
          </cell>
          <cell r="D1156">
            <v>0</v>
          </cell>
          <cell r="E1156">
            <v>200</v>
          </cell>
          <cell r="F1156">
            <v>0</v>
          </cell>
          <cell r="G1156">
            <v>1000</v>
          </cell>
          <cell r="H1156">
            <v>0</v>
          </cell>
          <cell r="I1156">
            <v>170</v>
          </cell>
          <cell r="J1156">
            <v>0</v>
          </cell>
          <cell r="K1156">
            <v>1370</v>
          </cell>
          <cell r="L1156">
            <v>17000</v>
          </cell>
          <cell r="M1156">
            <v>4</v>
          </cell>
          <cell r="P1156">
            <v>7742957778</v>
          </cell>
        </row>
        <row r="1157">
          <cell r="C1157">
            <v>4500</v>
          </cell>
          <cell r="D1157">
            <v>0</v>
          </cell>
          <cell r="E1157">
            <v>200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200</v>
          </cell>
          <cell r="L1157">
            <v>0</v>
          </cell>
          <cell r="M1157">
            <v>0</v>
          </cell>
          <cell r="P1157">
            <v>8442006992</v>
          </cell>
        </row>
        <row r="1158">
          <cell r="C1158">
            <v>4500</v>
          </cell>
          <cell r="D1158">
            <v>0</v>
          </cell>
          <cell r="E1158">
            <v>200</v>
          </cell>
          <cell r="F1158">
            <v>0</v>
          </cell>
          <cell r="G1158">
            <v>0</v>
          </cell>
          <cell r="H1158">
            <v>0</v>
          </cell>
          <cell r="I1158">
            <v>19</v>
          </cell>
          <cell r="J1158">
            <v>0</v>
          </cell>
          <cell r="K1158">
            <v>219</v>
          </cell>
          <cell r="L1158">
            <v>1855</v>
          </cell>
          <cell r="M1158">
            <v>5</v>
          </cell>
          <cell r="P1158">
            <v>8442006992</v>
          </cell>
        </row>
        <row r="1159">
          <cell r="C1159">
            <v>2400</v>
          </cell>
          <cell r="D1159">
            <v>0</v>
          </cell>
          <cell r="E1159">
            <v>400</v>
          </cell>
          <cell r="F1159">
            <v>10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410</v>
          </cell>
          <cell r="L1159">
            <v>0</v>
          </cell>
          <cell r="M1159">
            <v>0</v>
          </cell>
          <cell r="P1159">
            <v>7726813481</v>
          </cell>
        </row>
        <row r="1160">
          <cell r="C1160">
            <v>0</v>
          </cell>
          <cell r="D1160">
            <v>0</v>
          </cell>
          <cell r="E1160">
            <v>200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200</v>
          </cell>
          <cell r="L1160">
            <v>0</v>
          </cell>
          <cell r="M1160">
            <v>0</v>
          </cell>
          <cell r="P1160">
            <v>8432854486</v>
          </cell>
        </row>
        <row r="1161">
          <cell r="C1161">
            <v>0</v>
          </cell>
          <cell r="D1161">
            <v>0</v>
          </cell>
          <cell r="E1161">
            <v>165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165</v>
          </cell>
          <cell r="L1161">
            <v>0</v>
          </cell>
          <cell r="M1161">
            <v>0</v>
          </cell>
          <cell r="P1161">
            <v>8432854486</v>
          </cell>
        </row>
        <row r="1162">
          <cell r="C1162">
            <v>0</v>
          </cell>
          <cell r="D1162">
            <v>0</v>
          </cell>
          <cell r="E1162">
            <v>200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200</v>
          </cell>
          <cell r="L1162">
            <v>0</v>
          </cell>
          <cell r="M1162">
            <v>0</v>
          </cell>
          <cell r="P1162">
            <v>8432854486</v>
          </cell>
        </row>
        <row r="1163">
          <cell r="C1163">
            <v>0</v>
          </cell>
          <cell r="D1163">
            <v>0</v>
          </cell>
          <cell r="E1163">
            <v>200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200</v>
          </cell>
          <cell r="L1163">
            <v>0</v>
          </cell>
          <cell r="M1163">
            <v>0</v>
          </cell>
          <cell r="P1163">
            <v>8432854486</v>
          </cell>
        </row>
        <row r="1164">
          <cell r="C1164">
            <v>0</v>
          </cell>
          <cell r="D1164">
            <v>0</v>
          </cell>
          <cell r="E1164">
            <v>16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16</v>
          </cell>
          <cell r="L1164">
            <v>0</v>
          </cell>
          <cell r="M1164">
            <v>0</v>
          </cell>
          <cell r="P1164">
            <v>9799861493</v>
          </cell>
        </row>
        <row r="1165">
          <cell r="C1165">
            <v>0</v>
          </cell>
          <cell r="D1165">
            <v>0</v>
          </cell>
          <cell r="E1165">
            <v>200</v>
          </cell>
          <cell r="F1165">
            <v>0</v>
          </cell>
          <cell r="G1165">
            <v>0</v>
          </cell>
          <cell r="H1165">
            <v>0</v>
          </cell>
          <cell r="I1165">
            <v>423</v>
          </cell>
          <cell r="J1165">
            <v>0</v>
          </cell>
          <cell r="K1165">
            <v>623</v>
          </cell>
          <cell r="L1165">
            <v>42269</v>
          </cell>
          <cell r="M1165">
            <v>5</v>
          </cell>
          <cell r="P1165">
            <v>9667231605</v>
          </cell>
        </row>
        <row r="1166">
          <cell r="C1166">
            <v>1000</v>
          </cell>
          <cell r="D1166">
            <v>0</v>
          </cell>
          <cell r="E1166">
            <v>200</v>
          </cell>
          <cell r="F1166">
            <v>0</v>
          </cell>
          <cell r="G1166">
            <v>1000</v>
          </cell>
          <cell r="H1166">
            <v>0</v>
          </cell>
          <cell r="I1166">
            <v>200</v>
          </cell>
          <cell r="J1166">
            <v>0</v>
          </cell>
          <cell r="K1166">
            <v>1400</v>
          </cell>
          <cell r="L1166">
            <v>20000</v>
          </cell>
          <cell r="M1166">
            <v>1</v>
          </cell>
          <cell r="P1166">
            <v>7891681482</v>
          </cell>
        </row>
        <row r="1167">
          <cell r="C1167">
            <v>1000</v>
          </cell>
          <cell r="D1167">
            <v>0</v>
          </cell>
          <cell r="E1167">
            <v>200</v>
          </cell>
          <cell r="F1167">
            <v>0</v>
          </cell>
          <cell r="G1167">
            <v>1000</v>
          </cell>
          <cell r="H1167">
            <v>0</v>
          </cell>
          <cell r="I1167">
            <v>200</v>
          </cell>
          <cell r="J1167">
            <v>0</v>
          </cell>
          <cell r="K1167">
            <v>1400</v>
          </cell>
          <cell r="L1167">
            <v>20000</v>
          </cell>
          <cell r="M1167">
            <v>1</v>
          </cell>
          <cell r="P1167">
            <v>7891681482</v>
          </cell>
        </row>
        <row r="1168">
          <cell r="C1168">
            <v>1000</v>
          </cell>
          <cell r="D1168">
            <v>0</v>
          </cell>
          <cell r="E1168">
            <v>200</v>
          </cell>
          <cell r="F1168">
            <v>0</v>
          </cell>
          <cell r="G1168">
            <v>1000</v>
          </cell>
          <cell r="H1168">
            <v>0</v>
          </cell>
          <cell r="I1168">
            <v>200</v>
          </cell>
          <cell r="J1168">
            <v>0</v>
          </cell>
          <cell r="K1168">
            <v>1400</v>
          </cell>
          <cell r="L1168">
            <v>20000</v>
          </cell>
          <cell r="M1168">
            <v>1</v>
          </cell>
          <cell r="P1168">
            <v>7891681482</v>
          </cell>
        </row>
        <row r="1169">
          <cell r="C1169">
            <v>1000</v>
          </cell>
          <cell r="D1169">
            <v>0</v>
          </cell>
          <cell r="E1169">
            <v>200</v>
          </cell>
          <cell r="F1169">
            <v>0</v>
          </cell>
          <cell r="G1169">
            <v>1000</v>
          </cell>
          <cell r="H1169">
            <v>0</v>
          </cell>
          <cell r="I1169">
            <v>200</v>
          </cell>
          <cell r="J1169">
            <v>0</v>
          </cell>
          <cell r="K1169">
            <v>1400</v>
          </cell>
          <cell r="L1169">
            <v>20000</v>
          </cell>
          <cell r="M1169">
            <v>1</v>
          </cell>
          <cell r="P1169">
            <v>7891681482</v>
          </cell>
        </row>
        <row r="1170">
          <cell r="C1170">
            <v>4500</v>
          </cell>
          <cell r="D1170">
            <v>0</v>
          </cell>
          <cell r="E1170">
            <v>200</v>
          </cell>
          <cell r="F1170">
            <v>0</v>
          </cell>
          <cell r="G1170">
            <v>500</v>
          </cell>
          <cell r="H1170">
            <v>0</v>
          </cell>
          <cell r="I1170">
            <v>50</v>
          </cell>
          <cell r="J1170">
            <v>0</v>
          </cell>
          <cell r="K1170">
            <v>750</v>
          </cell>
          <cell r="L1170">
            <v>5000</v>
          </cell>
          <cell r="M1170">
            <v>5</v>
          </cell>
          <cell r="P1170">
            <v>9782868348</v>
          </cell>
        </row>
        <row r="1171">
          <cell r="C1171">
            <v>4500</v>
          </cell>
          <cell r="D1171">
            <v>0</v>
          </cell>
          <cell r="E1171">
            <v>200</v>
          </cell>
          <cell r="F1171">
            <v>0</v>
          </cell>
          <cell r="G1171">
            <v>500</v>
          </cell>
          <cell r="H1171">
            <v>0</v>
          </cell>
          <cell r="I1171">
            <v>50</v>
          </cell>
          <cell r="J1171">
            <v>0</v>
          </cell>
          <cell r="K1171">
            <v>750</v>
          </cell>
          <cell r="L1171">
            <v>5000</v>
          </cell>
          <cell r="M1171">
            <v>5</v>
          </cell>
          <cell r="P1171">
            <v>9782868348</v>
          </cell>
        </row>
        <row r="1172">
          <cell r="C1172">
            <v>4500</v>
          </cell>
          <cell r="D1172">
            <v>0</v>
          </cell>
          <cell r="E1172">
            <v>200</v>
          </cell>
          <cell r="F1172">
            <v>0</v>
          </cell>
          <cell r="G1172">
            <v>500</v>
          </cell>
          <cell r="H1172">
            <v>0</v>
          </cell>
          <cell r="I1172">
            <v>50</v>
          </cell>
          <cell r="J1172">
            <v>0</v>
          </cell>
          <cell r="K1172">
            <v>750</v>
          </cell>
          <cell r="L1172">
            <v>5000</v>
          </cell>
          <cell r="M1172">
            <v>5</v>
          </cell>
          <cell r="P1172">
            <v>9782868348</v>
          </cell>
        </row>
        <row r="1173">
          <cell r="C1173">
            <v>4500</v>
          </cell>
          <cell r="D1173">
            <v>0</v>
          </cell>
          <cell r="E1173">
            <v>200</v>
          </cell>
          <cell r="F1173">
            <v>0</v>
          </cell>
          <cell r="G1173">
            <v>500</v>
          </cell>
          <cell r="H1173">
            <v>0</v>
          </cell>
          <cell r="I1173">
            <v>50</v>
          </cell>
          <cell r="J1173">
            <v>0</v>
          </cell>
          <cell r="K1173">
            <v>750</v>
          </cell>
          <cell r="L1173">
            <v>5000</v>
          </cell>
          <cell r="M1173">
            <v>5</v>
          </cell>
          <cell r="P1173">
            <v>9782868348</v>
          </cell>
        </row>
        <row r="1174">
          <cell r="C1174">
            <v>4500</v>
          </cell>
          <cell r="D1174">
            <v>0</v>
          </cell>
          <cell r="E1174">
            <v>200</v>
          </cell>
          <cell r="F1174">
            <v>0</v>
          </cell>
          <cell r="G1174">
            <v>0</v>
          </cell>
          <cell r="H1174">
            <v>0</v>
          </cell>
          <cell r="I1174">
            <v>39</v>
          </cell>
          <cell r="J1174">
            <v>0</v>
          </cell>
          <cell r="K1174">
            <v>239</v>
          </cell>
          <cell r="L1174">
            <v>3933</v>
          </cell>
          <cell r="M1174">
            <v>5</v>
          </cell>
          <cell r="P1174">
            <v>9782868348</v>
          </cell>
        </row>
        <row r="1175">
          <cell r="C1175">
            <v>500</v>
          </cell>
          <cell r="D1175">
            <v>0</v>
          </cell>
          <cell r="E1175">
            <v>200</v>
          </cell>
          <cell r="F1175">
            <v>0</v>
          </cell>
          <cell r="G1175">
            <v>500</v>
          </cell>
          <cell r="H1175">
            <v>0</v>
          </cell>
          <cell r="I1175">
            <v>190</v>
          </cell>
          <cell r="J1175">
            <v>0</v>
          </cell>
          <cell r="K1175">
            <v>890</v>
          </cell>
          <cell r="L1175">
            <v>19000</v>
          </cell>
          <cell r="M1175">
            <v>3</v>
          </cell>
          <cell r="P1175">
            <v>6350634028</v>
          </cell>
        </row>
        <row r="1176">
          <cell r="C1176">
            <v>500</v>
          </cell>
          <cell r="D1176">
            <v>0</v>
          </cell>
          <cell r="E1176">
            <v>200</v>
          </cell>
          <cell r="F1176">
            <v>0</v>
          </cell>
          <cell r="G1176">
            <v>500</v>
          </cell>
          <cell r="H1176">
            <v>0</v>
          </cell>
          <cell r="I1176">
            <v>190</v>
          </cell>
          <cell r="J1176">
            <v>0</v>
          </cell>
          <cell r="K1176">
            <v>890</v>
          </cell>
          <cell r="L1176">
            <v>19000</v>
          </cell>
          <cell r="M1176">
            <v>3</v>
          </cell>
          <cell r="P1176">
            <v>6350634028</v>
          </cell>
        </row>
        <row r="1177">
          <cell r="C1177">
            <v>500</v>
          </cell>
          <cell r="D1177">
            <v>0</v>
          </cell>
          <cell r="E1177">
            <v>200</v>
          </cell>
          <cell r="F1177">
            <v>0</v>
          </cell>
          <cell r="G1177">
            <v>500</v>
          </cell>
          <cell r="H1177">
            <v>0</v>
          </cell>
          <cell r="I1177">
            <v>190</v>
          </cell>
          <cell r="J1177">
            <v>0</v>
          </cell>
          <cell r="K1177">
            <v>890</v>
          </cell>
          <cell r="L1177">
            <v>19000</v>
          </cell>
          <cell r="M1177">
            <v>3</v>
          </cell>
          <cell r="P1177">
            <v>6350634028</v>
          </cell>
        </row>
        <row r="1178">
          <cell r="C1178">
            <v>700</v>
          </cell>
          <cell r="D1178">
            <v>0</v>
          </cell>
          <cell r="E1178">
            <v>1000</v>
          </cell>
          <cell r="F1178">
            <v>78</v>
          </cell>
          <cell r="G1178">
            <v>700</v>
          </cell>
          <cell r="H1178">
            <v>139</v>
          </cell>
          <cell r="I1178">
            <v>472</v>
          </cell>
          <cell r="J1178">
            <v>0</v>
          </cell>
          <cell r="K1178">
            <v>2389</v>
          </cell>
          <cell r="L1178">
            <v>47200</v>
          </cell>
          <cell r="M1178">
            <v>5</v>
          </cell>
          <cell r="P1178">
            <v>9829622211</v>
          </cell>
        </row>
        <row r="1179">
          <cell r="C1179">
            <v>700</v>
          </cell>
          <cell r="D1179">
            <v>0</v>
          </cell>
          <cell r="E1179">
            <v>1000</v>
          </cell>
          <cell r="F1179">
            <v>78</v>
          </cell>
          <cell r="G1179">
            <v>700</v>
          </cell>
          <cell r="H1179">
            <v>139</v>
          </cell>
          <cell r="I1179">
            <v>472</v>
          </cell>
          <cell r="J1179">
            <v>0</v>
          </cell>
          <cell r="K1179">
            <v>2389</v>
          </cell>
          <cell r="L1179">
            <v>47200</v>
          </cell>
          <cell r="M1179">
            <v>5</v>
          </cell>
          <cell r="P1179">
            <v>9829622211</v>
          </cell>
        </row>
        <row r="1180">
          <cell r="C1180">
            <v>700</v>
          </cell>
          <cell r="D1180">
            <v>21</v>
          </cell>
          <cell r="E1180">
            <v>1000</v>
          </cell>
          <cell r="F1180">
            <v>78</v>
          </cell>
          <cell r="G1180">
            <v>2800</v>
          </cell>
          <cell r="H1180">
            <v>318</v>
          </cell>
          <cell r="I1180">
            <v>1972</v>
          </cell>
          <cell r="J1180">
            <v>0</v>
          </cell>
          <cell r="K1180">
            <v>6168</v>
          </cell>
          <cell r="L1180">
            <v>49300</v>
          </cell>
          <cell r="M1180">
            <v>5</v>
          </cell>
          <cell r="P1180">
            <v>9829622211</v>
          </cell>
        </row>
        <row r="1181">
          <cell r="C1181">
            <v>700</v>
          </cell>
          <cell r="D1181">
            <v>35</v>
          </cell>
          <cell r="E1181">
            <v>1000</v>
          </cell>
          <cell r="F1181">
            <v>78</v>
          </cell>
          <cell r="G1181">
            <v>2910</v>
          </cell>
          <cell r="H1181">
            <v>332</v>
          </cell>
          <cell r="I1181">
            <v>1976</v>
          </cell>
          <cell r="J1181">
            <v>0</v>
          </cell>
          <cell r="K1181">
            <v>6296</v>
          </cell>
          <cell r="L1181">
            <v>49410</v>
          </cell>
          <cell r="M1181">
            <v>5</v>
          </cell>
          <cell r="P1181">
            <v>9829622211</v>
          </cell>
        </row>
        <row r="1182">
          <cell r="C1182">
            <v>700</v>
          </cell>
          <cell r="D1182">
            <v>109</v>
          </cell>
          <cell r="E1182">
            <v>1000</v>
          </cell>
          <cell r="F1182">
            <v>78</v>
          </cell>
          <cell r="G1182">
            <v>3500</v>
          </cell>
          <cell r="H1182">
            <v>406</v>
          </cell>
          <cell r="I1182">
            <v>2000</v>
          </cell>
          <cell r="J1182">
            <v>0</v>
          </cell>
          <cell r="K1182">
            <v>6984</v>
          </cell>
          <cell r="L1182">
            <v>50000</v>
          </cell>
          <cell r="M1182">
            <v>5</v>
          </cell>
          <cell r="P1182">
            <v>9829622211</v>
          </cell>
        </row>
        <row r="1183">
          <cell r="C1183">
            <v>700</v>
          </cell>
          <cell r="D1183">
            <v>109</v>
          </cell>
          <cell r="E1183">
            <v>1000</v>
          </cell>
          <cell r="F1183">
            <v>78</v>
          </cell>
          <cell r="G1183">
            <v>3500</v>
          </cell>
          <cell r="H1183">
            <v>406</v>
          </cell>
          <cell r="I1183">
            <v>2000</v>
          </cell>
          <cell r="J1183">
            <v>0</v>
          </cell>
          <cell r="K1183">
            <v>6984</v>
          </cell>
          <cell r="L1183">
            <v>50000</v>
          </cell>
          <cell r="M1183">
            <v>5</v>
          </cell>
          <cell r="P1183">
            <v>9829622211</v>
          </cell>
        </row>
        <row r="1184">
          <cell r="C1184">
            <v>700</v>
          </cell>
          <cell r="D1184">
            <v>109</v>
          </cell>
          <cell r="E1184">
            <v>1000</v>
          </cell>
          <cell r="F1184">
            <v>78</v>
          </cell>
          <cell r="G1184">
            <v>3500</v>
          </cell>
          <cell r="H1184">
            <v>406</v>
          </cell>
          <cell r="I1184">
            <v>2000</v>
          </cell>
          <cell r="J1184">
            <v>0</v>
          </cell>
          <cell r="K1184">
            <v>6984</v>
          </cell>
          <cell r="L1184">
            <v>50000</v>
          </cell>
          <cell r="M1184">
            <v>5</v>
          </cell>
          <cell r="P1184">
            <v>9829622211</v>
          </cell>
        </row>
        <row r="1185">
          <cell r="C1185">
            <v>700</v>
          </cell>
          <cell r="D1185">
            <v>109</v>
          </cell>
          <cell r="E1185">
            <v>1000</v>
          </cell>
          <cell r="F1185">
            <v>78</v>
          </cell>
          <cell r="G1185">
            <v>3500</v>
          </cell>
          <cell r="H1185">
            <v>406</v>
          </cell>
          <cell r="I1185">
            <v>2000</v>
          </cell>
          <cell r="J1185">
            <v>0</v>
          </cell>
          <cell r="K1185">
            <v>6984</v>
          </cell>
          <cell r="L1185">
            <v>50000</v>
          </cell>
          <cell r="M1185">
            <v>5</v>
          </cell>
          <cell r="P1185">
            <v>9829622211</v>
          </cell>
        </row>
        <row r="1186">
          <cell r="C1186">
            <v>700</v>
          </cell>
          <cell r="D1186">
            <v>109</v>
          </cell>
          <cell r="E1186">
            <v>1000</v>
          </cell>
          <cell r="F1186">
            <v>78</v>
          </cell>
          <cell r="G1186">
            <v>3500</v>
          </cell>
          <cell r="H1186">
            <v>406</v>
          </cell>
          <cell r="I1186">
            <v>2000</v>
          </cell>
          <cell r="J1186">
            <v>0</v>
          </cell>
          <cell r="K1186">
            <v>6984</v>
          </cell>
          <cell r="L1186">
            <v>50000</v>
          </cell>
          <cell r="M1186">
            <v>5</v>
          </cell>
          <cell r="P1186">
            <v>9829622211</v>
          </cell>
        </row>
        <row r="1187">
          <cell r="C1187">
            <v>700</v>
          </cell>
          <cell r="D1187">
            <v>109</v>
          </cell>
          <cell r="E1187">
            <v>1000</v>
          </cell>
          <cell r="F1187">
            <v>78</v>
          </cell>
          <cell r="G1187">
            <v>3500</v>
          </cell>
          <cell r="H1187">
            <v>406</v>
          </cell>
          <cell r="I1187">
            <v>2000</v>
          </cell>
          <cell r="J1187">
            <v>0</v>
          </cell>
          <cell r="K1187">
            <v>6984</v>
          </cell>
          <cell r="L1187">
            <v>50000</v>
          </cell>
          <cell r="M1187">
            <v>5</v>
          </cell>
          <cell r="P1187">
            <v>9829622211</v>
          </cell>
        </row>
        <row r="1188">
          <cell r="C1188">
            <v>0</v>
          </cell>
          <cell r="D1188">
            <v>0</v>
          </cell>
          <cell r="E1188">
            <v>200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200</v>
          </cell>
          <cell r="L1188">
            <v>0</v>
          </cell>
          <cell r="M1188">
            <v>0</v>
          </cell>
          <cell r="P1188">
            <v>9929758899</v>
          </cell>
        </row>
        <row r="1189">
          <cell r="C1189">
            <v>0</v>
          </cell>
          <cell r="D1189">
            <v>0</v>
          </cell>
          <cell r="E1189">
            <v>200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200</v>
          </cell>
          <cell r="L1189">
            <v>0</v>
          </cell>
          <cell r="M1189">
            <v>0</v>
          </cell>
          <cell r="P1189">
            <v>8233531951</v>
          </cell>
        </row>
        <row r="1190">
          <cell r="C1190">
            <v>0</v>
          </cell>
          <cell r="D1190">
            <v>0</v>
          </cell>
          <cell r="E1190">
            <v>200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200</v>
          </cell>
          <cell r="L1190">
            <v>0</v>
          </cell>
          <cell r="M1190">
            <v>0</v>
          </cell>
          <cell r="P1190">
            <v>8233531951</v>
          </cell>
        </row>
        <row r="1191">
          <cell r="C1191">
            <v>0</v>
          </cell>
          <cell r="D1191">
            <v>0</v>
          </cell>
          <cell r="E1191">
            <v>200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200</v>
          </cell>
          <cell r="L1191">
            <v>0</v>
          </cell>
          <cell r="M1191">
            <v>0</v>
          </cell>
          <cell r="P1191">
            <v>8233531951</v>
          </cell>
        </row>
        <row r="1192">
          <cell r="C1192">
            <v>0</v>
          </cell>
          <cell r="D1192">
            <v>0</v>
          </cell>
          <cell r="E1192">
            <v>200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200</v>
          </cell>
          <cell r="L1192">
            <v>0</v>
          </cell>
          <cell r="M1192">
            <v>0</v>
          </cell>
          <cell r="P1192">
            <v>8233531951</v>
          </cell>
        </row>
        <row r="1193">
          <cell r="C1193">
            <v>0</v>
          </cell>
          <cell r="D1193">
            <v>0</v>
          </cell>
          <cell r="E1193">
            <v>200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200</v>
          </cell>
          <cell r="L1193">
            <v>0</v>
          </cell>
          <cell r="M1193">
            <v>0</v>
          </cell>
          <cell r="P1193">
            <v>7742515326</v>
          </cell>
        </row>
        <row r="1194">
          <cell r="C1194">
            <v>0</v>
          </cell>
          <cell r="D1194">
            <v>0</v>
          </cell>
          <cell r="E1194">
            <v>200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200</v>
          </cell>
          <cell r="L1194">
            <v>0</v>
          </cell>
          <cell r="M1194">
            <v>0</v>
          </cell>
          <cell r="P1194">
            <v>7742515326</v>
          </cell>
        </row>
        <row r="1195">
          <cell r="C1195">
            <v>0</v>
          </cell>
          <cell r="D1195">
            <v>0</v>
          </cell>
          <cell r="E1195">
            <v>200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200</v>
          </cell>
          <cell r="L1195">
            <v>0</v>
          </cell>
          <cell r="M1195">
            <v>0</v>
          </cell>
          <cell r="P1195">
            <v>7742515326</v>
          </cell>
        </row>
        <row r="1196">
          <cell r="C1196">
            <v>0</v>
          </cell>
          <cell r="D1196">
            <v>0</v>
          </cell>
          <cell r="E1196">
            <v>200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200</v>
          </cell>
          <cell r="L1196">
            <v>0</v>
          </cell>
          <cell r="M1196">
            <v>0</v>
          </cell>
          <cell r="P1196">
            <v>7742515326</v>
          </cell>
        </row>
        <row r="1197">
          <cell r="C1197">
            <v>500</v>
          </cell>
          <cell r="D1197">
            <v>0</v>
          </cell>
          <cell r="E1197">
            <v>200</v>
          </cell>
          <cell r="F1197">
            <v>0</v>
          </cell>
          <cell r="G1197">
            <v>412</v>
          </cell>
          <cell r="H1197">
            <v>0</v>
          </cell>
          <cell r="I1197">
            <v>189</v>
          </cell>
          <cell r="J1197">
            <v>0</v>
          </cell>
          <cell r="K1197">
            <v>801</v>
          </cell>
          <cell r="L1197">
            <v>18912</v>
          </cell>
          <cell r="M1197">
            <v>3</v>
          </cell>
          <cell r="P1197">
            <v>9782865220</v>
          </cell>
        </row>
        <row r="1198">
          <cell r="C1198">
            <v>0</v>
          </cell>
          <cell r="D1198">
            <v>0</v>
          </cell>
          <cell r="E1198">
            <v>200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200</v>
          </cell>
          <cell r="L1198">
            <v>0</v>
          </cell>
          <cell r="M1198">
            <v>0</v>
          </cell>
          <cell r="P1198">
            <v>9782865220</v>
          </cell>
        </row>
        <row r="1199">
          <cell r="C1199">
            <v>3400</v>
          </cell>
          <cell r="D1199">
            <v>0</v>
          </cell>
          <cell r="E1199">
            <v>200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200</v>
          </cell>
          <cell r="L1199">
            <v>0</v>
          </cell>
          <cell r="M1199">
            <v>0</v>
          </cell>
          <cell r="P1199">
            <v>9828702457</v>
          </cell>
        </row>
        <row r="1200">
          <cell r="C1200">
            <v>4500</v>
          </cell>
          <cell r="D1200">
            <v>0</v>
          </cell>
          <cell r="E1200">
            <v>200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200</v>
          </cell>
          <cell r="L1200">
            <v>0</v>
          </cell>
          <cell r="M1200">
            <v>0</v>
          </cell>
          <cell r="P1200">
            <v>9828702457</v>
          </cell>
        </row>
        <row r="1201">
          <cell r="C1201">
            <v>4500</v>
          </cell>
          <cell r="D1201">
            <v>0</v>
          </cell>
          <cell r="E1201">
            <v>200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200</v>
          </cell>
          <cell r="L1201">
            <v>0</v>
          </cell>
          <cell r="M1201">
            <v>0</v>
          </cell>
          <cell r="P1201">
            <v>9828702457</v>
          </cell>
        </row>
        <row r="1202">
          <cell r="C1202">
            <v>1000</v>
          </cell>
          <cell r="D1202">
            <v>0</v>
          </cell>
          <cell r="E1202">
            <v>200</v>
          </cell>
          <cell r="F1202">
            <v>0</v>
          </cell>
          <cell r="G1202">
            <v>1000</v>
          </cell>
          <cell r="H1202">
            <v>0</v>
          </cell>
          <cell r="I1202">
            <v>180</v>
          </cell>
          <cell r="J1202">
            <v>0</v>
          </cell>
          <cell r="K1202">
            <v>1380</v>
          </cell>
          <cell r="L1202">
            <v>18000</v>
          </cell>
          <cell r="M1202">
            <v>3</v>
          </cell>
          <cell r="P1202">
            <v>8005850367</v>
          </cell>
        </row>
        <row r="1203">
          <cell r="C1203">
            <v>1000</v>
          </cell>
          <cell r="D1203">
            <v>0</v>
          </cell>
          <cell r="E1203">
            <v>200</v>
          </cell>
          <cell r="F1203">
            <v>0</v>
          </cell>
          <cell r="G1203">
            <v>1000</v>
          </cell>
          <cell r="H1203">
            <v>0</v>
          </cell>
          <cell r="I1203">
            <v>180</v>
          </cell>
          <cell r="J1203">
            <v>0</v>
          </cell>
          <cell r="K1203">
            <v>1380</v>
          </cell>
          <cell r="L1203">
            <v>18000</v>
          </cell>
          <cell r="M1203">
            <v>3</v>
          </cell>
          <cell r="P1203">
            <v>8005850367</v>
          </cell>
        </row>
        <row r="1204">
          <cell r="C1204">
            <v>1000</v>
          </cell>
          <cell r="D1204">
            <v>0</v>
          </cell>
          <cell r="E1204">
            <v>200</v>
          </cell>
          <cell r="F1204">
            <v>0</v>
          </cell>
          <cell r="G1204">
            <v>1000</v>
          </cell>
          <cell r="H1204">
            <v>0</v>
          </cell>
          <cell r="I1204">
            <v>180</v>
          </cell>
          <cell r="J1204">
            <v>0</v>
          </cell>
          <cell r="K1204">
            <v>1380</v>
          </cell>
          <cell r="L1204">
            <v>18000</v>
          </cell>
          <cell r="M1204">
            <v>3</v>
          </cell>
          <cell r="P1204">
            <v>8005850367</v>
          </cell>
        </row>
        <row r="1205">
          <cell r="C1205">
            <v>4500</v>
          </cell>
          <cell r="D1205">
            <v>0</v>
          </cell>
          <cell r="E1205">
            <v>200</v>
          </cell>
          <cell r="F1205">
            <v>0</v>
          </cell>
          <cell r="G1205">
            <v>0</v>
          </cell>
          <cell r="H1205">
            <v>0</v>
          </cell>
          <cell r="I1205">
            <v>40</v>
          </cell>
          <cell r="J1205">
            <v>0</v>
          </cell>
          <cell r="K1205">
            <v>240</v>
          </cell>
          <cell r="L1205">
            <v>3953</v>
          </cell>
          <cell r="M1205">
            <v>5</v>
          </cell>
          <cell r="P1205">
            <v>7792847541</v>
          </cell>
        </row>
        <row r="1206">
          <cell r="C1206">
            <v>4500</v>
          </cell>
          <cell r="D1206">
            <v>0</v>
          </cell>
          <cell r="E1206">
            <v>200</v>
          </cell>
          <cell r="F1206">
            <v>0</v>
          </cell>
          <cell r="G1206">
            <v>0</v>
          </cell>
          <cell r="H1206">
            <v>0</v>
          </cell>
          <cell r="I1206">
            <v>40</v>
          </cell>
          <cell r="J1206">
            <v>0</v>
          </cell>
          <cell r="K1206">
            <v>240</v>
          </cell>
          <cell r="L1206">
            <v>4000</v>
          </cell>
          <cell r="M1206">
            <v>5</v>
          </cell>
          <cell r="P1206">
            <v>7792847541</v>
          </cell>
        </row>
        <row r="1207">
          <cell r="C1207">
            <v>0</v>
          </cell>
          <cell r="D1207">
            <v>0</v>
          </cell>
          <cell r="E1207">
            <v>200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200</v>
          </cell>
          <cell r="L1207">
            <v>0</v>
          </cell>
          <cell r="M1207">
            <v>0</v>
          </cell>
          <cell r="P1207">
            <v>9352230042</v>
          </cell>
        </row>
        <row r="1208">
          <cell r="C1208">
            <v>4500</v>
          </cell>
          <cell r="D1208">
            <v>0</v>
          </cell>
          <cell r="E1208">
            <v>200</v>
          </cell>
          <cell r="F1208">
            <v>0</v>
          </cell>
          <cell r="G1208">
            <v>0</v>
          </cell>
          <cell r="H1208">
            <v>0</v>
          </cell>
          <cell r="I1208">
            <v>37</v>
          </cell>
          <cell r="J1208">
            <v>0</v>
          </cell>
          <cell r="K1208">
            <v>237</v>
          </cell>
          <cell r="L1208">
            <v>3741</v>
          </cell>
          <cell r="M1208">
            <v>5</v>
          </cell>
          <cell r="P1208">
            <v>9352230042</v>
          </cell>
        </row>
        <row r="1209">
          <cell r="C1209">
            <v>4500</v>
          </cell>
          <cell r="D1209">
            <v>0</v>
          </cell>
          <cell r="E1209">
            <v>200</v>
          </cell>
          <cell r="F1209">
            <v>0</v>
          </cell>
          <cell r="G1209">
            <v>500</v>
          </cell>
          <cell r="H1209">
            <v>0</v>
          </cell>
          <cell r="I1209">
            <v>50</v>
          </cell>
          <cell r="J1209">
            <v>0</v>
          </cell>
          <cell r="K1209">
            <v>750</v>
          </cell>
          <cell r="L1209">
            <v>5000</v>
          </cell>
          <cell r="M1209">
            <v>5</v>
          </cell>
          <cell r="P1209">
            <v>9352230042</v>
          </cell>
        </row>
        <row r="1210">
          <cell r="C1210">
            <v>4500</v>
          </cell>
          <cell r="D1210">
            <v>0</v>
          </cell>
          <cell r="E1210">
            <v>200</v>
          </cell>
          <cell r="F1210">
            <v>2</v>
          </cell>
          <cell r="G1210">
            <v>0</v>
          </cell>
          <cell r="H1210">
            <v>0</v>
          </cell>
          <cell r="I1210">
            <v>39</v>
          </cell>
          <cell r="J1210">
            <v>0</v>
          </cell>
          <cell r="K1210">
            <v>241</v>
          </cell>
          <cell r="L1210">
            <v>3901</v>
          </cell>
          <cell r="M1210">
            <v>5</v>
          </cell>
          <cell r="P1210">
            <v>9660434069</v>
          </cell>
        </row>
        <row r="1211">
          <cell r="C1211">
            <v>4500</v>
          </cell>
          <cell r="D1211">
            <v>0</v>
          </cell>
          <cell r="E1211">
            <v>200</v>
          </cell>
          <cell r="F1211">
            <v>2</v>
          </cell>
          <cell r="G1211">
            <v>500</v>
          </cell>
          <cell r="H1211">
            <v>1</v>
          </cell>
          <cell r="I1211">
            <v>50</v>
          </cell>
          <cell r="J1211">
            <v>0</v>
          </cell>
          <cell r="K1211">
            <v>753</v>
          </cell>
          <cell r="L1211">
            <v>5000</v>
          </cell>
          <cell r="M1211">
            <v>5</v>
          </cell>
          <cell r="P1211">
            <v>9660434069</v>
          </cell>
        </row>
        <row r="1212">
          <cell r="C1212">
            <v>2000</v>
          </cell>
          <cell r="D1212">
            <v>0</v>
          </cell>
          <cell r="E1212">
            <v>200</v>
          </cell>
          <cell r="F1212">
            <v>0</v>
          </cell>
          <cell r="G1212">
            <v>2000</v>
          </cell>
          <cell r="H1212">
            <v>0</v>
          </cell>
          <cell r="I1212">
            <v>200</v>
          </cell>
          <cell r="J1212">
            <v>0</v>
          </cell>
          <cell r="K1212">
            <v>2400</v>
          </cell>
          <cell r="L1212">
            <v>20000</v>
          </cell>
          <cell r="M1212">
            <v>1</v>
          </cell>
          <cell r="P1212">
            <v>8824990821</v>
          </cell>
        </row>
        <row r="1213">
          <cell r="C1213">
            <v>0</v>
          </cell>
          <cell r="D1213">
            <v>0</v>
          </cell>
          <cell r="E1213">
            <v>200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200</v>
          </cell>
          <cell r="L1213">
            <v>0</v>
          </cell>
          <cell r="M1213">
            <v>0</v>
          </cell>
          <cell r="P1213">
            <v>8949034594</v>
          </cell>
        </row>
        <row r="1214">
          <cell r="C1214">
            <v>0</v>
          </cell>
          <cell r="D1214">
            <v>0</v>
          </cell>
          <cell r="E1214">
            <v>200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200</v>
          </cell>
          <cell r="L1214">
            <v>0</v>
          </cell>
          <cell r="M1214">
            <v>0</v>
          </cell>
          <cell r="P1214">
            <v>8949034594</v>
          </cell>
        </row>
        <row r="1215">
          <cell r="C1215">
            <v>0</v>
          </cell>
          <cell r="D1215">
            <v>0</v>
          </cell>
          <cell r="E1215">
            <v>200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200</v>
          </cell>
          <cell r="L1215">
            <v>0</v>
          </cell>
          <cell r="M1215">
            <v>0</v>
          </cell>
          <cell r="P1215">
            <v>8209131043</v>
          </cell>
        </row>
        <row r="1216">
          <cell r="C1216">
            <v>0</v>
          </cell>
          <cell r="D1216">
            <v>0</v>
          </cell>
          <cell r="E1216">
            <v>200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200</v>
          </cell>
          <cell r="L1216">
            <v>0</v>
          </cell>
          <cell r="M1216">
            <v>0</v>
          </cell>
          <cell r="P1216">
            <v>8209131043</v>
          </cell>
        </row>
        <row r="1217">
          <cell r="C1217">
            <v>0</v>
          </cell>
          <cell r="D1217">
            <v>0</v>
          </cell>
          <cell r="E1217">
            <v>200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0</v>
          </cell>
          <cell r="K1217">
            <v>200</v>
          </cell>
          <cell r="L1217">
            <v>0</v>
          </cell>
          <cell r="M1217">
            <v>0</v>
          </cell>
          <cell r="P1217">
            <v>8209131043</v>
          </cell>
        </row>
        <row r="1218">
          <cell r="C1218">
            <v>4500</v>
          </cell>
          <cell r="D1218">
            <v>0</v>
          </cell>
          <cell r="E1218">
            <v>200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200</v>
          </cell>
          <cell r="L1218">
            <v>0</v>
          </cell>
          <cell r="M1218">
            <v>0</v>
          </cell>
          <cell r="P1218">
            <v>8949821092</v>
          </cell>
        </row>
        <row r="1219">
          <cell r="C1219">
            <v>4500</v>
          </cell>
          <cell r="D1219">
            <v>0</v>
          </cell>
          <cell r="E1219">
            <v>200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200</v>
          </cell>
          <cell r="L1219">
            <v>0</v>
          </cell>
          <cell r="M1219">
            <v>0</v>
          </cell>
          <cell r="P1219">
            <v>8949821092</v>
          </cell>
        </row>
        <row r="1220">
          <cell r="C1220">
            <v>4500</v>
          </cell>
          <cell r="D1220">
            <v>0</v>
          </cell>
          <cell r="E1220">
            <v>200</v>
          </cell>
          <cell r="F1220">
            <v>0</v>
          </cell>
          <cell r="G1220">
            <v>150</v>
          </cell>
          <cell r="H1220">
            <v>0</v>
          </cell>
          <cell r="I1220">
            <v>47</v>
          </cell>
          <cell r="J1220">
            <v>0</v>
          </cell>
          <cell r="K1220">
            <v>397</v>
          </cell>
          <cell r="L1220">
            <v>4650</v>
          </cell>
          <cell r="M1220">
            <v>5</v>
          </cell>
          <cell r="P1220">
            <v>8949821092</v>
          </cell>
        </row>
        <row r="1221">
          <cell r="C1221">
            <v>0</v>
          </cell>
          <cell r="D1221">
            <v>64</v>
          </cell>
          <cell r="E1221">
            <v>969</v>
          </cell>
          <cell r="F1221">
            <v>75</v>
          </cell>
          <cell r="G1221">
            <v>0</v>
          </cell>
          <cell r="H1221">
            <v>364</v>
          </cell>
          <cell r="I1221">
            <v>4660</v>
          </cell>
          <cell r="J1221">
            <v>0</v>
          </cell>
          <cell r="K1221">
            <v>6068</v>
          </cell>
          <cell r="L1221">
            <v>93200</v>
          </cell>
          <cell r="M1221">
            <v>5</v>
          </cell>
          <cell r="P1221">
            <v>9636762405</v>
          </cell>
        </row>
        <row r="1222">
          <cell r="C1222">
            <v>0</v>
          </cell>
          <cell r="D1222">
            <v>0</v>
          </cell>
          <cell r="E1222">
            <v>200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200</v>
          </cell>
          <cell r="L1222">
            <v>0</v>
          </cell>
          <cell r="M1222">
            <v>0</v>
          </cell>
          <cell r="P1222">
            <v>8963824354</v>
          </cell>
        </row>
        <row r="1223">
          <cell r="C1223">
            <v>0</v>
          </cell>
          <cell r="D1223">
            <v>0</v>
          </cell>
          <cell r="E1223">
            <v>200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200</v>
          </cell>
          <cell r="L1223">
            <v>0</v>
          </cell>
          <cell r="M1223">
            <v>0</v>
          </cell>
          <cell r="P1223">
            <v>8963824354</v>
          </cell>
        </row>
        <row r="1224">
          <cell r="C1224">
            <v>0</v>
          </cell>
          <cell r="D1224">
            <v>0</v>
          </cell>
          <cell r="E1224">
            <v>200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200</v>
          </cell>
          <cell r="L1224">
            <v>0</v>
          </cell>
          <cell r="M1224">
            <v>0</v>
          </cell>
          <cell r="P1224">
            <v>8963824354</v>
          </cell>
        </row>
        <row r="1225">
          <cell r="C1225">
            <v>0</v>
          </cell>
          <cell r="D1225">
            <v>0</v>
          </cell>
          <cell r="E1225">
            <v>200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200</v>
          </cell>
          <cell r="L1225">
            <v>0</v>
          </cell>
          <cell r="M1225">
            <v>0</v>
          </cell>
          <cell r="P1225">
            <v>8963824354</v>
          </cell>
        </row>
        <row r="1226">
          <cell r="C1226">
            <v>0</v>
          </cell>
          <cell r="D1226">
            <v>0</v>
          </cell>
          <cell r="E1226">
            <v>200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200</v>
          </cell>
          <cell r="L1226">
            <v>0</v>
          </cell>
          <cell r="M1226">
            <v>0</v>
          </cell>
          <cell r="P1226">
            <v>8963824354</v>
          </cell>
        </row>
        <row r="1227">
          <cell r="C1227">
            <v>0</v>
          </cell>
          <cell r="D1227">
            <v>0</v>
          </cell>
          <cell r="E1227">
            <v>200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200</v>
          </cell>
          <cell r="L1227">
            <v>0</v>
          </cell>
          <cell r="M1227">
            <v>0</v>
          </cell>
          <cell r="P1227">
            <v>9667302838</v>
          </cell>
        </row>
        <row r="1228">
          <cell r="C1228">
            <v>0</v>
          </cell>
          <cell r="D1228">
            <v>0</v>
          </cell>
          <cell r="E1228">
            <v>200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200</v>
          </cell>
          <cell r="L1228">
            <v>0</v>
          </cell>
          <cell r="M1228">
            <v>0</v>
          </cell>
          <cell r="P1228">
            <v>9667302838</v>
          </cell>
        </row>
        <row r="1229">
          <cell r="C1229">
            <v>500</v>
          </cell>
          <cell r="D1229">
            <v>0</v>
          </cell>
          <cell r="E1229">
            <v>200</v>
          </cell>
          <cell r="F1229">
            <v>0</v>
          </cell>
          <cell r="G1229">
            <v>500</v>
          </cell>
          <cell r="H1229">
            <v>0</v>
          </cell>
          <cell r="I1229">
            <v>185</v>
          </cell>
          <cell r="J1229">
            <v>0</v>
          </cell>
          <cell r="K1229">
            <v>885</v>
          </cell>
          <cell r="L1229">
            <v>18500</v>
          </cell>
          <cell r="M1229">
            <v>4</v>
          </cell>
          <cell r="P1229">
            <v>8949606003</v>
          </cell>
        </row>
        <row r="1230">
          <cell r="C1230">
            <v>500</v>
          </cell>
          <cell r="D1230">
            <v>0</v>
          </cell>
          <cell r="E1230">
            <v>200</v>
          </cell>
          <cell r="F1230">
            <v>0</v>
          </cell>
          <cell r="G1230">
            <v>500</v>
          </cell>
          <cell r="H1230">
            <v>0</v>
          </cell>
          <cell r="I1230">
            <v>185</v>
          </cell>
          <cell r="J1230">
            <v>0</v>
          </cell>
          <cell r="K1230">
            <v>885</v>
          </cell>
          <cell r="L1230">
            <v>18500</v>
          </cell>
          <cell r="M1230">
            <v>4</v>
          </cell>
          <cell r="P1230">
            <v>8949606003</v>
          </cell>
        </row>
        <row r="1231">
          <cell r="C1231">
            <v>500</v>
          </cell>
          <cell r="D1231">
            <v>0</v>
          </cell>
          <cell r="E1231">
            <v>200</v>
          </cell>
          <cell r="F1231">
            <v>0</v>
          </cell>
          <cell r="G1231">
            <v>500</v>
          </cell>
          <cell r="H1231">
            <v>0</v>
          </cell>
          <cell r="I1231">
            <v>185</v>
          </cell>
          <cell r="J1231">
            <v>0</v>
          </cell>
          <cell r="K1231">
            <v>885</v>
          </cell>
          <cell r="L1231">
            <v>18500</v>
          </cell>
          <cell r="M1231">
            <v>4</v>
          </cell>
          <cell r="P1231">
            <v>8949606003</v>
          </cell>
        </row>
        <row r="1232">
          <cell r="C1232">
            <v>500</v>
          </cell>
          <cell r="D1232">
            <v>0</v>
          </cell>
          <cell r="E1232">
            <v>200</v>
          </cell>
          <cell r="F1232">
            <v>0</v>
          </cell>
          <cell r="G1232">
            <v>500</v>
          </cell>
          <cell r="H1232">
            <v>0</v>
          </cell>
          <cell r="I1232">
            <v>185</v>
          </cell>
          <cell r="J1232">
            <v>0</v>
          </cell>
          <cell r="K1232">
            <v>885</v>
          </cell>
          <cell r="L1232">
            <v>18500</v>
          </cell>
          <cell r="M1232">
            <v>4</v>
          </cell>
          <cell r="P1232">
            <v>8949606003</v>
          </cell>
        </row>
        <row r="1233">
          <cell r="C1233">
            <v>500</v>
          </cell>
          <cell r="D1233">
            <v>0</v>
          </cell>
          <cell r="E1233">
            <v>200</v>
          </cell>
          <cell r="F1233">
            <v>0</v>
          </cell>
          <cell r="G1233">
            <v>500</v>
          </cell>
          <cell r="H1233">
            <v>0</v>
          </cell>
          <cell r="I1233">
            <v>185</v>
          </cell>
          <cell r="J1233">
            <v>0</v>
          </cell>
          <cell r="K1233">
            <v>885</v>
          </cell>
          <cell r="L1233">
            <v>18500</v>
          </cell>
          <cell r="M1233">
            <v>4</v>
          </cell>
          <cell r="P1233">
            <v>8949606003</v>
          </cell>
        </row>
        <row r="1234">
          <cell r="C1234">
            <v>500</v>
          </cell>
          <cell r="D1234">
            <v>0</v>
          </cell>
          <cell r="E1234">
            <v>200</v>
          </cell>
          <cell r="F1234">
            <v>0</v>
          </cell>
          <cell r="G1234">
            <v>500</v>
          </cell>
          <cell r="H1234">
            <v>0</v>
          </cell>
          <cell r="I1234">
            <v>190</v>
          </cell>
          <cell r="J1234">
            <v>0</v>
          </cell>
          <cell r="K1234">
            <v>890</v>
          </cell>
          <cell r="L1234">
            <v>19000</v>
          </cell>
          <cell r="M1234">
            <v>3</v>
          </cell>
          <cell r="P1234">
            <v>8949606003</v>
          </cell>
        </row>
        <row r="1235">
          <cell r="C1235">
            <v>500</v>
          </cell>
          <cell r="D1235">
            <v>0</v>
          </cell>
          <cell r="E1235">
            <v>200</v>
          </cell>
          <cell r="F1235">
            <v>0</v>
          </cell>
          <cell r="G1235">
            <v>500</v>
          </cell>
          <cell r="H1235">
            <v>0</v>
          </cell>
          <cell r="I1235">
            <v>190</v>
          </cell>
          <cell r="J1235">
            <v>0</v>
          </cell>
          <cell r="K1235">
            <v>890</v>
          </cell>
          <cell r="L1235">
            <v>19000</v>
          </cell>
          <cell r="M1235">
            <v>3</v>
          </cell>
          <cell r="P1235">
            <v>8949606003</v>
          </cell>
        </row>
        <row r="1236">
          <cell r="C1236">
            <v>0</v>
          </cell>
          <cell r="D1236">
            <v>0</v>
          </cell>
          <cell r="E1236">
            <v>200</v>
          </cell>
          <cell r="F1236">
            <v>0</v>
          </cell>
          <cell r="G1236">
            <v>0</v>
          </cell>
          <cell r="H1236">
            <v>0</v>
          </cell>
          <cell r="I1236">
            <v>160</v>
          </cell>
          <cell r="J1236">
            <v>0</v>
          </cell>
          <cell r="K1236">
            <v>360</v>
          </cell>
          <cell r="L1236">
            <v>16000</v>
          </cell>
          <cell r="M1236">
            <v>2</v>
          </cell>
          <cell r="P1236">
            <v>9829966338</v>
          </cell>
        </row>
        <row r="1237">
          <cell r="C1237">
            <v>0</v>
          </cell>
          <cell r="D1237">
            <v>0</v>
          </cell>
          <cell r="E1237">
            <v>200</v>
          </cell>
          <cell r="F1237">
            <v>0</v>
          </cell>
          <cell r="G1237">
            <v>0</v>
          </cell>
          <cell r="H1237">
            <v>2</v>
          </cell>
          <cell r="I1237">
            <v>180</v>
          </cell>
          <cell r="J1237">
            <v>0</v>
          </cell>
          <cell r="K1237">
            <v>382</v>
          </cell>
          <cell r="L1237">
            <v>18000</v>
          </cell>
          <cell r="M1237">
            <v>2</v>
          </cell>
          <cell r="P1237">
            <v>9829966338</v>
          </cell>
        </row>
        <row r="1238">
          <cell r="C1238">
            <v>0</v>
          </cell>
          <cell r="D1238">
            <v>0</v>
          </cell>
          <cell r="E1238">
            <v>200</v>
          </cell>
          <cell r="F1238">
            <v>0</v>
          </cell>
          <cell r="G1238">
            <v>0</v>
          </cell>
          <cell r="H1238">
            <v>2</v>
          </cell>
          <cell r="I1238">
            <v>180</v>
          </cell>
          <cell r="J1238">
            <v>0</v>
          </cell>
          <cell r="K1238">
            <v>382</v>
          </cell>
          <cell r="L1238">
            <v>18000</v>
          </cell>
          <cell r="M1238">
            <v>2</v>
          </cell>
          <cell r="P1238">
            <v>9829966338</v>
          </cell>
        </row>
        <row r="1239">
          <cell r="C1239">
            <v>4300</v>
          </cell>
          <cell r="D1239">
            <v>0</v>
          </cell>
          <cell r="E1239">
            <v>200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200</v>
          </cell>
          <cell r="L1239">
            <v>0</v>
          </cell>
          <cell r="M1239">
            <v>0</v>
          </cell>
          <cell r="P1239">
            <v>9829108201</v>
          </cell>
        </row>
        <row r="1240">
          <cell r="C1240">
            <v>4500</v>
          </cell>
          <cell r="D1240">
            <v>0</v>
          </cell>
          <cell r="E1240">
            <v>200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200</v>
          </cell>
          <cell r="L1240">
            <v>0</v>
          </cell>
          <cell r="M1240">
            <v>0</v>
          </cell>
          <cell r="P1240">
            <v>9829108201</v>
          </cell>
        </row>
        <row r="1241">
          <cell r="C1241">
            <v>4500</v>
          </cell>
          <cell r="D1241">
            <v>0</v>
          </cell>
          <cell r="E1241">
            <v>200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200</v>
          </cell>
          <cell r="L1241">
            <v>0</v>
          </cell>
          <cell r="M1241">
            <v>0</v>
          </cell>
          <cell r="P1241">
            <v>9829108201</v>
          </cell>
        </row>
        <row r="1242">
          <cell r="C1242">
            <v>4500</v>
          </cell>
          <cell r="D1242">
            <v>0</v>
          </cell>
          <cell r="E1242">
            <v>200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200</v>
          </cell>
          <cell r="L1242">
            <v>0</v>
          </cell>
          <cell r="M1242">
            <v>0</v>
          </cell>
          <cell r="P1242">
            <v>9829108201</v>
          </cell>
        </row>
        <row r="1243">
          <cell r="C1243">
            <v>4500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P1243">
            <v>9829108201</v>
          </cell>
        </row>
        <row r="1244">
          <cell r="C1244">
            <v>0</v>
          </cell>
          <cell r="D1244">
            <v>0</v>
          </cell>
          <cell r="E1244">
            <v>200</v>
          </cell>
          <cell r="F1244">
            <v>2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202</v>
          </cell>
          <cell r="L1244">
            <v>0</v>
          </cell>
          <cell r="M1244">
            <v>0</v>
          </cell>
          <cell r="P1244">
            <v>7742360357</v>
          </cell>
        </row>
        <row r="1245">
          <cell r="C1245">
            <v>0</v>
          </cell>
          <cell r="D1245">
            <v>0</v>
          </cell>
          <cell r="E1245">
            <v>200</v>
          </cell>
          <cell r="F1245">
            <v>2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202</v>
          </cell>
          <cell r="L1245">
            <v>0</v>
          </cell>
          <cell r="M1245">
            <v>0</v>
          </cell>
          <cell r="P1245">
            <v>7742360357</v>
          </cell>
        </row>
        <row r="1246">
          <cell r="C1246">
            <v>0</v>
          </cell>
          <cell r="D1246">
            <v>0</v>
          </cell>
          <cell r="E1246">
            <v>200</v>
          </cell>
          <cell r="F1246">
            <v>2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202</v>
          </cell>
          <cell r="L1246">
            <v>0</v>
          </cell>
          <cell r="M1246">
            <v>0</v>
          </cell>
          <cell r="P1246">
            <v>7742360357</v>
          </cell>
        </row>
        <row r="1247">
          <cell r="C1247">
            <v>4500</v>
          </cell>
          <cell r="D1247">
            <v>0</v>
          </cell>
          <cell r="E1247">
            <v>200</v>
          </cell>
          <cell r="F1247">
            <v>0</v>
          </cell>
          <cell r="G1247">
            <v>500</v>
          </cell>
          <cell r="H1247">
            <v>0</v>
          </cell>
          <cell r="I1247">
            <v>50</v>
          </cell>
          <cell r="J1247">
            <v>0</v>
          </cell>
          <cell r="K1247">
            <v>750</v>
          </cell>
          <cell r="L1247">
            <v>5000</v>
          </cell>
          <cell r="M1247">
            <v>5</v>
          </cell>
          <cell r="P1247">
            <v>9983266659</v>
          </cell>
        </row>
        <row r="1248">
          <cell r="C1248">
            <v>4500</v>
          </cell>
          <cell r="D1248">
            <v>0</v>
          </cell>
          <cell r="E1248">
            <v>200</v>
          </cell>
          <cell r="F1248">
            <v>0</v>
          </cell>
          <cell r="G1248">
            <v>500</v>
          </cell>
          <cell r="H1248">
            <v>0</v>
          </cell>
          <cell r="I1248">
            <v>50</v>
          </cell>
          <cell r="J1248">
            <v>0</v>
          </cell>
          <cell r="K1248">
            <v>750</v>
          </cell>
          <cell r="L1248">
            <v>5000</v>
          </cell>
          <cell r="M1248">
            <v>5</v>
          </cell>
          <cell r="P1248">
            <v>9983266659</v>
          </cell>
        </row>
        <row r="1249">
          <cell r="C1249">
            <v>4500</v>
          </cell>
          <cell r="D1249">
            <v>0</v>
          </cell>
          <cell r="E1249">
            <v>200</v>
          </cell>
          <cell r="F1249">
            <v>0</v>
          </cell>
          <cell r="G1249">
            <v>500</v>
          </cell>
          <cell r="H1249">
            <v>0</v>
          </cell>
          <cell r="I1249">
            <v>50</v>
          </cell>
          <cell r="J1249">
            <v>0</v>
          </cell>
          <cell r="K1249">
            <v>750</v>
          </cell>
          <cell r="L1249">
            <v>5000</v>
          </cell>
          <cell r="M1249">
            <v>5</v>
          </cell>
          <cell r="P1249">
            <v>9983266659</v>
          </cell>
        </row>
        <row r="1250">
          <cell r="C1250">
            <v>4500</v>
          </cell>
          <cell r="D1250">
            <v>0</v>
          </cell>
          <cell r="E1250">
            <v>200</v>
          </cell>
          <cell r="F1250">
            <v>0</v>
          </cell>
          <cell r="G1250">
            <v>500</v>
          </cell>
          <cell r="H1250">
            <v>0</v>
          </cell>
          <cell r="I1250">
            <v>50</v>
          </cell>
          <cell r="J1250">
            <v>0</v>
          </cell>
          <cell r="K1250">
            <v>750</v>
          </cell>
          <cell r="L1250">
            <v>5000</v>
          </cell>
          <cell r="M1250">
            <v>5</v>
          </cell>
          <cell r="P1250">
            <v>9314110308</v>
          </cell>
        </row>
        <row r="1251">
          <cell r="C1251">
            <v>4500</v>
          </cell>
          <cell r="D1251">
            <v>0</v>
          </cell>
          <cell r="E1251">
            <v>200</v>
          </cell>
          <cell r="F1251">
            <v>0</v>
          </cell>
          <cell r="G1251">
            <v>500</v>
          </cell>
          <cell r="H1251">
            <v>0</v>
          </cell>
          <cell r="I1251">
            <v>50</v>
          </cell>
          <cell r="J1251">
            <v>0</v>
          </cell>
          <cell r="K1251">
            <v>750</v>
          </cell>
          <cell r="L1251">
            <v>5000</v>
          </cell>
          <cell r="M1251">
            <v>5</v>
          </cell>
          <cell r="P1251">
            <v>9314110308</v>
          </cell>
        </row>
        <row r="1252">
          <cell r="C1252">
            <v>4500</v>
          </cell>
          <cell r="D1252">
            <v>0</v>
          </cell>
          <cell r="E1252">
            <v>200</v>
          </cell>
          <cell r="F1252">
            <v>0</v>
          </cell>
          <cell r="G1252">
            <v>500</v>
          </cell>
          <cell r="H1252">
            <v>0</v>
          </cell>
          <cell r="I1252">
            <v>50</v>
          </cell>
          <cell r="J1252">
            <v>0</v>
          </cell>
          <cell r="K1252">
            <v>750</v>
          </cell>
          <cell r="L1252">
            <v>5000</v>
          </cell>
          <cell r="M1252">
            <v>5</v>
          </cell>
          <cell r="P1252">
            <v>9314110308</v>
          </cell>
        </row>
        <row r="1253">
          <cell r="C1253">
            <v>4500</v>
          </cell>
          <cell r="D1253">
            <v>0</v>
          </cell>
          <cell r="E1253">
            <v>200</v>
          </cell>
          <cell r="F1253">
            <v>0</v>
          </cell>
          <cell r="G1253">
            <v>0</v>
          </cell>
          <cell r="H1253">
            <v>0</v>
          </cell>
          <cell r="I1253">
            <v>40</v>
          </cell>
          <cell r="J1253">
            <v>0</v>
          </cell>
          <cell r="K1253">
            <v>240</v>
          </cell>
          <cell r="L1253">
            <v>3966</v>
          </cell>
          <cell r="M1253">
            <v>5</v>
          </cell>
          <cell r="P1253">
            <v>9314110308</v>
          </cell>
        </row>
        <row r="1254">
          <cell r="C1254">
            <v>4500</v>
          </cell>
          <cell r="D1254">
            <v>0</v>
          </cell>
          <cell r="E1254">
            <v>200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200</v>
          </cell>
          <cell r="L1254">
            <v>0</v>
          </cell>
          <cell r="M1254">
            <v>0</v>
          </cell>
          <cell r="P1254">
            <v>9314110308</v>
          </cell>
        </row>
        <row r="1255">
          <cell r="C1255">
            <v>1000</v>
          </cell>
          <cell r="D1255">
            <v>0</v>
          </cell>
          <cell r="E1255">
            <v>200</v>
          </cell>
          <cell r="F1255">
            <v>0</v>
          </cell>
          <cell r="G1255">
            <v>1000</v>
          </cell>
          <cell r="H1255">
            <v>0</v>
          </cell>
          <cell r="I1255">
            <v>200</v>
          </cell>
          <cell r="J1255">
            <v>0</v>
          </cell>
          <cell r="K1255">
            <v>1400</v>
          </cell>
          <cell r="L1255">
            <v>20000</v>
          </cell>
          <cell r="M1255">
            <v>1</v>
          </cell>
          <cell r="P1255">
            <v>8003247594</v>
          </cell>
        </row>
        <row r="1256">
          <cell r="C1256">
            <v>1000</v>
          </cell>
          <cell r="D1256">
            <v>0</v>
          </cell>
          <cell r="E1256">
            <v>200</v>
          </cell>
          <cell r="F1256">
            <v>0</v>
          </cell>
          <cell r="G1256">
            <v>1000</v>
          </cell>
          <cell r="H1256">
            <v>0</v>
          </cell>
          <cell r="I1256">
            <v>200</v>
          </cell>
          <cell r="J1256">
            <v>0</v>
          </cell>
          <cell r="K1256">
            <v>1400</v>
          </cell>
          <cell r="L1256">
            <v>20000</v>
          </cell>
          <cell r="M1256">
            <v>1</v>
          </cell>
          <cell r="P1256">
            <v>8003247594</v>
          </cell>
        </row>
        <row r="1257">
          <cell r="C1257">
            <v>0</v>
          </cell>
          <cell r="D1257">
            <v>0</v>
          </cell>
          <cell r="E1257">
            <v>200</v>
          </cell>
          <cell r="F1257">
            <v>0</v>
          </cell>
          <cell r="G1257">
            <v>0</v>
          </cell>
          <cell r="H1257">
            <v>0</v>
          </cell>
          <cell r="I1257">
            <v>200</v>
          </cell>
          <cell r="J1257">
            <v>0</v>
          </cell>
          <cell r="K1257">
            <v>400</v>
          </cell>
          <cell r="L1257">
            <v>20000</v>
          </cell>
          <cell r="M1257">
            <v>2</v>
          </cell>
          <cell r="P1257">
            <v>9694390502</v>
          </cell>
        </row>
        <row r="1258">
          <cell r="C1258">
            <v>1000</v>
          </cell>
          <cell r="D1258">
            <v>0</v>
          </cell>
          <cell r="E1258">
            <v>200</v>
          </cell>
          <cell r="F1258">
            <v>0</v>
          </cell>
          <cell r="G1258">
            <v>1000</v>
          </cell>
          <cell r="H1258">
            <v>0</v>
          </cell>
          <cell r="I1258">
            <v>200</v>
          </cell>
          <cell r="J1258">
            <v>0</v>
          </cell>
          <cell r="K1258">
            <v>1400</v>
          </cell>
          <cell r="L1258">
            <v>20000</v>
          </cell>
          <cell r="M1258">
            <v>1</v>
          </cell>
          <cell r="P1258">
            <v>9694390502</v>
          </cell>
        </row>
        <row r="1259">
          <cell r="C1259">
            <v>4500</v>
          </cell>
          <cell r="D1259">
            <v>0</v>
          </cell>
          <cell r="E1259">
            <v>200</v>
          </cell>
          <cell r="F1259">
            <v>0</v>
          </cell>
          <cell r="G1259">
            <v>0</v>
          </cell>
          <cell r="H1259">
            <v>0</v>
          </cell>
          <cell r="I1259">
            <v>27</v>
          </cell>
          <cell r="J1259">
            <v>0</v>
          </cell>
          <cell r="K1259">
            <v>227</v>
          </cell>
          <cell r="L1259">
            <v>2686</v>
          </cell>
          <cell r="M1259">
            <v>5</v>
          </cell>
          <cell r="P1259">
            <v>9509644420</v>
          </cell>
        </row>
        <row r="1260">
          <cell r="C1260">
            <v>4500</v>
          </cell>
          <cell r="D1260">
            <v>0</v>
          </cell>
          <cell r="E1260">
            <v>200</v>
          </cell>
          <cell r="F1260">
            <v>0</v>
          </cell>
          <cell r="G1260">
            <v>500</v>
          </cell>
          <cell r="H1260">
            <v>0</v>
          </cell>
          <cell r="I1260">
            <v>50</v>
          </cell>
          <cell r="J1260">
            <v>0</v>
          </cell>
          <cell r="K1260">
            <v>750</v>
          </cell>
          <cell r="L1260">
            <v>5000</v>
          </cell>
          <cell r="M1260">
            <v>5</v>
          </cell>
          <cell r="P1260">
            <v>9509644420</v>
          </cell>
        </row>
        <row r="1261">
          <cell r="C1261">
            <v>1000</v>
          </cell>
          <cell r="D1261">
            <v>0</v>
          </cell>
          <cell r="E1261">
            <v>200</v>
          </cell>
          <cell r="F1261">
            <v>0</v>
          </cell>
          <cell r="G1261">
            <v>1000</v>
          </cell>
          <cell r="H1261">
            <v>0</v>
          </cell>
          <cell r="I1261">
            <v>180</v>
          </cell>
          <cell r="J1261">
            <v>0</v>
          </cell>
          <cell r="K1261">
            <v>1380</v>
          </cell>
          <cell r="L1261">
            <v>18000</v>
          </cell>
          <cell r="M1261">
            <v>3</v>
          </cell>
          <cell r="P1261">
            <v>8279298677</v>
          </cell>
        </row>
        <row r="1262">
          <cell r="C1262">
            <v>0</v>
          </cell>
          <cell r="D1262">
            <v>0</v>
          </cell>
          <cell r="E1262">
            <v>200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200</v>
          </cell>
          <cell r="L1262">
            <v>0</v>
          </cell>
          <cell r="M1262">
            <v>0</v>
          </cell>
          <cell r="P1262">
            <v>8769913917</v>
          </cell>
        </row>
        <row r="1263">
          <cell r="C1263">
            <v>4500</v>
          </cell>
          <cell r="D1263">
            <v>0</v>
          </cell>
          <cell r="E1263">
            <v>200</v>
          </cell>
          <cell r="F1263">
            <v>0</v>
          </cell>
          <cell r="G1263">
            <v>0</v>
          </cell>
          <cell r="H1263">
            <v>0</v>
          </cell>
          <cell r="I1263">
            <v>45</v>
          </cell>
          <cell r="J1263">
            <v>0</v>
          </cell>
          <cell r="K1263">
            <v>245</v>
          </cell>
          <cell r="L1263">
            <v>4500</v>
          </cell>
          <cell r="M1263">
            <v>5</v>
          </cell>
          <cell r="P1263">
            <v>9799808935</v>
          </cell>
        </row>
        <row r="1264">
          <cell r="C1264">
            <v>4500</v>
          </cell>
          <cell r="D1264">
            <v>0</v>
          </cell>
          <cell r="E1264">
            <v>200</v>
          </cell>
          <cell r="F1264">
            <v>0</v>
          </cell>
          <cell r="G1264">
            <v>500</v>
          </cell>
          <cell r="H1264">
            <v>0</v>
          </cell>
          <cell r="I1264">
            <v>50</v>
          </cell>
          <cell r="J1264">
            <v>0</v>
          </cell>
          <cell r="K1264">
            <v>750</v>
          </cell>
          <cell r="L1264">
            <v>5000</v>
          </cell>
          <cell r="M1264">
            <v>5</v>
          </cell>
          <cell r="P1264">
            <v>7791888847</v>
          </cell>
        </row>
        <row r="1265">
          <cell r="C1265">
            <v>4500</v>
          </cell>
          <cell r="D1265">
            <v>0</v>
          </cell>
          <cell r="E1265">
            <v>200</v>
          </cell>
          <cell r="F1265">
            <v>0</v>
          </cell>
          <cell r="G1265">
            <v>500</v>
          </cell>
          <cell r="H1265">
            <v>0</v>
          </cell>
          <cell r="I1265">
            <v>50</v>
          </cell>
          <cell r="J1265">
            <v>0</v>
          </cell>
          <cell r="K1265">
            <v>750</v>
          </cell>
          <cell r="L1265">
            <v>5000</v>
          </cell>
          <cell r="M1265">
            <v>5</v>
          </cell>
          <cell r="P1265">
            <v>7791888847</v>
          </cell>
        </row>
        <row r="1266">
          <cell r="C1266">
            <v>4500</v>
          </cell>
          <cell r="D1266">
            <v>0</v>
          </cell>
          <cell r="E1266">
            <v>200</v>
          </cell>
          <cell r="F1266">
            <v>0</v>
          </cell>
          <cell r="G1266">
            <v>500</v>
          </cell>
          <cell r="H1266">
            <v>0</v>
          </cell>
          <cell r="I1266">
            <v>50</v>
          </cell>
          <cell r="J1266">
            <v>0</v>
          </cell>
          <cell r="K1266">
            <v>750</v>
          </cell>
          <cell r="L1266">
            <v>5000</v>
          </cell>
          <cell r="M1266">
            <v>5</v>
          </cell>
          <cell r="P1266">
            <v>7791888847</v>
          </cell>
        </row>
        <row r="1267">
          <cell r="C1267">
            <v>4500</v>
          </cell>
          <cell r="D1267">
            <v>0</v>
          </cell>
          <cell r="E1267">
            <v>800</v>
          </cell>
          <cell r="F1267">
            <v>51</v>
          </cell>
          <cell r="G1267">
            <v>500</v>
          </cell>
          <cell r="H1267">
            <v>3</v>
          </cell>
          <cell r="I1267">
            <v>100</v>
          </cell>
          <cell r="J1267">
            <v>0</v>
          </cell>
          <cell r="K1267">
            <v>1454</v>
          </cell>
          <cell r="L1267">
            <v>5000</v>
          </cell>
          <cell r="M1267">
            <v>5</v>
          </cell>
          <cell r="P1267">
            <v>8386966572</v>
          </cell>
        </row>
        <row r="1268">
          <cell r="C1268">
            <v>4500</v>
          </cell>
          <cell r="D1268">
            <v>0</v>
          </cell>
          <cell r="E1268">
            <v>800</v>
          </cell>
          <cell r="F1268">
            <v>51</v>
          </cell>
          <cell r="G1268">
            <v>500</v>
          </cell>
          <cell r="H1268">
            <v>3</v>
          </cell>
          <cell r="I1268">
            <v>100</v>
          </cell>
          <cell r="J1268">
            <v>0</v>
          </cell>
          <cell r="K1268">
            <v>1454</v>
          </cell>
          <cell r="L1268">
            <v>5000</v>
          </cell>
          <cell r="M1268">
            <v>5</v>
          </cell>
          <cell r="P1268">
            <v>8386966572</v>
          </cell>
        </row>
        <row r="1269">
          <cell r="C1269">
            <v>4500</v>
          </cell>
          <cell r="D1269">
            <v>0</v>
          </cell>
          <cell r="E1269">
            <v>569</v>
          </cell>
          <cell r="F1269">
            <v>27</v>
          </cell>
          <cell r="G1269">
            <v>500</v>
          </cell>
          <cell r="H1269">
            <v>3</v>
          </cell>
          <cell r="I1269">
            <v>100</v>
          </cell>
          <cell r="J1269">
            <v>0</v>
          </cell>
          <cell r="K1269">
            <v>1199</v>
          </cell>
          <cell r="L1269">
            <v>5000</v>
          </cell>
          <cell r="M1269">
            <v>5</v>
          </cell>
          <cell r="P1269">
            <v>8386966572</v>
          </cell>
        </row>
        <row r="1270">
          <cell r="C1270">
            <v>0</v>
          </cell>
          <cell r="D1270">
            <v>0</v>
          </cell>
          <cell r="E1270">
            <v>200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  <cell r="K1270">
            <v>200</v>
          </cell>
          <cell r="L1270">
            <v>0</v>
          </cell>
          <cell r="M1270">
            <v>0</v>
          </cell>
          <cell r="P1270">
            <v>9602956137</v>
          </cell>
        </row>
        <row r="1271">
          <cell r="C1271">
            <v>0</v>
          </cell>
          <cell r="D1271">
            <v>0</v>
          </cell>
          <cell r="E1271">
            <v>200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200</v>
          </cell>
          <cell r="L1271">
            <v>0</v>
          </cell>
          <cell r="M1271">
            <v>0</v>
          </cell>
          <cell r="P1271">
            <v>9602956137</v>
          </cell>
        </row>
        <row r="1272">
          <cell r="C1272">
            <v>2000</v>
          </cell>
          <cell r="D1272">
            <v>0</v>
          </cell>
          <cell r="E1272">
            <v>200</v>
          </cell>
          <cell r="F1272">
            <v>0</v>
          </cell>
          <cell r="G1272">
            <v>2000</v>
          </cell>
          <cell r="H1272">
            <v>0</v>
          </cell>
          <cell r="I1272">
            <v>140</v>
          </cell>
          <cell r="J1272">
            <v>0</v>
          </cell>
          <cell r="K1272">
            <v>2340</v>
          </cell>
          <cell r="L1272">
            <v>14000</v>
          </cell>
          <cell r="M1272">
            <v>4</v>
          </cell>
          <cell r="P1272">
            <v>8107212427</v>
          </cell>
        </row>
        <row r="1273">
          <cell r="C1273">
            <v>2000</v>
          </cell>
          <cell r="D1273">
            <v>0</v>
          </cell>
          <cell r="E1273">
            <v>200</v>
          </cell>
          <cell r="F1273">
            <v>0</v>
          </cell>
          <cell r="G1273">
            <v>2000</v>
          </cell>
          <cell r="H1273">
            <v>0</v>
          </cell>
          <cell r="I1273">
            <v>140</v>
          </cell>
          <cell r="J1273">
            <v>0</v>
          </cell>
          <cell r="K1273">
            <v>2340</v>
          </cell>
          <cell r="L1273">
            <v>14000</v>
          </cell>
          <cell r="M1273">
            <v>4</v>
          </cell>
          <cell r="P1273">
            <v>8107212427</v>
          </cell>
        </row>
        <row r="1274">
          <cell r="C1274">
            <v>2000</v>
          </cell>
          <cell r="D1274">
            <v>0</v>
          </cell>
          <cell r="E1274">
            <v>200</v>
          </cell>
          <cell r="F1274">
            <v>0</v>
          </cell>
          <cell r="G1274">
            <v>2000</v>
          </cell>
          <cell r="H1274">
            <v>0</v>
          </cell>
          <cell r="I1274">
            <v>140</v>
          </cell>
          <cell r="J1274">
            <v>0</v>
          </cell>
          <cell r="K1274">
            <v>2340</v>
          </cell>
          <cell r="L1274">
            <v>14000</v>
          </cell>
          <cell r="M1274">
            <v>4</v>
          </cell>
          <cell r="P1274">
            <v>8107212427</v>
          </cell>
        </row>
        <row r="1275">
          <cell r="C1275">
            <v>0</v>
          </cell>
          <cell r="D1275">
            <v>0</v>
          </cell>
          <cell r="E1275">
            <v>200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200</v>
          </cell>
          <cell r="L1275">
            <v>0</v>
          </cell>
          <cell r="M1275">
            <v>0</v>
          </cell>
          <cell r="P1275">
            <v>8107212427</v>
          </cell>
        </row>
        <row r="1276">
          <cell r="C1276">
            <v>1000</v>
          </cell>
          <cell r="D1276">
            <v>0</v>
          </cell>
          <cell r="E1276">
            <v>200</v>
          </cell>
          <cell r="F1276">
            <v>0</v>
          </cell>
          <cell r="G1276">
            <v>1000</v>
          </cell>
          <cell r="H1276">
            <v>0</v>
          </cell>
          <cell r="I1276">
            <v>160</v>
          </cell>
          <cell r="J1276">
            <v>0</v>
          </cell>
          <cell r="K1276">
            <v>1360</v>
          </cell>
          <cell r="L1276">
            <v>16000</v>
          </cell>
          <cell r="M1276">
            <v>5</v>
          </cell>
          <cell r="P1276">
            <v>9929832722</v>
          </cell>
        </row>
        <row r="1277">
          <cell r="C1277">
            <v>1000</v>
          </cell>
          <cell r="D1277">
            <v>0</v>
          </cell>
          <cell r="E1277">
            <v>200</v>
          </cell>
          <cell r="F1277">
            <v>0</v>
          </cell>
          <cell r="G1277">
            <v>1000</v>
          </cell>
          <cell r="H1277">
            <v>0</v>
          </cell>
          <cell r="I1277">
            <v>160</v>
          </cell>
          <cell r="J1277">
            <v>0</v>
          </cell>
          <cell r="K1277">
            <v>1360</v>
          </cell>
          <cell r="L1277">
            <v>16000</v>
          </cell>
          <cell r="M1277">
            <v>5</v>
          </cell>
          <cell r="P1277">
            <v>9929832722</v>
          </cell>
        </row>
        <row r="1278">
          <cell r="C1278">
            <v>1000</v>
          </cell>
          <cell r="D1278">
            <v>0</v>
          </cell>
          <cell r="E1278">
            <v>200</v>
          </cell>
          <cell r="F1278">
            <v>0</v>
          </cell>
          <cell r="G1278">
            <v>1000</v>
          </cell>
          <cell r="H1278">
            <v>0</v>
          </cell>
          <cell r="I1278">
            <v>170</v>
          </cell>
          <cell r="J1278">
            <v>0</v>
          </cell>
          <cell r="K1278">
            <v>1370</v>
          </cell>
          <cell r="L1278">
            <v>17000</v>
          </cell>
          <cell r="M1278">
            <v>4</v>
          </cell>
          <cell r="P1278">
            <v>7742957778</v>
          </cell>
        </row>
        <row r="1279">
          <cell r="C1279">
            <v>18000</v>
          </cell>
          <cell r="D1279">
            <v>0</v>
          </cell>
          <cell r="E1279">
            <v>200</v>
          </cell>
          <cell r="F1279">
            <v>0</v>
          </cell>
          <cell r="G1279">
            <v>2000</v>
          </cell>
          <cell r="H1279">
            <v>0</v>
          </cell>
          <cell r="I1279">
            <v>200</v>
          </cell>
          <cell r="J1279">
            <v>0</v>
          </cell>
          <cell r="K1279">
            <v>2400</v>
          </cell>
          <cell r="L1279">
            <v>20000</v>
          </cell>
          <cell r="M1279">
            <v>5</v>
          </cell>
          <cell r="P1279">
            <v>8000857197</v>
          </cell>
        </row>
        <row r="1280">
          <cell r="C1280">
            <v>18000</v>
          </cell>
          <cell r="D1280">
            <v>0</v>
          </cell>
          <cell r="E1280">
            <v>200</v>
          </cell>
          <cell r="F1280">
            <v>0</v>
          </cell>
          <cell r="G1280">
            <v>2000</v>
          </cell>
          <cell r="H1280">
            <v>0</v>
          </cell>
          <cell r="I1280">
            <v>200</v>
          </cell>
          <cell r="J1280">
            <v>0</v>
          </cell>
          <cell r="K1280">
            <v>2400</v>
          </cell>
          <cell r="L1280">
            <v>20000</v>
          </cell>
          <cell r="M1280">
            <v>5</v>
          </cell>
          <cell r="P1280">
            <v>8000857197</v>
          </cell>
        </row>
        <row r="1281">
          <cell r="C1281">
            <v>1000</v>
          </cell>
          <cell r="D1281">
            <v>0</v>
          </cell>
          <cell r="E1281">
            <v>200</v>
          </cell>
          <cell r="F1281">
            <v>0</v>
          </cell>
          <cell r="G1281">
            <v>1000</v>
          </cell>
          <cell r="H1281">
            <v>0</v>
          </cell>
          <cell r="I1281">
            <v>200</v>
          </cell>
          <cell r="J1281">
            <v>0</v>
          </cell>
          <cell r="K1281">
            <v>1400</v>
          </cell>
          <cell r="L1281">
            <v>20000</v>
          </cell>
          <cell r="M1281">
            <v>1</v>
          </cell>
          <cell r="P1281">
            <v>8000857197</v>
          </cell>
        </row>
        <row r="1282">
          <cell r="C1282">
            <v>1000</v>
          </cell>
          <cell r="D1282">
            <v>0</v>
          </cell>
          <cell r="E1282">
            <v>200</v>
          </cell>
          <cell r="F1282">
            <v>0</v>
          </cell>
          <cell r="G1282">
            <v>1000</v>
          </cell>
          <cell r="H1282">
            <v>0</v>
          </cell>
          <cell r="I1282">
            <v>200</v>
          </cell>
          <cell r="J1282">
            <v>0</v>
          </cell>
          <cell r="K1282">
            <v>1400</v>
          </cell>
          <cell r="L1282">
            <v>20000</v>
          </cell>
          <cell r="M1282">
            <v>1</v>
          </cell>
          <cell r="P1282">
            <v>8000857197</v>
          </cell>
        </row>
        <row r="1283">
          <cell r="C1283">
            <v>0</v>
          </cell>
          <cell r="D1283">
            <v>0</v>
          </cell>
          <cell r="E1283">
            <v>400</v>
          </cell>
          <cell r="F1283">
            <v>10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410</v>
          </cell>
          <cell r="L1283">
            <v>0</v>
          </cell>
          <cell r="M1283">
            <v>0</v>
          </cell>
          <cell r="P1283">
            <v>9001114455</v>
          </cell>
        </row>
        <row r="1284">
          <cell r="C1284">
            <v>0</v>
          </cell>
          <cell r="D1284">
            <v>0</v>
          </cell>
          <cell r="E1284">
            <v>400</v>
          </cell>
          <cell r="F1284">
            <v>10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410</v>
          </cell>
          <cell r="L1284">
            <v>0</v>
          </cell>
          <cell r="M1284">
            <v>0</v>
          </cell>
          <cell r="P1284">
            <v>9001114455</v>
          </cell>
        </row>
        <row r="1285">
          <cell r="C1285">
            <v>0</v>
          </cell>
          <cell r="D1285">
            <v>0</v>
          </cell>
          <cell r="E1285">
            <v>400</v>
          </cell>
          <cell r="F1285">
            <v>10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410</v>
          </cell>
          <cell r="L1285">
            <v>0</v>
          </cell>
          <cell r="M1285">
            <v>0</v>
          </cell>
          <cell r="P1285">
            <v>9001114455</v>
          </cell>
        </row>
        <row r="1286">
          <cell r="C1286">
            <v>0</v>
          </cell>
          <cell r="D1286">
            <v>0</v>
          </cell>
          <cell r="E1286">
            <v>400</v>
          </cell>
          <cell r="F1286">
            <v>10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410</v>
          </cell>
          <cell r="L1286">
            <v>0</v>
          </cell>
          <cell r="M1286">
            <v>0</v>
          </cell>
          <cell r="P1286">
            <v>9001114455</v>
          </cell>
        </row>
        <row r="1287">
          <cell r="C1287">
            <v>0</v>
          </cell>
          <cell r="D1287">
            <v>0</v>
          </cell>
          <cell r="E1287">
            <v>400</v>
          </cell>
          <cell r="F1287">
            <v>10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410</v>
          </cell>
          <cell r="L1287">
            <v>0</v>
          </cell>
          <cell r="M1287">
            <v>0</v>
          </cell>
          <cell r="P1287">
            <v>7737727272</v>
          </cell>
        </row>
        <row r="1288">
          <cell r="C1288">
            <v>0</v>
          </cell>
          <cell r="D1288">
            <v>0</v>
          </cell>
          <cell r="E1288">
            <v>400</v>
          </cell>
          <cell r="F1288">
            <v>10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410</v>
          </cell>
          <cell r="L1288">
            <v>0</v>
          </cell>
          <cell r="M1288">
            <v>0</v>
          </cell>
          <cell r="P1288">
            <v>7737727272</v>
          </cell>
        </row>
        <row r="1289">
          <cell r="C1289">
            <v>0</v>
          </cell>
          <cell r="D1289">
            <v>0</v>
          </cell>
          <cell r="E1289">
            <v>400</v>
          </cell>
          <cell r="F1289">
            <v>10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410</v>
          </cell>
          <cell r="L1289">
            <v>0</v>
          </cell>
          <cell r="M1289">
            <v>0</v>
          </cell>
          <cell r="P1289">
            <v>7737727272</v>
          </cell>
        </row>
        <row r="1290">
          <cell r="C1290">
            <v>0</v>
          </cell>
          <cell r="D1290">
            <v>0</v>
          </cell>
          <cell r="E1290">
            <v>400</v>
          </cell>
          <cell r="F1290">
            <v>10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410</v>
          </cell>
          <cell r="L1290">
            <v>0</v>
          </cell>
          <cell r="M1290">
            <v>0</v>
          </cell>
          <cell r="P1290">
            <v>7737727272</v>
          </cell>
        </row>
        <row r="1291">
          <cell r="C1291">
            <v>0</v>
          </cell>
          <cell r="D1291">
            <v>0</v>
          </cell>
          <cell r="E1291">
            <v>200</v>
          </cell>
          <cell r="F1291">
            <v>2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202</v>
          </cell>
          <cell r="L1291">
            <v>0</v>
          </cell>
          <cell r="M1291">
            <v>0</v>
          </cell>
          <cell r="P1291">
            <v>9829450072</v>
          </cell>
        </row>
        <row r="1292">
          <cell r="C1292">
            <v>2700</v>
          </cell>
          <cell r="D1292">
            <v>0</v>
          </cell>
          <cell r="E1292">
            <v>200</v>
          </cell>
          <cell r="F1292">
            <v>2</v>
          </cell>
          <cell r="G1292">
            <v>0</v>
          </cell>
          <cell r="H1292">
            <v>0</v>
          </cell>
          <cell r="I1292">
            <v>6</v>
          </cell>
          <cell r="J1292">
            <v>0</v>
          </cell>
          <cell r="K1292">
            <v>208</v>
          </cell>
          <cell r="L1292">
            <v>601</v>
          </cell>
          <cell r="M1292">
            <v>5</v>
          </cell>
          <cell r="P1292">
            <v>9829450072</v>
          </cell>
        </row>
        <row r="1293">
          <cell r="C1293">
            <v>24700</v>
          </cell>
          <cell r="D1293">
            <v>0</v>
          </cell>
          <cell r="E1293">
            <v>200</v>
          </cell>
          <cell r="F1293">
            <v>0</v>
          </cell>
          <cell r="G1293">
            <v>728</v>
          </cell>
          <cell r="H1293">
            <v>0</v>
          </cell>
          <cell r="I1293">
            <v>254</v>
          </cell>
          <cell r="J1293">
            <v>0</v>
          </cell>
          <cell r="K1293">
            <v>1182</v>
          </cell>
          <cell r="L1293">
            <v>25428</v>
          </cell>
          <cell r="M1293">
            <v>5</v>
          </cell>
          <cell r="P1293">
            <v>8432252783</v>
          </cell>
        </row>
        <row r="1294">
          <cell r="C1294">
            <v>9200</v>
          </cell>
          <cell r="D1294">
            <v>0</v>
          </cell>
          <cell r="E1294">
            <v>1000</v>
          </cell>
          <cell r="F1294">
            <v>78</v>
          </cell>
          <cell r="G1294">
            <v>1041</v>
          </cell>
          <cell r="H1294">
            <v>39</v>
          </cell>
          <cell r="I1294">
            <v>510</v>
          </cell>
          <cell r="J1294">
            <v>3</v>
          </cell>
          <cell r="K1294">
            <v>2671</v>
          </cell>
          <cell r="L1294">
            <v>10241</v>
          </cell>
          <cell r="M1294">
            <v>5</v>
          </cell>
          <cell r="P1294">
            <v>8005672481</v>
          </cell>
        </row>
        <row r="1295">
          <cell r="C1295">
            <v>500</v>
          </cell>
          <cell r="D1295">
            <v>0</v>
          </cell>
          <cell r="E1295">
            <v>200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200</v>
          </cell>
          <cell r="L1295">
            <v>0</v>
          </cell>
          <cell r="M1295">
            <v>0</v>
          </cell>
          <cell r="P1295">
            <v>9461038259</v>
          </cell>
        </row>
        <row r="1296">
          <cell r="C1296">
            <v>27900</v>
          </cell>
          <cell r="D1296">
            <v>0</v>
          </cell>
          <cell r="E1296">
            <v>1000</v>
          </cell>
          <cell r="F1296">
            <v>78</v>
          </cell>
          <cell r="G1296">
            <v>3085</v>
          </cell>
          <cell r="H1296">
            <v>121</v>
          </cell>
          <cell r="I1296">
            <v>1550</v>
          </cell>
          <cell r="J1296">
            <v>10</v>
          </cell>
          <cell r="K1296">
            <v>5844</v>
          </cell>
          <cell r="L1296">
            <v>30985</v>
          </cell>
          <cell r="M1296">
            <v>5</v>
          </cell>
          <cell r="P1296">
            <v>9983482890</v>
          </cell>
        </row>
        <row r="1297">
          <cell r="C1297">
            <v>0</v>
          </cell>
          <cell r="D1297">
            <v>0</v>
          </cell>
          <cell r="E1297">
            <v>800</v>
          </cell>
          <cell r="F1297">
            <v>53</v>
          </cell>
          <cell r="G1297">
            <v>0</v>
          </cell>
          <cell r="H1297">
            <v>258</v>
          </cell>
          <cell r="I1297">
            <v>4656</v>
          </cell>
          <cell r="J1297">
            <v>1188</v>
          </cell>
          <cell r="K1297">
            <v>6955</v>
          </cell>
          <cell r="L1297">
            <v>116370</v>
          </cell>
          <cell r="M1297">
            <v>5</v>
          </cell>
          <cell r="P1297">
            <v>9783595811</v>
          </cell>
        </row>
        <row r="1298">
          <cell r="C1298">
            <v>4500</v>
          </cell>
          <cell r="D1298">
            <v>0</v>
          </cell>
          <cell r="E1298">
            <v>186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186</v>
          </cell>
          <cell r="L1298">
            <v>0</v>
          </cell>
          <cell r="M1298">
            <v>0</v>
          </cell>
          <cell r="P1298">
            <v>9166340028</v>
          </cell>
        </row>
        <row r="1299">
          <cell r="C1299">
            <v>2000</v>
          </cell>
          <cell r="D1299">
            <v>0</v>
          </cell>
          <cell r="E1299">
            <v>200</v>
          </cell>
          <cell r="F1299">
            <v>0</v>
          </cell>
          <cell r="G1299">
            <v>2000</v>
          </cell>
          <cell r="H1299">
            <v>0</v>
          </cell>
          <cell r="I1299">
            <v>180</v>
          </cell>
          <cell r="J1299">
            <v>0</v>
          </cell>
          <cell r="K1299">
            <v>2380</v>
          </cell>
          <cell r="L1299">
            <v>18000</v>
          </cell>
          <cell r="M1299">
            <v>2</v>
          </cell>
          <cell r="P1299">
            <v>9166340028</v>
          </cell>
        </row>
        <row r="1300">
          <cell r="C1300">
            <v>2000</v>
          </cell>
          <cell r="D1300">
            <v>0</v>
          </cell>
          <cell r="E1300">
            <v>200</v>
          </cell>
          <cell r="F1300">
            <v>0</v>
          </cell>
          <cell r="G1300">
            <v>2000</v>
          </cell>
          <cell r="H1300">
            <v>0</v>
          </cell>
          <cell r="I1300">
            <v>180</v>
          </cell>
          <cell r="J1300">
            <v>0</v>
          </cell>
          <cell r="K1300">
            <v>2380</v>
          </cell>
          <cell r="L1300">
            <v>18000</v>
          </cell>
          <cell r="M1300">
            <v>2</v>
          </cell>
          <cell r="P1300">
            <v>9166340028</v>
          </cell>
        </row>
        <row r="1301">
          <cell r="C1301">
            <v>3100</v>
          </cell>
          <cell r="D1301">
            <v>0</v>
          </cell>
          <cell r="E1301">
            <v>200</v>
          </cell>
          <cell r="F1301">
            <v>0</v>
          </cell>
          <cell r="G1301">
            <v>0</v>
          </cell>
          <cell r="H1301">
            <v>0</v>
          </cell>
          <cell r="I1301">
            <v>10</v>
          </cell>
          <cell r="J1301">
            <v>0</v>
          </cell>
          <cell r="K1301">
            <v>210</v>
          </cell>
          <cell r="L1301">
            <v>973</v>
          </cell>
          <cell r="M1301">
            <v>5</v>
          </cell>
          <cell r="P1301">
            <v>9694027034</v>
          </cell>
        </row>
        <row r="1302">
          <cell r="C1302">
            <v>0</v>
          </cell>
          <cell r="D1302">
            <v>0</v>
          </cell>
          <cell r="E1302">
            <v>200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200</v>
          </cell>
          <cell r="L1302">
            <v>0</v>
          </cell>
          <cell r="M1302">
            <v>0</v>
          </cell>
          <cell r="P1302">
            <v>9928813200</v>
          </cell>
        </row>
        <row r="1303">
          <cell r="C1303">
            <v>500</v>
          </cell>
          <cell r="D1303">
            <v>0</v>
          </cell>
          <cell r="E1303">
            <v>800</v>
          </cell>
          <cell r="F1303">
            <v>53</v>
          </cell>
          <cell r="G1303">
            <v>2000</v>
          </cell>
          <cell r="H1303">
            <v>267</v>
          </cell>
          <cell r="I1303">
            <v>2000</v>
          </cell>
          <cell r="J1303">
            <v>0</v>
          </cell>
          <cell r="K1303">
            <v>5120</v>
          </cell>
          <cell r="L1303">
            <v>50000</v>
          </cell>
          <cell r="M1303">
            <v>4</v>
          </cell>
          <cell r="P1303">
            <v>9829622211</v>
          </cell>
        </row>
        <row r="1304">
          <cell r="C1304">
            <v>500</v>
          </cell>
          <cell r="D1304">
            <v>0</v>
          </cell>
          <cell r="E1304">
            <v>800</v>
          </cell>
          <cell r="F1304">
            <v>53</v>
          </cell>
          <cell r="G1304">
            <v>2000</v>
          </cell>
          <cell r="H1304">
            <v>267</v>
          </cell>
          <cell r="I1304">
            <v>2000</v>
          </cell>
          <cell r="J1304">
            <v>0</v>
          </cell>
          <cell r="K1304">
            <v>5120</v>
          </cell>
          <cell r="L1304">
            <v>50000</v>
          </cell>
          <cell r="M1304">
            <v>4</v>
          </cell>
          <cell r="P1304">
            <v>9829622211</v>
          </cell>
        </row>
        <row r="1305">
          <cell r="C1305">
            <v>500</v>
          </cell>
          <cell r="D1305">
            <v>0</v>
          </cell>
          <cell r="E1305">
            <v>200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200</v>
          </cell>
          <cell r="L1305">
            <v>0</v>
          </cell>
          <cell r="M1305">
            <v>0</v>
          </cell>
          <cell r="P1305">
            <v>9461038259</v>
          </cell>
        </row>
        <row r="1306">
          <cell r="C1306">
            <v>500</v>
          </cell>
          <cell r="D1306">
            <v>0</v>
          </cell>
          <cell r="E1306">
            <v>200</v>
          </cell>
          <cell r="F1306">
            <v>0</v>
          </cell>
          <cell r="G1306">
            <v>0</v>
          </cell>
          <cell r="H1306">
            <v>0</v>
          </cell>
          <cell r="I1306">
            <v>23</v>
          </cell>
          <cell r="J1306">
            <v>0</v>
          </cell>
          <cell r="K1306">
            <v>223</v>
          </cell>
          <cell r="L1306">
            <v>2295</v>
          </cell>
          <cell r="M1306">
            <v>4</v>
          </cell>
          <cell r="P1306">
            <v>9461038259</v>
          </cell>
        </row>
        <row r="1307">
          <cell r="C1307">
            <v>500</v>
          </cell>
          <cell r="D1307">
            <v>0</v>
          </cell>
          <cell r="E1307">
            <v>200</v>
          </cell>
          <cell r="F1307">
            <v>0</v>
          </cell>
          <cell r="G1307">
            <v>0</v>
          </cell>
          <cell r="H1307">
            <v>0</v>
          </cell>
          <cell r="I1307">
            <v>20</v>
          </cell>
          <cell r="J1307">
            <v>0</v>
          </cell>
          <cell r="K1307">
            <v>220</v>
          </cell>
          <cell r="L1307">
            <v>2000</v>
          </cell>
          <cell r="M1307">
            <v>4</v>
          </cell>
          <cell r="P1307">
            <v>9783982680</v>
          </cell>
        </row>
        <row r="1308">
          <cell r="C1308">
            <v>1000</v>
          </cell>
          <cell r="D1308">
            <v>0</v>
          </cell>
          <cell r="E1308">
            <v>200</v>
          </cell>
          <cell r="F1308">
            <v>0</v>
          </cell>
          <cell r="G1308">
            <v>1000</v>
          </cell>
          <cell r="H1308">
            <v>0</v>
          </cell>
          <cell r="I1308">
            <v>200</v>
          </cell>
          <cell r="J1308">
            <v>0</v>
          </cell>
          <cell r="K1308">
            <v>1400</v>
          </cell>
          <cell r="L1308">
            <v>20000</v>
          </cell>
          <cell r="M1308">
            <v>1</v>
          </cell>
          <cell r="P1308">
            <v>9783982680</v>
          </cell>
        </row>
        <row r="1309">
          <cell r="C1309">
            <v>500</v>
          </cell>
          <cell r="D1309">
            <v>0</v>
          </cell>
          <cell r="E1309">
            <v>200</v>
          </cell>
          <cell r="F1309">
            <v>0</v>
          </cell>
          <cell r="G1309">
            <v>0</v>
          </cell>
          <cell r="H1309">
            <v>0</v>
          </cell>
          <cell r="I1309">
            <v>50</v>
          </cell>
          <cell r="J1309">
            <v>0</v>
          </cell>
          <cell r="K1309">
            <v>250</v>
          </cell>
          <cell r="L1309">
            <v>5000</v>
          </cell>
          <cell r="M1309">
            <v>4</v>
          </cell>
          <cell r="P1309">
            <v>9783982680</v>
          </cell>
        </row>
        <row r="1310">
          <cell r="C1310">
            <v>500</v>
          </cell>
          <cell r="D1310">
            <v>0</v>
          </cell>
          <cell r="E1310">
            <v>200</v>
          </cell>
          <cell r="F1310">
            <v>0</v>
          </cell>
          <cell r="G1310">
            <v>0</v>
          </cell>
          <cell r="H1310">
            <v>0</v>
          </cell>
          <cell r="I1310">
            <v>50</v>
          </cell>
          <cell r="J1310">
            <v>0</v>
          </cell>
          <cell r="K1310">
            <v>250</v>
          </cell>
          <cell r="L1310">
            <v>5000</v>
          </cell>
          <cell r="M1310">
            <v>4</v>
          </cell>
          <cell r="P1310">
            <v>9461038259</v>
          </cell>
        </row>
        <row r="1311">
          <cell r="C1311">
            <v>500</v>
          </cell>
          <cell r="D1311">
            <v>0</v>
          </cell>
          <cell r="E1311">
            <v>200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200</v>
          </cell>
          <cell r="L1311">
            <v>0</v>
          </cell>
          <cell r="M1311">
            <v>0</v>
          </cell>
          <cell r="P1311">
            <v>9784228870</v>
          </cell>
        </row>
        <row r="1312">
          <cell r="C1312">
            <v>500</v>
          </cell>
          <cell r="D1312">
            <v>0</v>
          </cell>
          <cell r="E1312">
            <v>200</v>
          </cell>
          <cell r="F1312">
            <v>0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200</v>
          </cell>
          <cell r="L1312">
            <v>0</v>
          </cell>
          <cell r="M1312">
            <v>0</v>
          </cell>
          <cell r="P1312">
            <v>9784228870</v>
          </cell>
        </row>
        <row r="1313">
          <cell r="C1313">
            <v>500</v>
          </cell>
          <cell r="D1313">
            <v>0</v>
          </cell>
          <cell r="E1313">
            <v>200</v>
          </cell>
          <cell r="F1313">
            <v>0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200</v>
          </cell>
          <cell r="L1313">
            <v>0</v>
          </cell>
          <cell r="M1313">
            <v>0</v>
          </cell>
          <cell r="P1313">
            <v>9784228870</v>
          </cell>
        </row>
        <row r="1314">
          <cell r="C1314">
            <v>500</v>
          </cell>
          <cell r="D1314">
            <v>0</v>
          </cell>
          <cell r="E1314">
            <v>191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191</v>
          </cell>
          <cell r="L1314">
            <v>0</v>
          </cell>
          <cell r="M1314">
            <v>0</v>
          </cell>
          <cell r="P1314">
            <v>9784228870</v>
          </cell>
        </row>
        <row r="1315">
          <cell r="C1315">
            <v>0</v>
          </cell>
          <cell r="D1315">
            <v>0</v>
          </cell>
          <cell r="E1315">
            <v>200</v>
          </cell>
          <cell r="F1315">
            <v>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200</v>
          </cell>
          <cell r="L1315">
            <v>0</v>
          </cell>
          <cell r="M1315">
            <v>0</v>
          </cell>
          <cell r="P1315">
            <v>9784228870</v>
          </cell>
        </row>
        <row r="1316">
          <cell r="C1316">
            <v>0</v>
          </cell>
          <cell r="D1316">
            <v>0</v>
          </cell>
          <cell r="E1316">
            <v>200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200</v>
          </cell>
          <cell r="L1316">
            <v>0</v>
          </cell>
          <cell r="M1316">
            <v>0</v>
          </cell>
          <cell r="P1316">
            <v>9828069556</v>
          </cell>
        </row>
        <row r="1317">
          <cell r="C1317">
            <v>0</v>
          </cell>
          <cell r="D1317">
            <v>0</v>
          </cell>
          <cell r="E1317">
            <v>200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200</v>
          </cell>
          <cell r="L1317">
            <v>0</v>
          </cell>
          <cell r="M1317">
            <v>0</v>
          </cell>
          <cell r="P1317">
            <v>9828069556</v>
          </cell>
        </row>
        <row r="1318">
          <cell r="C1318">
            <v>0</v>
          </cell>
          <cell r="D1318">
            <v>0</v>
          </cell>
          <cell r="E1318">
            <v>200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200</v>
          </cell>
          <cell r="L1318">
            <v>0</v>
          </cell>
          <cell r="M1318">
            <v>0</v>
          </cell>
          <cell r="P1318">
            <v>9828069556</v>
          </cell>
        </row>
        <row r="1319">
          <cell r="C1319">
            <v>0</v>
          </cell>
          <cell r="D1319">
            <v>0</v>
          </cell>
          <cell r="E1319">
            <v>200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200</v>
          </cell>
          <cell r="L1319">
            <v>0</v>
          </cell>
          <cell r="M1319">
            <v>0</v>
          </cell>
          <cell r="P1319">
            <v>9828069556</v>
          </cell>
        </row>
        <row r="1320">
          <cell r="C1320">
            <v>0</v>
          </cell>
          <cell r="D1320">
            <v>0</v>
          </cell>
          <cell r="E1320">
            <v>163</v>
          </cell>
          <cell r="F1320">
            <v>2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165</v>
          </cell>
          <cell r="L1320">
            <v>0</v>
          </cell>
          <cell r="M1320">
            <v>0</v>
          </cell>
          <cell r="P1320">
            <v>9660428871</v>
          </cell>
        </row>
        <row r="1321">
          <cell r="C1321">
            <v>0</v>
          </cell>
          <cell r="D1321">
            <v>0</v>
          </cell>
          <cell r="E1321">
            <v>200</v>
          </cell>
          <cell r="F1321">
            <v>2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202</v>
          </cell>
          <cell r="L1321">
            <v>0</v>
          </cell>
          <cell r="M1321">
            <v>0</v>
          </cell>
          <cell r="P1321">
            <v>9660428871</v>
          </cell>
        </row>
        <row r="1322">
          <cell r="C1322">
            <v>0</v>
          </cell>
          <cell r="D1322">
            <v>0</v>
          </cell>
          <cell r="E1322">
            <v>200</v>
          </cell>
          <cell r="F1322">
            <v>2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202</v>
          </cell>
          <cell r="L1322">
            <v>0</v>
          </cell>
          <cell r="M1322">
            <v>0</v>
          </cell>
          <cell r="P1322">
            <v>9660428871</v>
          </cell>
        </row>
        <row r="1323">
          <cell r="C1323">
            <v>0</v>
          </cell>
          <cell r="D1323">
            <v>0</v>
          </cell>
          <cell r="E1323">
            <v>200</v>
          </cell>
          <cell r="F1323">
            <v>2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202</v>
          </cell>
          <cell r="L1323">
            <v>0</v>
          </cell>
          <cell r="M1323">
            <v>0</v>
          </cell>
          <cell r="P1323">
            <v>9660428871</v>
          </cell>
        </row>
        <row r="1324">
          <cell r="C1324">
            <v>0</v>
          </cell>
          <cell r="E1324">
            <v>0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P1324">
            <v>0</v>
          </cell>
        </row>
        <row r="1325">
          <cell r="C1325">
            <v>0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P1325">
            <v>0</v>
          </cell>
        </row>
        <row r="1326">
          <cell r="C1326">
            <v>0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P1326">
            <v>0</v>
          </cell>
        </row>
        <row r="1327">
          <cell r="C1327">
            <v>0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P1327">
            <v>0</v>
          </cell>
        </row>
        <row r="1328">
          <cell r="C1328">
            <v>0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P1328">
            <v>0</v>
          </cell>
        </row>
        <row r="1329">
          <cell r="C1329">
            <v>0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P1329">
            <v>0</v>
          </cell>
        </row>
        <row r="1330">
          <cell r="E1330"/>
          <cell r="F1330"/>
          <cell r="G1330"/>
          <cell r="H1330"/>
          <cell r="I1330"/>
          <cell r="J1330"/>
          <cell r="K1330"/>
          <cell r="L1330"/>
          <cell r="M1330"/>
          <cell r="P1330">
            <v>0</v>
          </cell>
        </row>
        <row r="1331">
          <cell r="E1331"/>
          <cell r="F1331"/>
          <cell r="G1331"/>
          <cell r="H1331"/>
          <cell r="I1331"/>
          <cell r="J1331"/>
          <cell r="K1331"/>
          <cell r="L1331"/>
          <cell r="M1331"/>
        </row>
        <row r="1332">
          <cell r="E1332"/>
          <cell r="F1332"/>
          <cell r="G1332"/>
          <cell r="H1332"/>
          <cell r="I1332"/>
          <cell r="J1332"/>
          <cell r="K1332"/>
          <cell r="L1332"/>
          <cell r="M1332"/>
        </row>
        <row r="1333">
          <cell r="E1333"/>
          <cell r="F1333"/>
          <cell r="G1333"/>
          <cell r="H1333"/>
          <cell r="I1333"/>
          <cell r="J1333"/>
          <cell r="K1333"/>
          <cell r="L1333"/>
          <cell r="M1333"/>
        </row>
        <row r="1334">
          <cell r="E1334"/>
          <cell r="F1334"/>
          <cell r="G1334"/>
          <cell r="H1334"/>
          <cell r="I1334"/>
          <cell r="J1334"/>
          <cell r="K1334"/>
          <cell r="L1334"/>
          <cell r="M1334"/>
        </row>
        <row r="1335">
          <cell r="E1335"/>
          <cell r="F1335"/>
          <cell r="G1335"/>
          <cell r="H1335"/>
          <cell r="I1335"/>
          <cell r="J1335"/>
          <cell r="K1335"/>
          <cell r="L1335"/>
          <cell r="M1335"/>
        </row>
        <row r="1336">
          <cell r="E1336"/>
          <cell r="F1336"/>
          <cell r="G1336"/>
          <cell r="H1336"/>
          <cell r="I1336"/>
          <cell r="J1336"/>
          <cell r="K1336"/>
          <cell r="L1336"/>
          <cell r="M1336"/>
        </row>
        <row r="1337">
          <cell r="E1337"/>
          <cell r="F1337"/>
          <cell r="G1337"/>
          <cell r="H1337"/>
          <cell r="I1337"/>
          <cell r="J1337"/>
          <cell r="K1337"/>
          <cell r="L1337"/>
          <cell r="M1337"/>
        </row>
        <row r="1338">
          <cell r="E1338"/>
          <cell r="F1338"/>
          <cell r="G1338"/>
          <cell r="H1338"/>
          <cell r="I1338"/>
          <cell r="J1338"/>
          <cell r="K1338"/>
          <cell r="L1338"/>
          <cell r="M1338"/>
        </row>
        <row r="1339">
          <cell r="E1339"/>
          <cell r="F1339"/>
          <cell r="G1339"/>
          <cell r="H1339"/>
          <cell r="I1339"/>
          <cell r="J1339"/>
          <cell r="K1339"/>
          <cell r="L1339"/>
          <cell r="M1339"/>
        </row>
        <row r="1340">
          <cell r="E1340"/>
          <cell r="F1340"/>
          <cell r="G1340"/>
          <cell r="H1340"/>
          <cell r="I1340"/>
          <cell r="J1340"/>
          <cell r="K1340"/>
          <cell r="L1340"/>
          <cell r="M1340"/>
        </row>
        <row r="1341">
          <cell r="E1341"/>
          <cell r="F1341"/>
          <cell r="G1341"/>
          <cell r="H1341"/>
          <cell r="I1341"/>
          <cell r="J1341"/>
          <cell r="K1341"/>
          <cell r="L1341"/>
          <cell r="M1341"/>
        </row>
        <row r="1342">
          <cell r="E1342"/>
          <cell r="F1342"/>
          <cell r="G1342"/>
          <cell r="H1342"/>
          <cell r="I1342"/>
          <cell r="J1342"/>
          <cell r="K1342"/>
          <cell r="L1342"/>
          <cell r="M1342"/>
        </row>
        <row r="1343">
          <cell r="E1343"/>
          <cell r="F1343"/>
          <cell r="G1343"/>
          <cell r="H1343"/>
          <cell r="I1343"/>
          <cell r="J1343"/>
          <cell r="K1343"/>
          <cell r="L1343"/>
          <cell r="M1343"/>
        </row>
        <row r="1344">
          <cell r="E1344"/>
          <cell r="F1344"/>
          <cell r="G1344"/>
          <cell r="H1344"/>
          <cell r="I1344"/>
          <cell r="J1344"/>
          <cell r="K1344"/>
          <cell r="L1344"/>
          <cell r="M1344"/>
        </row>
        <row r="1345">
          <cell r="E1345"/>
          <cell r="F1345"/>
          <cell r="G1345"/>
          <cell r="H1345"/>
          <cell r="I1345"/>
          <cell r="J1345"/>
          <cell r="K1345"/>
          <cell r="L1345"/>
          <cell r="M1345"/>
        </row>
        <row r="1346">
          <cell r="E1346"/>
          <cell r="F1346"/>
          <cell r="G1346"/>
          <cell r="H1346"/>
          <cell r="I1346"/>
          <cell r="J1346"/>
          <cell r="K1346"/>
          <cell r="L1346"/>
          <cell r="M1346"/>
        </row>
        <row r="1347">
          <cell r="E1347"/>
          <cell r="F1347"/>
          <cell r="G1347"/>
          <cell r="H1347"/>
          <cell r="I1347"/>
          <cell r="J1347"/>
          <cell r="K1347"/>
          <cell r="L1347"/>
          <cell r="M1347"/>
        </row>
        <row r="1348">
          <cell r="E1348"/>
          <cell r="F1348"/>
          <cell r="G1348"/>
          <cell r="H1348"/>
          <cell r="I1348"/>
          <cell r="J1348"/>
          <cell r="K1348"/>
          <cell r="L1348"/>
          <cell r="M1348"/>
        </row>
        <row r="1349">
          <cell r="E1349"/>
          <cell r="F1349"/>
          <cell r="G1349"/>
          <cell r="H1349"/>
          <cell r="I1349"/>
          <cell r="J1349"/>
          <cell r="K1349"/>
          <cell r="L1349"/>
          <cell r="M1349"/>
        </row>
        <row r="1350">
          <cell r="E1350"/>
          <cell r="F1350"/>
          <cell r="G1350"/>
          <cell r="H1350"/>
          <cell r="I1350"/>
          <cell r="J1350"/>
          <cell r="K1350"/>
          <cell r="L1350"/>
          <cell r="M1350"/>
        </row>
        <row r="1351">
          <cell r="E1351"/>
          <cell r="F1351"/>
          <cell r="G1351"/>
          <cell r="H1351"/>
          <cell r="I1351"/>
          <cell r="J1351"/>
          <cell r="K1351"/>
          <cell r="L1351"/>
          <cell r="M1351"/>
        </row>
        <row r="1352">
          <cell r="E1352"/>
          <cell r="F1352"/>
          <cell r="G1352"/>
          <cell r="H1352"/>
          <cell r="I1352"/>
          <cell r="J1352"/>
          <cell r="K1352"/>
          <cell r="L1352"/>
          <cell r="M1352"/>
        </row>
        <row r="1353">
          <cell r="E1353"/>
          <cell r="F1353"/>
          <cell r="G1353"/>
          <cell r="H1353"/>
          <cell r="I1353"/>
          <cell r="J1353"/>
          <cell r="K1353"/>
          <cell r="L1353"/>
          <cell r="M1353"/>
        </row>
        <row r="1354">
          <cell r="E1354"/>
          <cell r="F1354"/>
          <cell r="G1354"/>
          <cell r="H1354"/>
          <cell r="I1354"/>
          <cell r="J1354"/>
          <cell r="K1354"/>
          <cell r="L1354"/>
          <cell r="M1354"/>
        </row>
        <row r="1355">
          <cell r="E1355"/>
          <cell r="F1355"/>
          <cell r="G1355"/>
          <cell r="H1355"/>
          <cell r="I1355"/>
          <cell r="J1355"/>
          <cell r="K1355"/>
          <cell r="L1355"/>
          <cell r="M1355"/>
        </row>
        <row r="1356">
          <cell r="E1356"/>
          <cell r="F1356"/>
          <cell r="G1356"/>
          <cell r="H1356"/>
          <cell r="I1356"/>
          <cell r="J1356"/>
          <cell r="K1356"/>
          <cell r="L1356"/>
          <cell r="M1356"/>
        </row>
        <row r="1357">
          <cell r="E1357"/>
          <cell r="F1357"/>
          <cell r="G1357"/>
          <cell r="H1357"/>
          <cell r="I1357"/>
          <cell r="J1357"/>
          <cell r="K1357"/>
          <cell r="L1357"/>
          <cell r="M1357"/>
        </row>
        <row r="1358">
          <cell r="E1358"/>
          <cell r="F1358"/>
          <cell r="G1358"/>
          <cell r="H1358"/>
          <cell r="I1358"/>
          <cell r="J1358"/>
          <cell r="K1358"/>
          <cell r="L1358"/>
          <cell r="M1358"/>
        </row>
        <row r="1359">
          <cell r="E1359"/>
          <cell r="F1359"/>
          <cell r="G1359"/>
          <cell r="H1359"/>
          <cell r="I1359"/>
          <cell r="J1359"/>
          <cell r="K1359"/>
          <cell r="L1359"/>
          <cell r="M1359"/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"/>
      <sheetName val="Kaykarta Name"/>
      <sheetName val="Sheet3"/>
      <sheetName val="Sheet1"/>
      <sheetName val="ML"/>
    </sheetNames>
    <sheetDataSet>
      <sheetData sheetId="0">
        <row r="2056">
          <cell r="E2056" t="str">
            <v>Ramesvar Prasad Sachoriya</v>
          </cell>
        </row>
        <row r="2057">
          <cell r="E2057" t="str">
            <v>Santosh Devi Sachoriya</v>
          </cell>
        </row>
        <row r="2058">
          <cell r="E2058" t="str">
            <v>Bansi Lal</v>
          </cell>
        </row>
        <row r="2059">
          <cell r="E2059" t="str">
            <v xml:space="preserve">Manphuli Devi </v>
          </cell>
        </row>
        <row r="2060">
          <cell r="E2060" t="str">
            <v>Dindayal Balai</v>
          </cell>
        </row>
        <row r="2061">
          <cell r="E2061" t="str">
            <v>Mohit Balai</v>
          </cell>
        </row>
        <row r="2062">
          <cell r="E2062" t="str">
            <v>Divyansi Kimari Depan</v>
          </cell>
        </row>
        <row r="2063">
          <cell r="E2063" t="str">
            <v>Aaman Kumar Depan</v>
          </cell>
        </row>
        <row r="2064">
          <cell r="E2064" t="str">
            <v>Sunita Devi Depan</v>
          </cell>
        </row>
        <row r="2065">
          <cell r="E2065" t="str">
            <v>Hari Om Balai</v>
          </cell>
        </row>
        <row r="2066">
          <cell r="E2066" t="str">
            <v>Darm Pal Bunkar</v>
          </cell>
        </row>
        <row r="2067">
          <cell r="E2067" t="str">
            <v>Babu Lal Gotwal</v>
          </cell>
        </row>
        <row r="2068">
          <cell r="E2068" t="str">
            <v>Jyoti Devi Gotwal</v>
          </cell>
        </row>
        <row r="2069">
          <cell r="E2069" t="str">
            <v>Kiran Kumari Gotwal</v>
          </cell>
        </row>
        <row r="2070">
          <cell r="E2070" t="str">
            <v>Himansu Kumar Gotwal</v>
          </cell>
        </row>
        <row r="2071">
          <cell r="E2071" t="str">
            <v>Ram Prasad Gotwal</v>
          </cell>
        </row>
        <row r="2072">
          <cell r="E2072" t="str">
            <v>Bansi lal Gotwal</v>
          </cell>
        </row>
        <row r="2073">
          <cell r="E2073" t="str">
            <v>Niramala Devi Gotwal</v>
          </cell>
        </row>
        <row r="2074">
          <cell r="E2074" t="str">
            <v>Moti Lal Gotwal</v>
          </cell>
        </row>
        <row r="2075">
          <cell r="E2075" t="str">
            <v>Raja Devi Gotwal</v>
          </cell>
        </row>
        <row r="2076">
          <cell r="E2076" t="str">
            <v>Komal Kumari Gotwal</v>
          </cell>
        </row>
        <row r="2077">
          <cell r="E2077" t="str">
            <v>Ganpat Lal Kandela</v>
          </cell>
        </row>
        <row r="2078">
          <cell r="E2078" t="str">
            <v>Supyari Devi Kandela</v>
          </cell>
        </row>
        <row r="2079">
          <cell r="E2079" t="str">
            <v>Bansi Lal Bunkar</v>
          </cell>
        </row>
        <row r="2080">
          <cell r="E2080" t="str">
            <v>Jitendr Kumar Bunkar</v>
          </cell>
        </row>
        <row r="2081">
          <cell r="E2081" t="str">
            <v>Tija Bunkar</v>
          </cell>
        </row>
        <row r="2082">
          <cell r="E2082" t="str">
            <v>Nand Kisor Khandelwal</v>
          </cell>
        </row>
        <row r="2083">
          <cell r="E2083" t="str">
            <v>Bharti Devi Khandelwal</v>
          </cell>
        </row>
        <row r="2084">
          <cell r="E2084" t="str">
            <v>Mansi Kumari</v>
          </cell>
        </row>
        <row r="2085">
          <cell r="E2085" t="str">
            <v>Banvari Lal Bunakar</v>
          </cell>
        </row>
        <row r="2086">
          <cell r="E2086" t="str">
            <v>Ramsvrup Bunakar</v>
          </cell>
        </row>
        <row r="2087">
          <cell r="E2087" t="str">
            <v>Magi Devi</v>
          </cell>
        </row>
        <row r="2088">
          <cell r="E2088" t="str">
            <v>Vansika  Khardiya</v>
          </cell>
        </row>
        <row r="2089">
          <cell r="E2089" t="str">
            <v>Hanni kumar khardiya</v>
          </cell>
        </row>
        <row r="2090">
          <cell r="E2090" t="str">
            <v>Kailash Chand Varma</v>
          </cell>
        </row>
        <row r="2091">
          <cell r="E2091" t="str">
            <v>Kamala Devi</v>
          </cell>
        </row>
        <row r="2092">
          <cell r="E2092" t="str">
            <v>Parvati Devi</v>
          </cell>
        </row>
        <row r="2093">
          <cell r="E2093" t="str">
            <v>Nikhil Kumar Bayala</v>
          </cell>
        </row>
        <row r="2094">
          <cell r="E2094" t="str">
            <v>Gorav Kumar Bayala</v>
          </cell>
        </row>
        <row r="2095">
          <cell r="E2095" t="str">
            <v>Kasis Kumari Kala</v>
          </cell>
        </row>
        <row r="2096">
          <cell r="E2096" t="str">
            <v>Harinarayan Khatti</v>
          </cell>
        </row>
        <row r="2097">
          <cell r="E2097" t="str">
            <v>Rukama Devi Khatti</v>
          </cell>
        </row>
        <row r="2098">
          <cell r="E2098" t="str">
            <v>Rajendr Khatti</v>
          </cell>
        </row>
        <row r="2099">
          <cell r="E2099" t="str">
            <v>Ratan Lal Khatti</v>
          </cell>
        </row>
        <row r="2100">
          <cell r="E2100" t="str">
            <v>Maya Devi Khatti</v>
          </cell>
        </row>
        <row r="2101">
          <cell r="E2101" t="str">
            <v>Kana Ram Khatti</v>
          </cell>
        </row>
        <row r="2102">
          <cell r="E2102" t="str">
            <v>Om Prakash Khatti</v>
          </cell>
        </row>
        <row r="2103">
          <cell r="E2103" t="str">
            <v>Puspa Devi Khatti</v>
          </cell>
        </row>
        <row r="2104">
          <cell r="E2104" t="str">
            <v>Surendr Khatti</v>
          </cell>
        </row>
        <row r="2105">
          <cell r="E2105" t="str">
            <v>Rahul Khatti</v>
          </cell>
        </row>
        <row r="2106">
          <cell r="E2106" t="str">
            <v>Ram Lal Bunkar</v>
          </cell>
        </row>
        <row r="2107">
          <cell r="E2107" t="str">
            <v>Jitesh Bunkar</v>
          </cell>
        </row>
        <row r="2108">
          <cell r="E2108" t="str">
            <v>Aman Kumar Badela</v>
          </cell>
        </row>
        <row r="2109">
          <cell r="E2109" t="str">
            <v>Pappu Kumar Badela</v>
          </cell>
        </row>
        <row r="2110">
          <cell r="E2110" t="str">
            <v xml:space="preserve">Sankar Lal </v>
          </cell>
        </row>
        <row r="2111">
          <cell r="E2111" t="str">
            <v>Sivam</v>
          </cell>
        </row>
        <row r="2112">
          <cell r="E2112" t="str">
            <v xml:space="preserve">Pinki </v>
          </cell>
        </row>
        <row r="2113">
          <cell r="E2113" t="str">
            <v xml:space="preserve">Kanhaiya Lal </v>
          </cell>
        </row>
        <row r="2114">
          <cell r="E2114" t="str">
            <v>Minu Devi</v>
          </cell>
        </row>
        <row r="2115">
          <cell r="E2115" t="str">
            <v>Ramkisor</v>
          </cell>
        </row>
        <row r="2116">
          <cell r="E2116" t="str">
            <v>Basu Kumari</v>
          </cell>
        </row>
        <row r="2117">
          <cell r="E2117" t="str">
            <v>Mamata Devi Meharda</v>
          </cell>
        </row>
        <row r="2118">
          <cell r="E2118" t="str">
            <v>Komal Kumari Meharda</v>
          </cell>
        </row>
        <row r="2119">
          <cell r="E2119" t="str">
            <v>Babu Lal Bari</v>
          </cell>
        </row>
        <row r="2120">
          <cell r="E2120" t="str">
            <v>Sima Bari</v>
          </cell>
        </row>
        <row r="2121">
          <cell r="E2121" t="str">
            <v>Ramchandr Dokhoriya</v>
          </cell>
        </row>
        <row r="2122">
          <cell r="E2122" t="str">
            <v>palak Dokhoriya</v>
          </cell>
        </row>
        <row r="2123">
          <cell r="E2123" t="str">
            <v>Rahul Kumar Dokhoriya</v>
          </cell>
        </row>
        <row r="2124">
          <cell r="E2124" t="str">
            <v>Payal kumari Dokhoriya</v>
          </cell>
        </row>
        <row r="2125">
          <cell r="E2125" t="str">
            <v>Palak Kumari Dokhoriya</v>
          </cell>
        </row>
        <row r="2126">
          <cell r="E2126" t="str">
            <v>Rahul Kumar Dokhoriya</v>
          </cell>
        </row>
        <row r="2127">
          <cell r="E2127" t="str">
            <v>Jagadish Kumar Dokhoriya</v>
          </cell>
        </row>
        <row r="2128">
          <cell r="E2128" t="str">
            <v>Gulab devi Meharda</v>
          </cell>
        </row>
        <row r="2129">
          <cell r="E2129" t="str">
            <v>Ram Kumar Meharda</v>
          </cell>
        </row>
        <row r="2130">
          <cell r="E2130" t="str">
            <v>Manju Devi Meharda</v>
          </cell>
        </row>
        <row r="2131">
          <cell r="E2131" t="str">
            <v>Rekha Kumari Meharda</v>
          </cell>
        </row>
        <row r="2132">
          <cell r="E2132" t="str">
            <v>Avinash Meharda</v>
          </cell>
        </row>
        <row r="2133">
          <cell r="E2133" t="str">
            <v>Mohan Lal Khardiya</v>
          </cell>
        </row>
        <row r="2134">
          <cell r="E2134" t="str">
            <v>Gora Kumari Khardiya</v>
          </cell>
        </row>
        <row r="2135">
          <cell r="E2135" t="str">
            <v>Prahalad Ladana</v>
          </cell>
        </row>
        <row r="2136">
          <cell r="E2136" t="str">
            <v>Vimala Devi Ladana</v>
          </cell>
        </row>
        <row r="2137">
          <cell r="E2137" t="str">
            <v>Manoj Kumar Bunkar</v>
          </cell>
        </row>
        <row r="2138">
          <cell r="E2138" t="str">
            <v>Badam Devi  Maharda</v>
          </cell>
        </row>
        <row r="2139">
          <cell r="E2139" t="str">
            <v>Pinki Bunkar</v>
          </cell>
        </row>
        <row r="2140">
          <cell r="E2140" t="str">
            <v>Nikhil Kumar Bunkar</v>
          </cell>
        </row>
        <row r="2141">
          <cell r="E2141" t="str">
            <v>Nitu Varma</v>
          </cell>
        </row>
        <row r="2142">
          <cell r="E2142" t="str">
            <v>Annu Varma</v>
          </cell>
        </row>
        <row r="2143">
          <cell r="E2143" t="str">
            <v>Ladu Ram Bhati</v>
          </cell>
        </row>
        <row r="2144">
          <cell r="E2144" t="str">
            <v>Kiran Kumari Bhati</v>
          </cell>
        </row>
        <row r="2145">
          <cell r="E2145" t="str">
            <v>Harsit Kumar Surela</v>
          </cell>
        </row>
        <row r="2146">
          <cell r="E2146" t="str">
            <v>Rasika Kumari  Surela</v>
          </cell>
        </row>
        <row r="2147">
          <cell r="E2147" t="str">
            <v>Kisan Varma</v>
          </cell>
        </row>
        <row r="2148">
          <cell r="E2148" t="str">
            <v>Rahul Varma</v>
          </cell>
        </row>
        <row r="2149">
          <cell r="E2149" t="str">
            <v>Priyanka Varma</v>
          </cell>
        </row>
        <row r="2150">
          <cell r="E2150" t="str">
            <v>Gopal Lal Khatti</v>
          </cell>
        </row>
        <row r="2151">
          <cell r="E2151" t="str">
            <v>Sundari Devi Khatti</v>
          </cell>
        </row>
        <row r="2152">
          <cell r="E2152" t="str">
            <v>Gita Devi Khatti</v>
          </cell>
        </row>
        <row r="2153">
          <cell r="E2153" t="str">
            <v>Puja devi Khatti</v>
          </cell>
        </row>
        <row r="2154">
          <cell r="E2154" t="str">
            <v>Gopal Lal Khatti</v>
          </cell>
        </row>
        <row r="2155">
          <cell r="E2155" t="str">
            <v>Sankar Lal Bagamar</v>
          </cell>
        </row>
        <row r="2156">
          <cell r="E2156" t="str">
            <v>Puja Kumari Bagamar</v>
          </cell>
        </row>
        <row r="2157">
          <cell r="E2157" t="str">
            <v>Jay Kumar Bagamar</v>
          </cell>
        </row>
        <row r="2158">
          <cell r="E2158" t="str">
            <v>Jay Kumar Bagamar</v>
          </cell>
        </row>
        <row r="2159">
          <cell r="E2159" t="str">
            <v>Shanker Lal Bagmar</v>
          </cell>
        </row>
        <row r="2160">
          <cell r="E2160" t="str">
            <v>Puja Kumari Bagamar</v>
          </cell>
        </row>
        <row r="2161">
          <cell r="E2161" t="str">
            <v>Soniya Kumari Bagamar</v>
          </cell>
        </row>
        <row r="2162">
          <cell r="E2162" t="str">
            <v>Muskan Chiraniya</v>
          </cell>
        </row>
        <row r="2163">
          <cell r="E2163" t="str">
            <v>VnsikaChiraniya</v>
          </cell>
        </row>
        <row r="2164">
          <cell r="E2164" t="str">
            <v>Harsit Chiraniya</v>
          </cell>
        </row>
        <row r="2165">
          <cell r="E2165" t="str">
            <v>Nanu Ram Varma</v>
          </cell>
        </row>
        <row r="2166">
          <cell r="E2166" t="str">
            <v>Rekha Devi Varma</v>
          </cell>
        </row>
        <row r="2167">
          <cell r="E2167" t="str">
            <v>Kishan Lal Sachoriya</v>
          </cell>
        </row>
        <row r="2168">
          <cell r="E2168" t="str">
            <v>Lihan Pachriya</v>
          </cell>
        </row>
        <row r="2169">
          <cell r="E2169" t="str">
            <v>Hiya Pachriya</v>
          </cell>
        </row>
        <row r="2170">
          <cell r="E2170" t="str">
            <v>Bharu Ram Bunkar</v>
          </cell>
        </row>
        <row r="2171">
          <cell r="E2171" t="str">
            <v>Dipak Bunkar</v>
          </cell>
        </row>
        <row r="2172">
          <cell r="E2172" t="str">
            <v>Rajan Devi Bunkar</v>
          </cell>
        </row>
        <row r="2173">
          <cell r="E2173" t="str">
            <v>Ramesvar Sachoriya</v>
          </cell>
        </row>
        <row r="2174">
          <cell r="E2174" t="str">
            <v>Mamta Devi Sachoriya</v>
          </cell>
        </row>
        <row r="2175">
          <cell r="E2175" t="str">
            <v>Rekha Kumari Sachoriya</v>
          </cell>
        </row>
        <row r="2176">
          <cell r="E2176" t="str">
            <v>Hira Devi Kairapa</v>
          </cell>
        </row>
        <row r="2177">
          <cell r="E2177" t="str">
            <v>Mohan Lal Maharda</v>
          </cell>
        </row>
        <row r="2178">
          <cell r="E2178" t="str">
            <v>Ajay Kumar Meharda</v>
          </cell>
        </row>
        <row r="2179">
          <cell r="E2179" t="str">
            <v>Mohan Lal Maharda</v>
          </cell>
        </row>
        <row r="2180">
          <cell r="E2180" t="str">
            <v>Vimala Devi Meharda</v>
          </cell>
        </row>
        <row r="2181">
          <cell r="E2181" t="str">
            <v>Mnisha kumari Meharda</v>
          </cell>
        </row>
        <row r="2182">
          <cell r="E2182" t="str">
            <v>Kamalesh Khoval</v>
          </cell>
        </row>
        <row r="2183">
          <cell r="E2183" t="str">
            <v>Dhanna Lal Khoval</v>
          </cell>
        </row>
        <row r="2184">
          <cell r="E2184" t="str">
            <v>Suman Devi Khoval</v>
          </cell>
        </row>
        <row r="2185">
          <cell r="E2185" t="str">
            <v>Mukesh Kumar Maharda</v>
          </cell>
        </row>
        <row r="2186">
          <cell r="E2186" t="str">
            <v>Ramdayal Meharda</v>
          </cell>
        </row>
        <row r="2187">
          <cell r="E2187" t="str">
            <v>Kailash Chand Meharda</v>
          </cell>
        </row>
        <row r="2188">
          <cell r="E2188" t="str">
            <v>Gayatri Devi Mehrda</v>
          </cell>
        </row>
        <row r="2189">
          <cell r="E2189" t="str">
            <v>Anisha Kumari Meharda</v>
          </cell>
        </row>
        <row r="2190">
          <cell r="E2190" t="str">
            <v>Gyarsi Devi Meharda</v>
          </cell>
        </row>
        <row r="2191">
          <cell r="E2191" t="str">
            <v>Ramesh Kumar Meharda</v>
          </cell>
        </row>
        <row r="2192">
          <cell r="E2192" t="str">
            <v>Aman Kumar Meharda</v>
          </cell>
        </row>
        <row r="2193">
          <cell r="E2193" t="str">
            <v>Anupriya Kumari Meharda</v>
          </cell>
        </row>
        <row r="2194">
          <cell r="E2194" t="str">
            <v>Mamata devi Meharda</v>
          </cell>
        </row>
        <row r="2195">
          <cell r="E2195" t="str">
            <v>Surendr Kumar Lohiya</v>
          </cell>
        </row>
        <row r="2196">
          <cell r="E2196" t="str">
            <v>Ratana Devi Lohiya</v>
          </cell>
        </row>
        <row r="2197">
          <cell r="E2197" t="str">
            <v>Suman Devi Lohiya</v>
          </cell>
        </row>
        <row r="2198">
          <cell r="E2198" t="str">
            <v>Taniska Balai</v>
          </cell>
        </row>
        <row r="2199">
          <cell r="E2199" t="str">
            <v>Mohit Balai</v>
          </cell>
        </row>
        <row r="2200">
          <cell r="E2200" t="str">
            <v>Annil Varma</v>
          </cell>
        </row>
        <row r="2201">
          <cell r="E2201" t="str">
            <v>Yas Kumar Chitaroliya</v>
          </cell>
        </row>
        <row r="2202">
          <cell r="E2202" t="str">
            <v>Bajarng Lal Chitaroliya</v>
          </cell>
        </row>
        <row r="2203">
          <cell r="E2203" t="str">
            <v>Ramgopal Bunkar</v>
          </cell>
        </row>
        <row r="2204">
          <cell r="E2204" t="str">
            <v>Nathi Devi Bunkar</v>
          </cell>
        </row>
        <row r="2205">
          <cell r="E2205" t="str">
            <v>Krasna Devi Bunkar</v>
          </cell>
        </row>
        <row r="2206">
          <cell r="E2206" t="str">
            <v>Yas Kumar Bunkar</v>
          </cell>
        </row>
        <row r="2207">
          <cell r="E2207" t="str">
            <v>Kajod Mal Bunkar</v>
          </cell>
        </row>
        <row r="2208">
          <cell r="E2208" t="str">
            <v>radip Kumar Pachariya</v>
          </cell>
        </row>
        <row r="2209">
          <cell r="E2209" t="str">
            <v>Birdi Chand Pachariya</v>
          </cell>
        </row>
        <row r="2210">
          <cell r="E2210" t="str">
            <v>Manphuli Devi Pachariya</v>
          </cell>
        </row>
        <row r="2211">
          <cell r="E2211" t="str">
            <v>Aasa Kumari Pachariya</v>
          </cell>
        </row>
        <row r="2212">
          <cell r="E2212" t="str">
            <v>Rosan Pachariya</v>
          </cell>
        </row>
        <row r="2213">
          <cell r="E2213" t="str">
            <v>Lavyansi Kandela</v>
          </cell>
        </row>
        <row r="2214">
          <cell r="E2214" t="str">
            <v>Ramesh chand Balai</v>
          </cell>
        </row>
        <row r="2215">
          <cell r="E2215" t="str">
            <v>Manju Devi Balai</v>
          </cell>
        </row>
        <row r="2216">
          <cell r="E2216" t="str">
            <v>Ronag Balai</v>
          </cell>
        </row>
        <row r="2217">
          <cell r="E2217" t="str">
            <v>Sisupal Khadiya</v>
          </cell>
        </row>
        <row r="2218">
          <cell r="E2218" t="str">
            <v>Suman Devi Khadiya</v>
          </cell>
        </row>
        <row r="2219">
          <cell r="E2219" t="str">
            <v>Chetan Kumar Khadiya</v>
          </cell>
        </row>
        <row r="2220">
          <cell r="E2220" t="str">
            <v>Gulab Devi Sachoriya</v>
          </cell>
        </row>
        <row r="2221">
          <cell r="E2221" t="str">
            <v>Manna Devi Kala</v>
          </cell>
        </row>
        <row r="2222">
          <cell r="E2222" t="str">
            <v>Ramotar Balai</v>
          </cell>
        </row>
        <row r="2223">
          <cell r="E2223" t="str">
            <v>Puja Devi Balai</v>
          </cell>
        </row>
        <row r="2224">
          <cell r="E2224" t="str">
            <v>Yas Kumar Balai</v>
          </cell>
        </row>
        <row r="2225">
          <cell r="E2225" t="str">
            <v>Dhanna Lal Balai</v>
          </cell>
        </row>
        <row r="2226">
          <cell r="E2226" t="str">
            <v>Surgyani Devi Balai</v>
          </cell>
        </row>
        <row r="2227">
          <cell r="E2227" t="str">
            <v>Hanuman Sahay Bayala</v>
          </cell>
        </row>
        <row r="2228">
          <cell r="E2228" t="str">
            <v>Sarda Devi Bayala</v>
          </cell>
        </row>
        <row r="2229">
          <cell r="E2229" t="str">
            <v>Neha Kumari Bayala</v>
          </cell>
        </row>
        <row r="2230">
          <cell r="E2230" t="str">
            <v>Tani Parihar</v>
          </cell>
        </row>
        <row r="2231">
          <cell r="E2231" t="str">
            <v>Axay Parihar</v>
          </cell>
        </row>
        <row r="2232">
          <cell r="E2232" t="str">
            <v>Kasturi Devi Parihar</v>
          </cell>
        </row>
        <row r="2233">
          <cell r="E2233" t="str">
            <v>Ratan Lal Khatti</v>
          </cell>
        </row>
        <row r="2234">
          <cell r="E2234" t="str">
            <v>Maya Devi Khatti</v>
          </cell>
        </row>
        <row r="2235">
          <cell r="E2235" t="str">
            <v>Harinarayan Khatti</v>
          </cell>
        </row>
        <row r="2236">
          <cell r="E2236" t="str">
            <v>Ramchandr Khatti</v>
          </cell>
        </row>
        <row r="2237">
          <cell r="E2237" t="str">
            <v>Mafuli Khatti</v>
          </cell>
        </row>
        <row r="2238">
          <cell r="E2238" t="str">
            <v>Anita Khatti</v>
          </cell>
        </row>
        <row r="2239">
          <cell r="E2239" t="str">
            <v>Govind Khatti</v>
          </cell>
        </row>
        <row r="2240">
          <cell r="E2240" t="str">
            <v>Fuli Devi Khatti</v>
          </cell>
        </row>
        <row r="2241">
          <cell r="E2241" t="str">
            <v>Komal Khatti</v>
          </cell>
        </row>
        <row r="2242">
          <cell r="E2242" t="str">
            <v>Guddi Khatti</v>
          </cell>
        </row>
        <row r="2243">
          <cell r="E2243" t="str">
            <v>Sanjay Khatti</v>
          </cell>
        </row>
        <row r="2244">
          <cell r="E2244" t="str">
            <v>Payal Khatti</v>
          </cell>
        </row>
        <row r="2245">
          <cell r="E2245" t="str">
            <v>Sanjay Khatti</v>
          </cell>
        </row>
        <row r="2246">
          <cell r="E2246" t="str">
            <v>Nitesh Sachoriya</v>
          </cell>
        </row>
        <row r="2247">
          <cell r="E2247" t="str">
            <v>Rahul Sachoriya</v>
          </cell>
        </row>
        <row r="2248">
          <cell r="E2248" t="str">
            <v>Pappu Sachoriya</v>
          </cell>
        </row>
        <row r="2249">
          <cell r="E2249" t="str">
            <v>Kamala  Sachoriya</v>
          </cell>
        </row>
        <row r="2250">
          <cell r="E2250" t="str">
            <v>Suva Lal Narnoliya</v>
          </cell>
        </row>
        <row r="2251">
          <cell r="E2251" t="str">
            <v>Gorv Narnoliya</v>
          </cell>
        </row>
        <row r="2252">
          <cell r="E2252" t="str">
            <v>Sampati Devi Narnoliya</v>
          </cell>
        </row>
        <row r="2253">
          <cell r="E2253" t="str">
            <v>Priyansu Narnoliya</v>
          </cell>
        </row>
        <row r="2254">
          <cell r="E2254" t="str">
            <v>Mohan Lal Maharda</v>
          </cell>
        </row>
        <row r="2255">
          <cell r="E2255" t="str">
            <v>Ajay Kumar Meharda</v>
          </cell>
        </row>
        <row r="2256">
          <cell r="E2256" t="str">
            <v>Vijay Lal Maharda</v>
          </cell>
        </row>
        <row r="2257">
          <cell r="E2257" t="str">
            <v>Sankar Lal Devanda</v>
          </cell>
        </row>
        <row r="2258">
          <cell r="E2258" t="str">
            <v>Lala Ram Devanda</v>
          </cell>
        </row>
        <row r="2259">
          <cell r="E2259" t="str">
            <v>Lali Devi Devanda</v>
          </cell>
        </row>
        <row r="2263">
          <cell r="E2263" t="str">
            <v>Rahul Kumar Dokhoriya</v>
          </cell>
        </row>
        <row r="2264">
          <cell r="E2264" t="str">
            <v>Jagadish Kumar Dokhoriya</v>
          </cell>
        </row>
        <row r="2265">
          <cell r="E2265" t="str">
            <v>Mahendr Kumar Lohiya</v>
          </cell>
        </row>
        <row r="2266">
          <cell r="E2266" t="str">
            <v>Sima Devi Lohiya</v>
          </cell>
        </row>
        <row r="2267">
          <cell r="E2267" t="str">
            <v>Kisan Lal Varma</v>
          </cell>
        </row>
        <row r="2268">
          <cell r="E2268" t="str">
            <v>Manju Devi Varma</v>
          </cell>
        </row>
        <row r="2269">
          <cell r="E2269" t="str">
            <v>Ram Kisor Varma</v>
          </cell>
        </row>
        <row r="2270">
          <cell r="E2270" t="str">
            <v>Manoj Varma</v>
          </cell>
        </row>
        <row r="2271">
          <cell r="E2271" t="str">
            <v>Suresh Kumar Gudesar</v>
          </cell>
        </row>
        <row r="2272">
          <cell r="E2272" t="str">
            <v>Mamta Gudesar</v>
          </cell>
        </row>
        <row r="2273">
          <cell r="E2273" t="str">
            <v>Prahalad Ladana</v>
          </cell>
        </row>
        <row r="2274">
          <cell r="E2274" t="str">
            <v>Lokesh Kumar Ladana</v>
          </cell>
        </row>
        <row r="2275">
          <cell r="E2275" t="str">
            <v>Rajesh Kumar Saravata</v>
          </cell>
        </row>
        <row r="2276">
          <cell r="E2276" t="str">
            <v>Laxi Devi Saravata</v>
          </cell>
        </row>
        <row r="2277">
          <cell r="E2277" t="str">
            <v>Arjun Lal Saravata</v>
          </cell>
        </row>
        <row r="2278">
          <cell r="E2278" t="str">
            <v>Priti Kumari Saravata</v>
          </cell>
        </row>
        <row r="2279">
          <cell r="E2279" t="str">
            <v>Yas Kumar Saravata</v>
          </cell>
        </row>
        <row r="2280">
          <cell r="E2280" t="str">
            <v>Banvari Lal Baravad</v>
          </cell>
        </row>
        <row r="2281">
          <cell r="E2281" t="str">
            <v>Puja kumari  Baravad</v>
          </cell>
        </row>
        <row r="2282">
          <cell r="E2282" t="str">
            <v>Varun Baravad</v>
          </cell>
        </row>
        <row r="2283">
          <cell r="E2283" t="str">
            <v>Ram Lal Baravad</v>
          </cell>
        </row>
        <row r="2284">
          <cell r="E2284" t="str">
            <v>Punam Devi Baravad</v>
          </cell>
        </row>
        <row r="2285">
          <cell r="E2285" t="str">
            <v>Prins Kumar Baravad</v>
          </cell>
        </row>
        <row r="2286">
          <cell r="E2286" t="str">
            <v>Natu Ram Chohan</v>
          </cell>
        </row>
        <row r="2287">
          <cell r="E2287" t="str">
            <v>Vikash Kumar Chohan</v>
          </cell>
        </row>
        <row r="2288">
          <cell r="E2288" t="str">
            <v>Vinod Kumar Chohan</v>
          </cell>
        </row>
        <row r="2289">
          <cell r="E2289" t="str">
            <v>Kamalesh Kumar Chohan</v>
          </cell>
        </row>
        <row r="2290">
          <cell r="E2290" t="str">
            <v>Barji Devi Chohan</v>
          </cell>
        </row>
        <row r="2291">
          <cell r="E2291" t="str">
            <v>Lala Ram Bunkar</v>
          </cell>
        </row>
        <row r="2292">
          <cell r="E2292" t="str">
            <v>Harsit Kumar Bunkar</v>
          </cell>
        </row>
        <row r="2293">
          <cell r="E2293" t="str">
            <v>Sohal Lal Meharda</v>
          </cell>
        </row>
        <row r="2294">
          <cell r="E2294" t="str">
            <v>Babli Devi Meharda</v>
          </cell>
        </row>
        <row r="2295">
          <cell r="E2295" t="str">
            <v>Anjali Kumari Meharda</v>
          </cell>
        </row>
        <row r="2296">
          <cell r="E2296" t="str">
            <v>Komal Kumari Meharda</v>
          </cell>
        </row>
        <row r="2297">
          <cell r="E2297" t="str">
            <v>Arpita Kumari Meharda</v>
          </cell>
        </row>
        <row r="2298">
          <cell r="E2298" t="str">
            <v>neha Kumari meharada</v>
          </cell>
        </row>
        <row r="2299">
          <cell r="E2299" t="str">
            <v>Hanuman Meharda</v>
          </cell>
        </row>
        <row r="2300">
          <cell r="E2300" t="str">
            <v>Suman Devi Meharda</v>
          </cell>
        </row>
        <row r="2301">
          <cell r="E2301" t="str">
            <v>Hanuman Meharda</v>
          </cell>
        </row>
        <row r="2302">
          <cell r="E2302" t="str">
            <v>Suman Devi Meharda</v>
          </cell>
        </row>
        <row r="2303">
          <cell r="E2303" t="str">
            <v>Mahendr Kumar Meharda</v>
          </cell>
        </row>
        <row r="2304">
          <cell r="E2304" t="str">
            <v>Ganapat Lal Meharda</v>
          </cell>
        </row>
        <row r="2305">
          <cell r="E2305" t="str">
            <v>Sonaxi Devi Meharda</v>
          </cell>
        </row>
        <row r="2306">
          <cell r="E2306" t="str">
            <v>Balram Meharda</v>
          </cell>
        </row>
        <row r="2307">
          <cell r="E2307" t="str">
            <v>Mona Devi Meharda</v>
          </cell>
        </row>
        <row r="2308">
          <cell r="E2308" t="str">
            <v>Bhavya Kumari Meharda</v>
          </cell>
        </row>
        <row r="2309">
          <cell r="E2309" t="str">
            <v>Bihan Kumar Meharda</v>
          </cell>
        </row>
        <row r="2310">
          <cell r="E2310" t="str">
            <v>Kana Ram Khatti</v>
          </cell>
        </row>
        <row r="2311">
          <cell r="E2311" t="str">
            <v>Rahul Kumar Khatti</v>
          </cell>
        </row>
        <row r="2312">
          <cell r="E2312" t="str">
            <v>Om Prakash Khatti</v>
          </cell>
        </row>
        <row r="2313">
          <cell r="E2313" t="str">
            <v>Harinarayan Khatti</v>
          </cell>
        </row>
        <row r="2314">
          <cell r="E2314" t="str">
            <v>Rukama Devi Khatti</v>
          </cell>
        </row>
        <row r="2315">
          <cell r="E2315" t="str">
            <v>Rajendr Khatti</v>
          </cell>
        </row>
        <row r="2316">
          <cell r="E2316" t="str">
            <v>Gopal Lal Khatti</v>
          </cell>
        </row>
        <row r="2317">
          <cell r="E2317" t="str">
            <v>Puja Khatti</v>
          </cell>
        </row>
        <row r="2318">
          <cell r="E2318" t="str">
            <v>Birdi Chand Chitaroliya</v>
          </cell>
        </row>
        <row r="2319">
          <cell r="E2319" t="str">
            <v>Santosh Devi Chitaroliya</v>
          </cell>
        </row>
        <row r="2320">
          <cell r="E2320" t="str">
            <v>Payal kumari Chitroliya</v>
          </cell>
        </row>
        <row r="2321">
          <cell r="E2321" t="str">
            <v>Ravi Kumar Chitaroliya</v>
          </cell>
        </row>
        <row r="2322">
          <cell r="E2322" t="str">
            <v>Prabhati Devi Chitaroliya</v>
          </cell>
        </row>
        <row r="2323">
          <cell r="E2323" t="str">
            <v>Khem Chand Meharda</v>
          </cell>
        </row>
        <row r="2324">
          <cell r="E2324" t="str">
            <v>Roshan Lal Meharda</v>
          </cell>
        </row>
        <row r="2325">
          <cell r="E2325" t="str">
            <v>Anita Devi Meharda</v>
          </cell>
        </row>
        <row r="2326">
          <cell r="E2326" t="str">
            <v>Vishal Kumar Meharda</v>
          </cell>
        </row>
        <row r="2327">
          <cell r="E2327" t="str">
            <v>Muskan Kumari Meharda</v>
          </cell>
        </row>
        <row r="2328">
          <cell r="E2328" t="str">
            <v>Khem Chand Meharda</v>
          </cell>
        </row>
        <row r="2329">
          <cell r="E2329" t="str">
            <v>Roshan Lal Meharda</v>
          </cell>
        </row>
        <row r="2330">
          <cell r="E2330" t="str">
            <v>Anita Devi Meharda</v>
          </cell>
        </row>
        <row r="2331">
          <cell r="E2331" t="str">
            <v>Birdi Chand Pachariya</v>
          </cell>
        </row>
        <row r="2332">
          <cell r="E2332" t="str">
            <v>Manpuli Devi  Pachariya</v>
          </cell>
        </row>
        <row r="2333">
          <cell r="E2333" t="str">
            <v>Aasa Kumari Pachariya</v>
          </cell>
        </row>
        <row r="2334">
          <cell r="E2334" t="str">
            <v>Bhagavati Devi Pachariya</v>
          </cell>
        </row>
        <row r="2335">
          <cell r="E2335" t="str">
            <v>Rosan Pachariya</v>
          </cell>
        </row>
        <row r="2336">
          <cell r="E2336" t="str">
            <v>Muli Devi Meharda</v>
          </cell>
        </row>
        <row r="2337">
          <cell r="E2337" t="str">
            <v>Visnu Kumar Meharda</v>
          </cell>
        </row>
        <row r="2338">
          <cell r="E2338" t="str">
            <v>Rekha Kumari Meharda</v>
          </cell>
        </row>
        <row r="2339">
          <cell r="E2339" t="str">
            <v>Chitar Mal Khandelwal</v>
          </cell>
        </row>
        <row r="2340">
          <cell r="E2340" t="str">
            <v>Gulab Devi Khandelwal</v>
          </cell>
        </row>
        <row r="2341">
          <cell r="E2341" t="str">
            <v>Sispal Khandelwal</v>
          </cell>
        </row>
        <row r="2342">
          <cell r="E2342" t="str">
            <v>Aasu Kumari Khandelwal</v>
          </cell>
        </row>
        <row r="2343">
          <cell r="E2343" t="str">
            <v>Manisa Kumari Khandelwal</v>
          </cell>
        </row>
        <row r="2344">
          <cell r="E2344" t="str">
            <v>Ghansyam Kandela</v>
          </cell>
        </row>
        <row r="2345">
          <cell r="E2345" t="str">
            <v>Hanuman Sahay Kandela</v>
          </cell>
        </row>
        <row r="2346">
          <cell r="E2346" t="str">
            <v>Nanchi devi Kandela</v>
          </cell>
        </row>
        <row r="2347">
          <cell r="E2347" t="str">
            <v>Rahul Kumar Kandela</v>
          </cell>
        </row>
        <row r="2348">
          <cell r="E2348" t="str">
            <v>Sahil Kumar Kandela</v>
          </cell>
        </row>
        <row r="2349">
          <cell r="E2349" t="str">
            <v>Sispal Malida</v>
          </cell>
        </row>
        <row r="2350">
          <cell r="E2350" t="str">
            <v>Kishan Lal Malinda</v>
          </cell>
        </row>
        <row r="2351">
          <cell r="E2351" t="str">
            <v>Mukesh Kumar Malinda</v>
          </cell>
        </row>
        <row r="2352">
          <cell r="E2352" t="str">
            <v>Jagadish Chand Malinda</v>
          </cell>
        </row>
        <row r="2353">
          <cell r="E2353" t="str">
            <v>Dolat Ram Malinda</v>
          </cell>
        </row>
        <row r="2354">
          <cell r="E2354" t="str">
            <v>Koslya devi  Bunkar</v>
          </cell>
        </row>
        <row r="2355">
          <cell r="E2355" t="str">
            <v>Sanjay Bunkar</v>
          </cell>
        </row>
        <row r="2356">
          <cell r="E2356" t="str">
            <v>Raju Lal Rathi</v>
          </cell>
        </row>
        <row r="2357">
          <cell r="E2357" t="str">
            <v>Mul Chand Rathi</v>
          </cell>
        </row>
        <row r="2358">
          <cell r="E2358" t="str">
            <v>Mukesh Kumar Rathi</v>
          </cell>
        </row>
        <row r="2359">
          <cell r="E2359" t="str">
            <v>Raju Lal Rathi</v>
          </cell>
        </row>
        <row r="2360">
          <cell r="E2360" t="str">
            <v>Mul Chand Rathi</v>
          </cell>
        </row>
        <row r="2361">
          <cell r="E2361" t="str">
            <v>Raj kuamr Varma</v>
          </cell>
        </row>
        <row r="2362">
          <cell r="E2362" t="str">
            <v>Manish Kumar Varma</v>
          </cell>
        </row>
        <row r="2363">
          <cell r="E2363" t="str">
            <v>Yuvraj Varma</v>
          </cell>
        </row>
        <row r="2364">
          <cell r="E2364" t="str">
            <v>Mukesh Kumar Maharda</v>
          </cell>
        </row>
        <row r="2365">
          <cell r="E2365" t="str">
            <v>Ramdayal Meharda</v>
          </cell>
        </row>
        <row r="2366">
          <cell r="E2366" t="str">
            <v>Gyarsi Devi Meharda</v>
          </cell>
        </row>
        <row r="2367">
          <cell r="E2367" t="str">
            <v>Ramesh Kumar Meharda</v>
          </cell>
        </row>
        <row r="2368">
          <cell r="E2368" t="str">
            <v>Abhisek Kumar Meharda</v>
          </cell>
        </row>
        <row r="2369">
          <cell r="E2369" t="str">
            <v>Kajod Mal Balai</v>
          </cell>
        </row>
        <row r="2370">
          <cell r="E2370" t="str">
            <v>Noratan Balai</v>
          </cell>
        </row>
        <row r="2371">
          <cell r="E2371" t="str">
            <v>Suresh Chand Balai</v>
          </cell>
        </row>
        <row r="2372">
          <cell r="E2372" t="str">
            <v>Panchu Ram Balai</v>
          </cell>
        </row>
        <row r="2373">
          <cell r="E2373" t="str">
            <v>santosh Devi Balai</v>
          </cell>
        </row>
        <row r="2374">
          <cell r="E2374" t="str">
            <v>Siv Dayal Debana</v>
          </cell>
        </row>
        <row r="2375">
          <cell r="E2375" t="str">
            <v>Raju Devi Debana</v>
          </cell>
        </row>
        <row r="2376">
          <cell r="E2376" t="str">
            <v>Puja Kumari Debana</v>
          </cell>
        </row>
        <row r="2377">
          <cell r="E2377" t="str">
            <v>Kamalesh Kumar Sigala</v>
          </cell>
        </row>
        <row r="2378">
          <cell r="E2378" t="str">
            <v>Santosh devi Sigala</v>
          </cell>
        </row>
        <row r="2379">
          <cell r="E2379" t="str">
            <v>Raj kuamr Sigala</v>
          </cell>
        </row>
        <row r="2380">
          <cell r="E2380" t="str">
            <v>Payal Kumari Sigala</v>
          </cell>
        </row>
        <row r="2381">
          <cell r="E2381" t="str">
            <v>Manoj Kumar Mandavara</v>
          </cell>
        </row>
        <row r="2382">
          <cell r="E2382" t="str">
            <v>Susila Devi Mandavara</v>
          </cell>
        </row>
        <row r="2383">
          <cell r="E2383" t="str">
            <v>Maya Kumari Mandavara</v>
          </cell>
        </row>
        <row r="2384">
          <cell r="E2384" t="str">
            <v>Ramnarayan Balai</v>
          </cell>
        </row>
        <row r="2385">
          <cell r="E2385" t="str">
            <v>Hira Devi Balai</v>
          </cell>
        </row>
        <row r="2386">
          <cell r="E2386" t="str">
            <v>Sunil Kumar Balai</v>
          </cell>
        </row>
        <row r="2387">
          <cell r="E2387" t="str">
            <v>Sunita Kumari Balai</v>
          </cell>
        </row>
        <row r="2388">
          <cell r="E2388" t="str">
            <v>Kailash Kumar Balai</v>
          </cell>
        </row>
        <row r="2389">
          <cell r="E2389" t="str">
            <v>Ramkisor Kalohiya</v>
          </cell>
        </row>
        <row r="2390">
          <cell r="E2390" t="str">
            <v>Badam Devi Kalohiya</v>
          </cell>
        </row>
        <row r="2391">
          <cell r="E2391" t="str">
            <v>Jyoti Kueari Kalohiya</v>
          </cell>
        </row>
        <row r="2392">
          <cell r="E2392" t="str">
            <v>Palak Kueari Kalohiya</v>
          </cell>
        </row>
        <row r="2393">
          <cell r="E2393" t="str">
            <v>Mohit Kuear Kalohiya</v>
          </cell>
        </row>
        <row r="2394">
          <cell r="E2394" t="str">
            <v>Mukesh Kumar Khardiya</v>
          </cell>
        </row>
        <row r="2395">
          <cell r="E2395" t="str">
            <v>Guddi Devi Khardiya</v>
          </cell>
        </row>
        <row r="2396">
          <cell r="E2396" t="str">
            <v>Manish Kumar Ladna</v>
          </cell>
        </row>
        <row r="2397">
          <cell r="E2397" t="str">
            <v>Urmila Kumari Ladna</v>
          </cell>
        </row>
        <row r="2398">
          <cell r="E2398" t="str">
            <v>Gorav Kumar Ladna</v>
          </cell>
        </row>
        <row r="2399">
          <cell r="E2399" t="str">
            <v>Lokesh Kumar Ladna</v>
          </cell>
        </row>
        <row r="2400">
          <cell r="E2400" t="str">
            <v>Sankar Lal Ladna</v>
          </cell>
        </row>
        <row r="2401">
          <cell r="E2401" t="str">
            <v>Sampat Kumar Ladna</v>
          </cell>
        </row>
        <row r="2402">
          <cell r="E2402" t="str">
            <v>Ritu Kumari Ladna</v>
          </cell>
        </row>
        <row r="2403">
          <cell r="E2403" t="str">
            <v>Rahul Kumar Ladna</v>
          </cell>
        </row>
        <row r="2404">
          <cell r="E2404" t="str">
            <v>Anjali Kumari Ladna</v>
          </cell>
        </row>
        <row r="2405">
          <cell r="E2405" t="str">
            <v>Ram Kishan Khandelwal</v>
          </cell>
        </row>
        <row r="2406">
          <cell r="E2406" t="str">
            <v>Ramji Lal Varma</v>
          </cell>
        </row>
        <row r="2407">
          <cell r="E2407" t="str">
            <v>Surendr Kumar Surela</v>
          </cell>
        </row>
        <row r="2408">
          <cell r="E2408" t="str">
            <v>Kamalesh devi Surela</v>
          </cell>
        </row>
        <row r="2409">
          <cell r="E2409" t="str">
            <v>Suresh Chand Khardiya</v>
          </cell>
        </row>
        <row r="2410">
          <cell r="E2410" t="str">
            <v>Gita Devi Khadiya</v>
          </cell>
        </row>
        <row r="2411">
          <cell r="E2411" t="str">
            <v>Manish Kumar Khardiya</v>
          </cell>
        </row>
        <row r="2412">
          <cell r="E2412" t="str">
            <v>Suresh Chand Khardiya</v>
          </cell>
        </row>
        <row r="2413">
          <cell r="E2413" t="str">
            <v>Hani kumar Khadiya</v>
          </cell>
        </row>
        <row r="2414">
          <cell r="E2414" t="str">
            <v>Sanjay Bunkar</v>
          </cell>
        </row>
        <row r="2415">
          <cell r="E2415" t="str">
            <v>Dharmendr Suniya</v>
          </cell>
        </row>
        <row r="2416">
          <cell r="E2416" t="str">
            <v>Vikki Kumar Suniya</v>
          </cell>
        </row>
        <row r="2417">
          <cell r="E2417" t="str">
            <v>Jitendr Kumar Suniya</v>
          </cell>
        </row>
        <row r="2418">
          <cell r="E2418" t="str">
            <v>Ram chandr Suniya</v>
          </cell>
        </row>
        <row r="2419">
          <cell r="E2419" t="str">
            <v>Dharmendr Suniya</v>
          </cell>
        </row>
        <row r="2420">
          <cell r="E2420" t="str">
            <v>Santosh Devi Khardiya</v>
          </cell>
        </row>
        <row r="2421">
          <cell r="E2421" t="str">
            <v>Bhuli devi</v>
          </cell>
        </row>
        <row r="2422">
          <cell r="E2422" t="str">
            <v xml:space="preserve">Govind </v>
          </cell>
        </row>
        <row r="2423">
          <cell r="E2423" t="str">
            <v>Lekharam</v>
          </cell>
        </row>
        <row r="2424">
          <cell r="E2424" t="str">
            <v>Hanuman Sahay Khardiya</v>
          </cell>
        </row>
        <row r="2425">
          <cell r="E2425" t="str">
            <v>Ful Chand Khardiya</v>
          </cell>
        </row>
        <row r="2426">
          <cell r="E2426" t="str">
            <v>Sita Devi Khardiya</v>
          </cell>
        </row>
        <row r="2427">
          <cell r="E2427" t="str">
            <v>Om Prakash Bagadi</v>
          </cell>
        </row>
        <row r="2428">
          <cell r="E2428" t="str">
            <v>Mmata devi Bagadi</v>
          </cell>
        </row>
        <row r="2429">
          <cell r="E2429" t="str">
            <v>Hauman Sahay Bayala</v>
          </cell>
        </row>
        <row r="2430">
          <cell r="E2430" t="str">
            <v>Bhavana Bhati</v>
          </cell>
        </row>
        <row r="2431">
          <cell r="E2431" t="str">
            <v>Gokul Das Panda</v>
          </cell>
        </row>
        <row r="2432">
          <cell r="E2432" t="str">
            <v>Mohit Kumar Panda</v>
          </cell>
        </row>
        <row r="2433">
          <cell r="E2433" t="str">
            <v>Dixa Kumari Panda</v>
          </cell>
        </row>
        <row r="2434">
          <cell r="E2434" t="str">
            <v>Jitendr Kumar Lekhara</v>
          </cell>
        </row>
        <row r="2435">
          <cell r="E2435" t="str">
            <v>Kamlesh Lekhara</v>
          </cell>
        </row>
        <row r="2436">
          <cell r="E2436" t="str">
            <v>Ram Karan Bal</v>
          </cell>
        </row>
        <row r="2437">
          <cell r="E2437" t="str">
            <v>Puja Kumari Bal</v>
          </cell>
        </row>
        <row r="2438">
          <cell r="E2438" t="str">
            <v>Aarati Kumari Bal</v>
          </cell>
        </row>
        <row r="2439">
          <cell r="E2439" t="str">
            <v>Mohan Bal</v>
          </cell>
        </row>
        <row r="2440">
          <cell r="E2440" t="str">
            <v>Birdichad Bal</v>
          </cell>
        </row>
        <row r="2441">
          <cell r="E2441" t="str">
            <v>Sankar Lal Ladna</v>
          </cell>
        </row>
        <row r="2442">
          <cell r="E2442" t="str">
            <v>Kajod Mal Gotwal</v>
          </cell>
        </row>
        <row r="2443">
          <cell r="E2443" t="str">
            <v>Mamata Devi Gotwal</v>
          </cell>
        </row>
        <row r="2444">
          <cell r="E2444" t="str">
            <v>Rahula Kumar Varma</v>
          </cell>
        </row>
        <row r="2445">
          <cell r="E2445" t="str">
            <v>Vijay Kumar Varma</v>
          </cell>
        </row>
        <row r="2446">
          <cell r="E2446" t="str">
            <v>Kalu Ram Varma</v>
          </cell>
        </row>
        <row r="2447">
          <cell r="E2447" t="str">
            <v>Laxmi Devi Varma</v>
          </cell>
        </row>
        <row r="2448">
          <cell r="E2448" t="str">
            <v>Jagadish Prashd Khardiya</v>
          </cell>
        </row>
        <row r="2449">
          <cell r="E2449" t="str">
            <v>Hanuman Sahay Ghuvariya</v>
          </cell>
        </row>
        <row r="2450">
          <cell r="E2450" t="str">
            <v>Ramji Lal Ghuvariya</v>
          </cell>
        </row>
        <row r="2451">
          <cell r="E2451" t="str">
            <v>Ramnivash Bunkar</v>
          </cell>
        </row>
        <row r="2452">
          <cell r="E2452" t="str">
            <v>Kailash Bunkar</v>
          </cell>
        </row>
        <row r="2453">
          <cell r="E2453" t="str">
            <v>Archana kumari Bunkar</v>
          </cell>
        </row>
        <row r="2454">
          <cell r="E2454" t="str">
            <v>Sayra Devi Duvariya</v>
          </cell>
        </row>
        <row r="2455">
          <cell r="E2455" t="str">
            <v>Himansu Kumar Gotwal</v>
          </cell>
        </row>
        <row r="2456">
          <cell r="E2456" t="str">
            <v>Prem Chand Gotwal</v>
          </cell>
        </row>
        <row r="2457">
          <cell r="E2457" t="str">
            <v>Moti Lal Gotwal</v>
          </cell>
        </row>
        <row r="2458">
          <cell r="E2458" t="str">
            <v>Ram Prasad Gotwal</v>
          </cell>
        </row>
        <row r="2459">
          <cell r="E2459" t="str">
            <v>Puja Devi Gotwal</v>
          </cell>
        </row>
        <row r="2460">
          <cell r="E2460" t="str">
            <v>Mahir kumar Gotwal</v>
          </cell>
        </row>
        <row r="2461">
          <cell r="E2461" t="str">
            <v>Moti Lal Gotwal</v>
          </cell>
        </row>
        <row r="2462">
          <cell r="E2462" t="str">
            <v>Raja Devi Gotwal</v>
          </cell>
        </row>
        <row r="2463">
          <cell r="E2463" t="str">
            <v>Bansi lal Gotwal</v>
          </cell>
        </row>
        <row r="2464">
          <cell r="E2464" t="str">
            <v>Nirmala Devi Gotwal</v>
          </cell>
        </row>
        <row r="2465">
          <cell r="E2465" t="str">
            <v>Komal Kumari Gotwal</v>
          </cell>
        </row>
        <row r="2466">
          <cell r="E2466" t="str">
            <v>Prem Chand Gotwal</v>
          </cell>
        </row>
        <row r="2467">
          <cell r="E2467" t="str">
            <v>Aachuki devi Gotwal</v>
          </cell>
        </row>
        <row r="2468">
          <cell r="E2468" t="str">
            <v>Laxmi Kumari Gotwal</v>
          </cell>
        </row>
        <row r="2469">
          <cell r="E2469" t="str">
            <v>Vikash Kumar Gotwal</v>
          </cell>
        </row>
        <row r="2470">
          <cell r="E2470" t="str">
            <v>Komal Kumari Gotwal</v>
          </cell>
        </row>
        <row r="2471">
          <cell r="E2471" t="str">
            <v>Kanhaiya Lal Gotwal</v>
          </cell>
        </row>
        <row r="2472">
          <cell r="E2472" t="str">
            <v>Babu Lal Gotwal</v>
          </cell>
        </row>
        <row r="2473">
          <cell r="E2473" t="str">
            <v>Jyoti Devi Gotwal</v>
          </cell>
        </row>
        <row r="2474">
          <cell r="E2474" t="str">
            <v>Kiran Kumari Gotwal</v>
          </cell>
        </row>
        <row r="2475">
          <cell r="E2475" t="str">
            <v>Himansu Kumar Gotwal</v>
          </cell>
        </row>
        <row r="2476">
          <cell r="E2476" t="str">
            <v>Ram Prasad Gotwal</v>
          </cell>
        </row>
        <row r="2477">
          <cell r="E2477" t="str">
            <v>Bansi lal Gotwal</v>
          </cell>
        </row>
        <row r="2478">
          <cell r="E2478" t="str">
            <v>Niramala Devi Gotwal</v>
          </cell>
        </row>
        <row r="2479">
          <cell r="E2479" t="str">
            <v>Moti Lal Gotwal</v>
          </cell>
        </row>
        <row r="2480">
          <cell r="E2480" t="str">
            <v>Raja Devi Gotwal</v>
          </cell>
        </row>
        <row r="2481">
          <cell r="E2481" t="str">
            <v>Komal Kumari Gotwal</v>
          </cell>
        </row>
        <row r="2482">
          <cell r="E2482" t="str">
            <v>Rajendr Kumar Edival</v>
          </cell>
        </row>
        <row r="2483">
          <cell r="E2483" t="str">
            <v>Ramu ji Edival</v>
          </cell>
        </row>
        <row r="2484">
          <cell r="E2484" t="str">
            <v>SureshKumar Edival</v>
          </cell>
        </row>
        <row r="2485">
          <cell r="E2485" t="str">
            <v>Gita Devi Edival</v>
          </cell>
        </row>
        <row r="2486">
          <cell r="E2486" t="str">
            <v>Rajendr Kumar Edival</v>
          </cell>
        </row>
        <row r="2487">
          <cell r="E2487" t="str">
            <v>Babu Lal Bacher</v>
          </cell>
        </row>
        <row r="2488">
          <cell r="E2488" t="str">
            <v>Rakesh Kumar Bhandoriya</v>
          </cell>
        </row>
        <row r="2489">
          <cell r="E2489" t="str">
            <v>Manish Kumari Bhandoriya</v>
          </cell>
        </row>
        <row r="2490">
          <cell r="E2490" t="str">
            <v>Mamata Devi Bhandoriya</v>
          </cell>
        </row>
        <row r="2491">
          <cell r="E2491" t="str">
            <v>Rajesh Kumar Bhandoriya</v>
          </cell>
        </row>
        <row r="2492">
          <cell r="E2492" t="str">
            <v>Suresh Kumar Bhandoriya</v>
          </cell>
        </row>
        <row r="2493">
          <cell r="E2493" t="str">
            <v>Mamta Devi Ladna</v>
          </cell>
        </row>
        <row r="2494">
          <cell r="E2494" t="str">
            <v>Mahesh Kumar Ladna</v>
          </cell>
        </row>
        <row r="2495">
          <cell r="E2495" t="str">
            <v>Raj Kumar Ladna</v>
          </cell>
        </row>
        <row r="2496">
          <cell r="E2496" t="str">
            <v>Priyanshi Kumari Ladna</v>
          </cell>
        </row>
        <row r="2497">
          <cell r="E2497" t="str">
            <v>Hira Lal Ladna</v>
          </cell>
        </row>
        <row r="2498">
          <cell r="E2498" t="str">
            <v>Santosh Ladna</v>
          </cell>
        </row>
        <row r="2499">
          <cell r="E2499" t="str">
            <v>Komal Ladna</v>
          </cell>
        </row>
        <row r="2500">
          <cell r="E2500" t="str">
            <v>Bajarng Lal Varma</v>
          </cell>
        </row>
        <row r="2501">
          <cell r="E2501" t="str">
            <v>Kunal Varma</v>
          </cell>
        </row>
        <row r="2502">
          <cell r="E2502" t="str">
            <v>Mangi Lal meharda</v>
          </cell>
        </row>
        <row r="2503">
          <cell r="E2503" t="str">
            <v>Dinesh Kumar Meharda</v>
          </cell>
        </row>
        <row r="2504">
          <cell r="E2504" t="str">
            <v>Kosalya Devi Meharda</v>
          </cell>
        </row>
        <row r="2505">
          <cell r="E2505" t="str">
            <v>Madan Lal Rojada</v>
          </cell>
        </row>
        <row r="2506">
          <cell r="E2506" t="str">
            <v>Savitri Devi Lal Rojada</v>
          </cell>
        </row>
        <row r="2507">
          <cell r="E2507" t="str">
            <v>Gulab devi Meharda</v>
          </cell>
        </row>
        <row r="2508">
          <cell r="E2508" t="str">
            <v>Ram Kumar Meharda</v>
          </cell>
        </row>
        <row r="2509">
          <cell r="E2509" t="str">
            <v>Manju Devi Meharda</v>
          </cell>
        </row>
        <row r="2510">
          <cell r="E2510" t="str">
            <v>Rekha Kumari Meharda</v>
          </cell>
        </row>
        <row r="2511">
          <cell r="E2511" t="str">
            <v>Avinash Meharda</v>
          </cell>
        </row>
        <row r="2512">
          <cell r="E2512" t="str">
            <v>Dipak Kumar Jhatival</v>
          </cell>
        </row>
        <row r="2513">
          <cell r="E2513" t="str">
            <v>Vinod Kumar Jhatival</v>
          </cell>
        </row>
        <row r="2514">
          <cell r="E2514" t="str">
            <v>Manbhar devi Jhatival</v>
          </cell>
        </row>
        <row r="2515">
          <cell r="E2515" t="str">
            <v>Punam Devi Jhatival</v>
          </cell>
        </row>
        <row r="2516">
          <cell r="E2516" t="str">
            <v>Krasna devi Jhatival</v>
          </cell>
        </row>
        <row r="2517">
          <cell r="E2517" t="str">
            <v>Nimash Jhatival</v>
          </cell>
        </row>
        <row r="2518">
          <cell r="E2518" t="str">
            <v>Sani Jhatival</v>
          </cell>
        </row>
        <row r="2519">
          <cell r="E2519" t="str">
            <v>Sivpratap Verma</v>
          </cell>
        </row>
        <row r="2520">
          <cell r="E2520" t="str">
            <v>Kajal Verma</v>
          </cell>
        </row>
        <row r="2521">
          <cell r="E2521" t="str">
            <v>Sivani Verma</v>
          </cell>
        </row>
        <row r="2522">
          <cell r="E2522" t="str">
            <v>Siv Pratap Varma</v>
          </cell>
        </row>
        <row r="2523">
          <cell r="E2523" t="str">
            <v>Cailash Chand Varma</v>
          </cell>
        </row>
        <row r="2524">
          <cell r="E2524" t="str">
            <v>Mukesh Varma</v>
          </cell>
        </row>
        <row r="2525">
          <cell r="E2525" t="str">
            <v>Sandip Varma</v>
          </cell>
        </row>
        <row r="2526">
          <cell r="E2526" t="str">
            <v>Ramsavrup Meharada</v>
          </cell>
        </row>
        <row r="2527">
          <cell r="E2527" t="str">
            <v>Rajendr Kumar meharda</v>
          </cell>
        </row>
        <row r="2528">
          <cell r="E2528" t="str">
            <v>Pinki Devi meharda</v>
          </cell>
        </row>
        <row r="2529">
          <cell r="E2529" t="str">
            <v>Mayank Kumar meharda</v>
          </cell>
        </row>
        <row r="2530">
          <cell r="E2530" t="str">
            <v>Dinesh Kumar meharda</v>
          </cell>
        </row>
        <row r="2531">
          <cell r="E2531" t="str">
            <v>Mamta Devi meharda</v>
          </cell>
        </row>
        <row r="2532">
          <cell r="E2532" t="str">
            <v>SamarKumar meharda</v>
          </cell>
        </row>
        <row r="2533">
          <cell r="E2533" t="str">
            <v>Dindayal Balai</v>
          </cell>
        </row>
        <row r="2534">
          <cell r="E2534" t="str">
            <v>Mohit Balai</v>
          </cell>
        </row>
        <row r="2535">
          <cell r="E2535" t="str">
            <v>Narngi Devi Balai</v>
          </cell>
        </row>
        <row r="2536">
          <cell r="E2536" t="str">
            <v>Tara Chand Chohan</v>
          </cell>
        </row>
        <row r="2537">
          <cell r="E2537" t="str">
            <v>Munni Devi Chohan</v>
          </cell>
        </row>
        <row r="2538">
          <cell r="E2538" t="str">
            <v>Hitesh Kumar Chohan</v>
          </cell>
        </row>
        <row r="2539">
          <cell r="E2539" t="str">
            <v>Babu Lal Samariya</v>
          </cell>
        </row>
        <row r="2540">
          <cell r="E2540" t="str">
            <v>Muntu Devi Samariya</v>
          </cell>
        </row>
        <row r="2541">
          <cell r="E2541" t="str">
            <v>Kanhya Lal Sogan</v>
          </cell>
        </row>
        <row r="2542">
          <cell r="E2542" t="str">
            <v>Rosan Lal Sogan</v>
          </cell>
        </row>
        <row r="2543">
          <cell r="E2543" t="str">
            <v xml:space="preserve"> Monika Sogan</v>
          </cell>
        </row>
        <row r="2544">
          <cell r="E2544" t="str">
            <v xml:space="preserve"> HansaSogan</v>
          </cell>
        </row>
        <row r="2545">
          <cell r="E2545" t="str">
            <v>Anamika Sogan</v>
          </cell>
        </row>
        <row r="2546">
          <cell r="E2546" t="str">
            <v>Bhola Ram Varma</v>
          </cell>
        </row>
        <row r="2547">
          <cell r="E2547" t="str">
            <v>Pinki Varma</v>
          </cell>
        </row>
        <row r="2548">
          <cell r="E2548" t="str">
            <v>Vinod Kumar Varma</v>
          </cell>
        </row>
        <row r="2549">
          <cell r="E2549" t="str">
            <v>Puja Varma</v>
          </cell>
        </row>
        <row r="2550">
          <cell r="E2550" t="str">
            <v>Gita Varma</v>
          </cell>
        </row>
        <row r="2551">
          <cell r="E2551" t="str">
            <v>Sohan Lal Meharda</v>
          </cell>
        </row>
        <row r="2552">
          <cell r="E2552" t="str">
            <v>Kailash Chand Meharda</v>
          </cell>
        </row>
        <row r="2553">
          <cell r="E2553" t="str">
            <v xml:space="preserve"> Sahil Kumar Meharda</v>
          </cell>
        </row>
        <row r="2554">
          <cell r="E2554" t="str">
            <v xml:space="preserve"> Samar Kumar Meharda</v>
          </cell>
        </row>
        <row r="2555">
          <cell r="E2555" t="str">
            <v>Aanndi Lal</v>
          </cell>
        </row>
        <row r="2556">
          <cell r="E2556" t="str">
            <v>Kana Devi</v>
          </cell>
        </row>
        <row r="2557">
          <cell r="E2557" t="str">
            <v>Manju Devi</v>
          </cell>
        </row>
        <row r="2558">
          <cell r="E2558" t="str">
            <v>Gunjal</v>
          </cell>
        </row>
        <row r="2559">
          <cell r="E2559" t="str">
            <v>khyati</v>
          </cell>
        </row>
        <row r="2560">
          <cell r="E2560" t="str">
            <v>Sohan Lal Bunkar</v>
          </cell>
        </row>
        <row r="2561">
          <cell r="E2561" t="str">
            <v>Mangi Devi Bunkar</v>
          </cell>
        </row>
        <row r="2562">
          <cell r="E2562" t="str">
            <v>Laxman Kalohiya</v>
          </cell>
        </row>
        <row r="2563">
          <cell r="E2563" t="str">
            <v>Mali Ram Varma</v>
          </cell>
        </row>
        <row r="2564">
          <cell r="E2564" t="str">
            <v>Khusi Varma</v>
          </cell>
        </row>
        <row r="2565">
          <cell r="E2565" t="str">
            <v>Vijay Varma</v>
          </cell>
        </row>
        <row r="2566">
          <cell r="E2566" t="str">
            <v>Nita Varma</v>
          </cell>
        </row>
        <row r="2567">
          <cell r="E2567" t="str">
            <v>Bhagirth Rathi</v>
          </cell>
        </row>
        <row r="2568">
          <cell r="E2568" t="str">
            <v>Laxmi dev Rathi</v>
          </cell>
        </row>
        <row r="2569">
          <cell r="E2569" t="str">
            <v>Mohan Lal Maharda</v>
          </cell>
        </row>
        <row r="2570">
          <cell r="E2570" t="str">
            <v>Ajay Kumar Meharda</v>
          </cell>
        </row>
        <row r="2571">
          <cell r="E2571" t="str">
            <v>Mohan Lal Maharda</v>
          </cell>
        </row>
        <row r="2572">
          <cell r="E2572" t="str">
            <v>Vimala Devi Meharda</v>
          </cell>
        </row>
        <row r="2573">
          <cell r="E2573" t="str">
            <v>Vimala Devi Meharda</v>
          </cell>
        </row>
        <row r="2574">
          <cell r="E2574" t="str">
            <v>Sankar Lal Bagamar</v>
          </cell>
        </row>
        <row r="2575">
          <cell r="E2575" t="str">
            <v>Puja Kumari Bagamar</v>
          </cell>
        </row>
        <row r="2576">
          <cell r="E2576" t="str">
            <v>Jay Kumar Bagamar</v>
          </cell>
        </row>
        <row r="2577">
          <cell r="E2577" t="str">
            <v>Jay Kumar Bagamar</v>
          </cell>
        </row>
        <row r="2578">
          <cell r="E2578" t="str">
            <v>Puja Kumari Bagamar</v>
          </cell>
        </row>
        <row r="2579">
          <cell r="E2579" t="str">
            <v>Payal kumari Khandelwal</v>
          </cell>
        </row>
        <row r="2580">
          <cell r="E2580" t="str">
            <v xml:space="preserve">Dev Raj Khandelwal </v>
          </cell>
        </row>
        <row r="2581">
          <cell r="E2581" t="str">
            <v>Babu Lal Khandelwal</v>
          </cell>
        </row>
        <row r="2582">
          <cell r="E2582" t="str">
            <v>Lali Devi Khandelwal</v>
          </cell>
        </row>
        <row r="2583">
          <cell r="E2583" t="str">
            <v>Sona Kumari Khandelwal</v>
          </cell>
        </row>
        <row r="2584">
          <cell r="E2584" t="str">
            <v>Payal kumari Khandelwal</v>
          </cell>
        </row>
        <row r="2585">
          <cell r="E2585" t="str">
            <v xml:space="preserve">Dev Raj Khandelwal </v>
          </cell>
        </row>
        <row r="2586">
          <cell r="E2586" t="str">
            <v>Babu Lal Khandelwal</v>
          </cell>
        </row>
        <row r="2587">
          <cell r="E2587" t="str">
            <v>Lali Devi Khandelwal</v>
          </cell>
        </row>
        <row r="2588">
          <cell r="E2588" t="str">
            <v>Sona Kumari Khandelwal</v>
          </cell>
        </row>
        <row r="2589">
          <cell r="E2589" t="str">
            <v>Ramesh Kumar Bunkar</v>
          </cell>
        </row>
        <row r="2590">
          <cell r="E2590" t="str">
            <v>Ramdev Bunkar</v>
          </cell>
        </row>
        <row r="2591">
          <cell r="E2591" t="str">
            <v>Gyan Chand Bunkar</v>
          </cell>
        </row>
        <row r="2592">
          <cell r="E2592" t="str">
            <v>Roshan Kumar Bunkar</v>
          </cell>
        </row>
        <row r="2593">
          <cell r="E2593" t="str">
            <v>Sita Devi Bunkar</v>
          </cell>
        </row>
        <row r="2594">
          <cell r="E2594" t="str">
            <v>Suresh Kumar Balai</v>
          </cell>
        </row>
        <row r="2595">
          <cell r="E2595" t="str">
            <v>Ramchandr Varma</v>
          </cell>
        </row>
        <row r="2596">
          <cell r="E2596" t="str">
            <v>Radhesyam Rathi</v>
          </cell>
        </row>
        <row r="2597">
          <cell r="E2597" t="str">
            <v>Ankit Kumar Khadakval</v>
          </cell>
        </row>
        <row r="2598">
          <cell r="E2598" t="str">
            <v>Hanuman Sahay Khadakval</v>
          </cell>
        </row>
        <row r="2599">
          <cell r="E2599" t="str">
            <v>Amit Kumar Khadakval</v>
          </cell>
        </row>
        <row r="2600">
          <cell r="E2600" t="str">
            <v>Naval kisor Besarvadiya</v>
          </cell>
        </row>
        <row r="2601">
          <cell r="E2601" t="str">
            <v>Neha kumari Besarvadiya</v>
          </cell>
        </row>
        <row r="2602">
          <cell r="E2602" t="str">
            <v>Mamta kumari Besarvadiya</v>
          </cell>
        </row>
        <row r="2603">
          <cell r="E2603" t="str">
            <v>Krasna kumari Besarvadiya</v>
          </cell>
        </row>
        <row r="2604">
          <cell r="E2604" t="str">
            <v>Prahalad Lohiya</v>
          </cell>
        </row>
        <row r="2605">
          <cell r="E2605" t="str">
            <v>Lali devi lohiya</v>
          </cell>
        </row>
        <row r="2606">
          <cell r="E2606" t="str">
            <v>Ramjilal Gotwal</v>
          </cell>
        </row>
        <row r="2607">
          <cell r="E2607" t="str">
            <v>Prem Devi Gotwal</v>
          </cell>
        </row>
        <row r="2608">
          <cell r="E2608" t="str">
            <v>Radesyam Parihar</v>
          </cell>
        </row>
        <row r="2609">
          <cell r="E2609" t="str">
            <v>Puja Parihar</v>
          </cell>
        </row>
        <row r="2610">
          <cell r="E2610" t="str">
            <v>Mohan Lal Gadval</v>
          </cell>
        </row>
        <row r="2611">
          <cell r="E2611" t="str">
            <v>Suresh Kumar Tandada</v>
          </cell>
        </row>
        <row r="2612">
          <cell r="E2612" t="str">
            <v>Ramesh Chand Bunkar</v>
          </cell>
        </row>
        <row r="2613">
          <cell r="E2613" t="str">
            <v>Bhagavan Sahay Bal</v>
          </cell>
        </row>
        <row r="2614">
          <cell r="E2614" t="str">
            <v>Rajendra Kumar Bal</v>
          </cell>
        </row>
        <row r="2615">
          <cell r="E2615" t="str">
            <v>Dhanraj Bal</v>
          </cell>
        </row>
        <row r="2616">
          <cell r="E2616" t="str">
            <v>Puja Kumari Bal</v>
          </cell>
        </row>
        <row r="2617">
          <cell r="E2617" t="str">
            <v>Ramesvar Meharda</v>
          </cell>
        </row>
        <row r="2618">
          <cell r="E2618" t="str">
            <v>Mira Devi Meharda</v>
          </cell>
        </row>
        <row r="2619">
          <cell r="E2619" t="str">
            <v>Ankit kumar Meharda</v>
          </cell>
        </row>
        <row r="2620">
          <cell r="E2620" t="str">
            <v>Babu Lal  Bunkar</v>
          </cell>
        </row>
        <row r="2621">
          <cell r="E2621" t="str">
            <v>Hansa Bunkar</v>
          </cell>
        </row>
        <row r="2622">
          <cell r="E2622" t="str">
            <v>Sivani Kalohiya</v>
          </cell>
        </row>
        <row r="2623">
          <cell r="E2623" t="str">
            <v>Solani Kalohiya</v>
          </cell>
        </row>
        <row r="2624">
          <cell r="E2624" t="str">
            <v>Harisankar Kalohiya</v>
          </cell>
        </row>
        <row r="2625">
          <cell r="E2625" t="str">
            <v>Puran Mal Gurava</v>
          </cell>
        </row>
        <row r="2626">
          <cell r="E2626" t="str">
            <v>Tej Prakash Gurava</v>
          </cell>
        </row>
        <row r="2627">
          <cell r="E2627" t="str">
            <v>Santosh kumari Gurava</v>
          </cell>
        </row>
        <row r="2628">
          <cell r="E2628" t="str">
            <v>Mahendr Kumar Lohiya</v>
          </cell>
        </row>
        <row r="2629">
          <cell r="E2629" t="str">
            <v>Karina Kumari Lohiya</v>
          </cell>
        </row>
        <row r="2630">
          <cell r="E2630" t="str">
            <v>Chandr Prakash Bunkar</v>
          </cell>
        </row>
        <row r="2631">
          <cell r="E2631" t="str">
            <v>Banvari Lal Gadaval</v>
          </cell>
        </row>
        <row r="2632">
          <cell r="E2632" t="str">
            <v>Dhannu Kumar Gadaval</v>
          </cell>
        </row>
        <row r="2633">
          <cell r="E2633" t="str">
            <v>Mohan Lal Meharda</v>
          </cell>
        </row>
        <row r="2634">
          <cell r="E2634" t="str">
            <v>Vijay Kumar Meharda</v>
          </cell>
        </row>
        <row r="2635">
          <cell r="E2635" t="str">
            <v>Kiran Devi Meharda</v>
          </cell>
        </row>
        <row r="2636">
          <cell r="E2636" t="str">
            <v>Sona Devi Meharda</v>
          </cell>
        </row>
        <row r="2637">
          <cell r="E2637" t="str">
            <v>Ajay Kumar Meharda</v>
          </cell>
        </row>
        <row r="2638">
          <cell r="E2638" t="str">
            <v>Vimala Devi Meharda</v>
          </cell>
        </row>
        <row r="2639">
          <cell r="E2639" t="str">
            <v>Mnisha kumari Meharda</v>
          </cell>
        </row>
        <row r="2640">
          <cell r="E2640" t="str">
            <v>Jagadish Prashad Dokhoriya</v>
          </cell>
        </row>
        <row r="2641">
          <cell r="E2641" t="str">
            <v>palak Dokhoriya</v>
          </cell>
        </row>
        <row r="2642">
          <cell r="E2642" t="str">
            <v>Rahul Kumar Dokhoriya</v>
          </cell>
        </row>
        <row r="2643">
          <cell r="E2643" t="str">
            <v>Jagadish Prashad Dokhoriya</v>
          </cell>
        </row>
        <row r="2644">
          <cell r="E2644" t="str">
            <v>palak Dokhoriya</v>
          </cell>
        </row>
        <row r="2645">
          <cell r="E2645" t="str">
            <v>Rahul Kumar Dokhoriya</v>
          </cell>
        </row>
        <row r="2646">
          <cell r="E2646" t="str">
            <v>Payal kumari Dokhoriya</v>
          </cell>
        </row>
        <row r="2647">
          <cell r="E2647" t="str">
            <v>Ramchandr Dokhoriya</v>
          </cell>
        </row>
        <row r="2648">
          <cell r="E2648" t="str">
            <v>payal Dokhoriya</v>
          </cell>
        </row>
        <row r="2649">
          <cell r="E2649" t="str">
            <v>Bansi Lal Varma</v>
          </cell>
        </row>
        <row r="2650">
          <cell r="E2650" t="str">
            <v>Mamta Devi Varma</v>
          </cell>
        </row>
        <row r="2651">
          <cell r="E2651" t="str">
            <v>Aausi Varma</v>
          </cell>
        </row>
        <row r="2652">
          <cell r="E2652" t="str">
            <v>Bhura Ram Chudavat</v>
          </cell>
        </row>
        <row r="2653">
          <cell r="E2653" t="str">
            <v>Suva Lal Narnoliya</v>
          </cell>
        </row>
        <row r="2654">
          <cell r="E2654" t="str">
            <v>Gorv Narnoliya</v>
          </cell>
        </row>
        <row r="2655">
          <cell r="E2655" t="str">
            <v>Sampati Devi Narnoliya</v>
          </cell>
        </row>
        <row r="2656">
          <cell r="E2656" t="str">
            <v>Priyansu Narnoliya</v>
          </cell>
        </row>
        <row r="2657">
          <cell r="E2657" t="str">
            <v>Ramotar Balai</v>
          </cell>
        </row>
        <row r="2658">
          <cell r="E2658" t="str">
            <v>Ramotar Balai</v>
          </cell>
        </row>
        <row r="2659">
          <cell r="E2659" t="str">
            <v>Ramotar Balai</v>
          </cell>
        </row>
        <row r="2660">
          <cell r="E2660" t="str">
            <v>Yas Balai</v>
          </cell>
        </row>
        <row r="2661">
          <cell r="E2661" t="str">
            <v>Sima Devi Balai</v>
          </cell>
        </row>
        <row r="2662">
          <cell r="E2662" t="str">
            <v>SapanBalai</v>
          </cell>
        </row>
        <row r="2663">
          <cell r="E2663" t="str">
            <v>Hira Lal Bacher</v>
          </cell>
        </row>
        <row r="2664">
          <cell r="E2664" t="str">
            <v>Mukesh Kumar Khandelwal</v>
          </cell>
        </row>
        <row r="2665">
          <cell r="E2665" t="str">
            <v>Kiran Devi Khandelwal</v>
          </cell>
        </row>
        <row r="2666">
          <cell r="E2666" t="str">
            <v>Jesika Khandelwal</v>
          </cell>
        </row>
        <row r="2667">
          <cell r="E2667" t="str">
            <v>radip Kumar Pachariya</v>
          </cell>
        </row>
        <row r="2668">
          <cell r="E2668" t="str">
            <v>Kishan Lal Sachoriya</v>
          </cell>
        </row>
        <row r="2669">
          <cell r="E2669" t="str">
            <v>Bhagavan Sahay Suniya</v>
          </cell>
        </row>
        <row r="2670">
          <cell r="E2670" t="str">
            <v>Lakki Kumar Suniya</v>
          </cell>
        </row>
        <row r="2671">
          <cell r="E2671" t="str">
            <v>Jyoti Kumari Suniya</v>
          </cell>
        </row>
        <row r="2672">
          <cell r="E2672" t="str">
            <v>Savita Kumari Suniya</v>
          </cell>
        </row>
        <row r="2673">
          <cell r="E2673" t="str">
            <v>Anita Devi Suniya</v>
          </cell>
        </row>
        <row r="2674">
          <cell r="E2674" t="str">
            <v>Suva Lal Ghodeta</v>
          </cell>
        </row>
        <row r="2675">
          <cell r="E2675" t="str">
            <v>Visal Kumar Ghodeta</v>
          </cell>
        </row>
        <row r="2676">
          <cell r="E2676" t="str">
            <v>Visal Kumar Ghodeta</v>
          </cell>
        </row>
        <row r="2677">
          <cell r="E2677" t="str">
            <v>Visal Kumar Ghodeta</v>
          </cell>
        </row>
        <row r="2678">
          <cell r="E2678" t="str">
            <v>Om Prakash Bunkar</v>
          </cell>
        </row>
        <row r="2679">
          <cell r="E2679" t="str">
            <v>Tulsi Ram Bagadi</v>
          </cell>
        </row>
        <row r="2680">
          <cell r="E2680" t="str">
            <v>Kailash Chand Kandela</v>
          </cell>
        </row>
        <row r="2681">
          <cell r="E2681" t="str">
            <v>Mangal Ram Dokhoriya</v>
          </cell>
        </row>
        <row r="2682">
          <cell r="E2682" t="str">
            <v>Sona Kimari Dokhoriya</v>
          </cell>
        </row>
        <row r="2683">
          <cell r="E2683" t="str">
            <v>Priya Kimari Dokhoriya</v>
          </cell>
        </row>
        <row r="2684">
          <cell r="E2684" t="str">
            <v>Khusi Kimari Dokhoriya</v>
          </cell>
        </row>
        <row r="2685">
          <cell r="E2685" t="str">
            <v xml:space="preserve">Kailash Chand Dokhoriya </v>
          </cell>
        </row>
        <row r="2686">
          <cell r="E2686" t="str">
            <v>Om Prakash Dokhoriya</v>
          </cell>
        </row>
        <row r="2687">
          <cell r="E2687" t="str">
            <v>Raju Lal Dokhoriya</v>
          </cell>
        </row>
        <row r="2688">
          <cell r="E2688" t="str">
            <v>Sayra Devi  Dokhoriya</v>
          </cell>
        </row>
        <row r="2689">
          <cell r="E2689" t="str">
            <v>Dipesh Kumar Bagmar</v>
          </cell>
        </row>
        <row r="2690">
          <cell r="E2690" t="str">
            <v>Mukesh Kumar Bagmar</v>
          </cell>
        </row>
        <row r="2691">
          <cell r="E2691" t="str">
            <v>Ramesh Kumar Meharda</v>
          </cell>
        </row>
        <row r="2692">
          <cell r="E2692" t="str">
            <v>Ramjilal Gotwal</v>
          </cell>
        </row>
        <row r="2693">
          <cell r="E2693" t="str">
            <v>Laxit Kumar Gotwal</v>
          </cell>
        </row>
        <row r="2694">
          <cell r="E2694" t="str">
            <v>Hars Kumar Gotwal</v>
          </cell>
        </row>
        <row r="2695">
          <cell r="E2695" t="str">
            <v>Ful Chand Budgaya</v>
          </cell>
        </row>
        <row r="2696">
          <cell r="E2696" t="str">
            <v>Yavi Bunkar</v>
          </cell>
        </row>
        <row r="2697">
          <cell r="E2697" t="str">
            <v>Kishan Lal Bunkar</v>
          </cell>
        </row>
        <row r="2698">
          <cell r="E2698" t="str">
            <v>Mahira Bunkar</v>
          </cell>
        </row>
        <row r="2699">
          <cell r="E2699" t="str">
            <v>Hiya Pachriya</v>
          </cell>
        </row>
        <row r="2700">
          <cell r="E2700" t="str">
            <v>Lihan Pachriya</v>
          </cell>
        </row>
        <row r="2701">
          <cell r="E2701" t="str">
            <v>Sisupal Khadiya</v>
          </cell>
        </row>
        <row r="2702">
          <cell r="E2702" t="str">
            <v>Nikil Bayala</v>
          </cell>
        </row>
        <row r="2703">
          <cell r="E2703" t="str">
            <v>Gorv Bayala</v>
          </cell>
        </row>
        <row r="2704">
          <cell r="E2704" t="str">
            <v>Kajal Verma</v>
          </cell>
        </row>
        <row r="2705">
          <cell r="E2705" t="str">
            <v>Revad Mal Balai</v>
          </cell>
        </row>
        <row r="2706">
          <cell r="E2706" t="str">
            <v>Naina Devi Balai</v>
          </cell>
        </row>
        <row r="2707">
          <cell r="E2707" t="str">
            <v>Tel Balai</v>
          </cell>
        </row>
        <row r="2708">
          <cell r="E2708" t="str">
            <v>Gopal Lal Pachariya</v>
          </cell>
        </row>
        <row r="2709">
          <cell r="E2709" t="str">
            <v>Mohit Pachariya</v>
          </cell>
        </row>
        <row r="2710">
          <cell r="E2710" t="str">
            <v>Kiran Devi Pachariya</v>
          </cell>
        </row>
        <row r="2711">
          <cell r="E2711" t="str">
            <v>Naman Pachariya</v>
          </cell>
        </row>
        <row r="2712">
          <cell r="E2712" t="str">
            <v>Mejar Devi Pachariya</v>
          </cell>
        </row>
        <row r="2713">
          <cell r="E2713" t="str">
            <v>Nirmala Devi Pachariya</v>
          </cell>
        </row>
        <row r="2714">
          <cell r="E2714" t="str">
            <v>Navya Verma</v>
          </cell>
        </row>
        <row r="2715">
          <cell r="E2715" t="str">
            <v>Nidika Verma</v>
          </cell>
        </row>
        <row r="2716">
          <cell r="E2716" t="str">
            <v>Rajesh Verma</v>
          </cell>
        </row>
        <row r="2717">
          <cell r="E2717" t="str">
            <v>Kamni Verma</v>
          </cell>
        </row>
        <row r="2718">
          <cell r="E2718" t="str">
            <v>Anjula Verma</v>
          </cell>
        </row>
        <row r="2719">
          <cell r="E2719" t="str">
            <v>Lokesh Kumar Varma</v>
          </cell>
        </row>
        <row r="2720">
          <cell r="E2720" t="str">
            <v>Chiti Lal Surstya</v>
          </cell>
        </row>
        <row r="2721">
          <cell r="E2721" t="str">
            <v>Kamalesh Devi Surstya</v>
          </cell>
        </row>
        <row r="2722">
          <cell r="E2722" t="str">
            <v>Prahalad Ladana</v>
          </cell>
        </row>
        <row r="2723">
          <cell r="E2723" t="str">
            <v>Vimala Devi Ladana</v>
          </cell>
        </row>
        <row r="2724">
          <cell r="E2724" t="str">
            <v>Gopal Lal Barvad</v>
          </cell>
        </row>
        <row r="2725">
          <cell r="E2725" t="str">
            <v>kesar Devi Barvad</v>
          </cell>
        </row>
        <row r="2726">
          <cell r="E2726" t="str">
            <v>Birdi Chand Barvad</v>
          </cell>
        </row>
        <row r="2727">
          <cell r="E2727" t="str">
            <v>Niramal Kumar barvad</v>
          </cell>
        </row>
        <row r="2728">
          <cell r="E2728" t="str">
            <v>Hansa Devi Barvad</v>
          </cell>
        </row>
        <row r="2729">
          <cell r="E2729" t="str">
            <v>Gopal Lal Barvad</v>
          </cell>
        </row>
        <row r="2730">
          <cell r="E2730" t="str">
            <v>kesar Devi Barvad</v>
          </cell>
        </row>
        <row r="2731">
          <cell r="E2731" t="str">
            <v>Birdi Chand Barvad</v>
          </cell>
        </row>
        <row r="2732">
          <cell r="E2732" t="str">
            <v>Niramal Kumar barvad</v>
          </cell>
        </row>
        <row r="2733">
          <cell r="E2733" t="str">
            <v>Hansa Devi Barvad</v>
          </cell>
        </row>
        <row r="2734">
          <cell r="E2734" t="str">
            <v xml:space="preserve">Kamali devi Ghodeta </v>
          </cell>
        </row>
        <row r="2735">
          <cell r="E2735" t="str">
            <v>Jagadish Kumar Ghodeta</v>
          </cell>
        </row>
        <row r="2736">
          <cell r="E2736" t="str">
            <v>Jagadish Kumar Ghodeta</v>
          </cell>
        </row>
        <row r="2737">
          <cell r="E2737" t="str">
            <v>Babu Lal Bari</v>
          </cell>
        </row>
        <row r="2738">
          <cell r="E2738" t="str">
            <v>Sima Bari</v>
          </cell>
        </row>
        <row r="2739">
          <cell r="E2739" t="str">
            <v>Sima Khardiya</v>
          </cell>
        </row>
        <row r="2740">
          <cell r="E2740" t="str">
            <v>Suman Khardiya</v>
          </cell>
        </row>
        <row r="2741">
          <cell r="E2741" t="str">
            <v>Divakar Runival</v>
          </cell>
        </row>
        <row r="2742">
          <cell r="E2742" t="str">
            <v>Chandra Runival</v>
          </cell>
        </row>
        <row r="2743">
          <cell r="E2743" t="str">
            <v>Gyarsi Devi Gugdodiya</v>
          </cell>
        </row>
        <row r="2744">
          <cell r="E2744" t="str">
            <v>Bila Devi Gugdodiya</v>
          </cell>
        </row>
        <row r="2745">
          <cell r="E2745" t="str">
            <v>Om Prakash Gugdodiya</v>
          </cell>
        </row>
        <row r="2746">
          <cell r="E2746" t="str">
            <v>Dinesh Kumar Gugdodiya</v>
          </cell>
        </row>
        <row r="2747">
          <cell r="E2747" t="str">
            <v>Rajana Varma</v>
          </cell>
        </row>
        <row r="2748">
          <cell r="E2748" t="str">
            <v>Dinesh Kumar Varma</v>
          </cell>
        </row>
        <row r="2749">
          <cell r="E2749" t="str">
            <v>Niharika Varma</v>
          </cell>
        </row>
        <row r="2750">
          <cell r="E2750" t="str">
            <v>Jitendr Kumar Tandada</v>
          </cell>
        </row>
        <row r="2751">
          <cell r="E2751" t="str">
            <v>Suja Ram Tandada</v>
          </cell>
        </row>
        <row r="2752">
          <cell r="E2752" t="str">
            <v>Prem Chand</v>
          </cell>
        </row>
        <row r="2753">
          <cell r="E2753" t="str">
            <v>Sunita</v>
          </cell>
        </row>
        <row r="2754">
          <cell r="E2754" t="str">
            <v>Hari Om Balai</v>
          </cell>
        </row>
        <row r="2755">
          <cell r="E2755" t="str">
            <v>Ram Sahay Balai</v>
          </cell>
        </row>
        <row r="2756">
          <cell r="E2756" t="str">
            <v>Darm Pal Balai</v>
          </cell>
        </row>
        <row r="2757">
          <cell r="E2757" t="str">
            <v>Ramesvar Sachoriya</v>
          </cell>
        </row>
        <row r="2758">
          <cell r="E2758" t="str">
            <v>Mamta Devi Sachoriya</v>
          </cell>
        </row>
        <row r="2759">
          <cell r="E2759" t="str">
            <v>Mahesh Kumar Ghodeta</v>
          </cell>
        </row>
        <row r="2760">
          <cell r="E2760" t="str">
            <v>Sita Devi Ghodeta</v>
          </cell>
        </row>
        <row r="2761">
          <cell r="E2761" t="str">
            <v>Komal Ghodeta</v>
          </cell>
        </row>
        <row r="2762">
          <cell r="E2762" t="str">
            <v>Aaradya Ghodeta</v>
          </cell>
        </row>
        <row r="2763">
          <cell r="E2763" t="str">
            <v>Rajesh Kumar Saravata</v>
          </cell>
        </row>
        <row r="2764">
          <cell r="E2764" t="str">
            <v>Laxi Devi Saravata</v>
          </cell>
        </row>
        <row r="2765">
          <cell r="E2765" t="str">
            <v>Arjun Lal Saravata</v>
          </cell>
        </row>
        <row r="2766">
          <cell r="E2766" t="str">
            <v>Priti Kumari Saravata</v>
          </cell>
        </row>
        <row r="2767">
          <cell r="E2767" t="str">
            <v>Yas Kumar Saravata</v>
          </cell>
        </row>
        <row r="2768">
          <cell r="E2768" t="str">
            <v>Sarvan Lal Barvad</v>
          </cell>
        </row>
        <row r="2769">
          <cell r="E2769" t="str">
            <v>Prem Devi Barvad</v>
          </cell>
        </row>
        <row r="2770">
          <cell r="E2770" t="str">
            <v>Mahesh Kumar Sutrkar</v>
          </cell>
        </row>
        <row r="2771">
          <cell r="E2771" t="str">
            <v>Mamta Devi Sutrkar</v>
          </cell>
        </row>
        <row r="2772">
          <cell r="E2772" t="str">
            <v>Ramji Lal Balai</v>
          </cell>
        </row>
        <row r="2773">
          <cell r="E2773" t="str">
            <v>Rajendra Edival</v>
          </cell>
        </row>
        <row r="2774">
          <cell r="E2774" t="str">
            <v>Ramu Edival</v>
          </cell>
        </row>
        <row r="2775">
          <cell r="E2775" t="str">
            <v>Ramgopal Khandelwal</v>
          </cell>
        </row>
        <row r="2776">
          <cell r="E2776" t="str">
            <v>Ram Kumar Khandelwal</v>
          </cell>
        </row>
        <row r="2777">
          <cell r="E2777" t="str">
            <v>Papu katariya</v>
          </cell>
        </row>
        <row r="2778">
          <cell r="E2778" t="str">
            <v>Papu katariya</v>
          </cell>
        </row>
        <row r="2779">
          <cell r="E2779" t="str">
            <v>Ramasvarup Meharda</v>
          </cell>
        </row>
        <row r="2780">
          <cell r="E2780" t="str">
            <v>mamta Devi Meharda</v>
          </cell>
        </row>
        <row r="2781">
          <cell r="E2781" t="str">
            <v>Komal Kumari Meharda</v>
          </cell>
        </row>
        <row r="2782">
          <cell r="E2782" t="str">
            <v>Ramesvar Meharda</v>
          </cell>
        </row>
        <row r="2783">
          <cell r="E2783" t="str">
            <v>Mira Devi Meharda</v>
          </cell>
        </row>
        <row r="2784">
          <cell r="E2784" t="str">
            <v>Ankit kumar Meharda</v>
          </cell>
        </row>
        <row r="2785">
          <cell r="E2785" t="str">
            <v>Aayus  Kumar Meharda</v>
          </cell>
        </row>
        <row r="2786">
          <cell r="E2786" t="str">
            <v>KomalKumari Meharda</v>
          </cell>
        </row>
        <row r="2787">
          <cell r="E2787" t="str">
            <v>Om Prakash Maharda</v>
          </cell>
        </row>
        <row r="2788">
          <cell r="E2788" t="str">
            <v>Badam Devi  Maharda</v>
          </cell>
        </row>
        <row r="2789">
          <cell r="E2789" t="str">
            <v>Sila Kumari  Maharda</v>
          </cell>
        </row>
        <row r="2790">
          <cell r="E2790" t="str">
            <v>Manish Kumar  Maharda</v>
          </cell>
        </row>
        <row r="2791">
          <cell r="E2791" t="str">
            <v>Om Prakash Meharda</v>
          </cell>
        </row>
        <row r="2792">
          <cell r="E2792" t="str">
            <v>Himansu Meharda</v>
          </cell>
        </row>
        <row r="2793">
          <cell r="E2793" t="str">
            <v>Nikita Kumari Meharda</v>
          </cell>
        </row>
        <row r="2794">
          <cell r="E2794" t="str">
            <v>Mnisha Kumari Meharda</v>
          </cell>
        </row>
        <row r="2795">
          <cell r="E2795" t="str">
            <v>Gokul Devi Meharda</v>
          </cell>
        </row>
        <row r="2796">
          <cell r="E2796" t="str">
            <v>Manoj Kumar Mandavara</v>
          </cell>
        </row>
        <row r="2797">
          <cell r="E2797" t="str">
            <v>Prem Prakash Mandavara</v>
          </cell>
        </row>
        <row r="2798">
          <cell r="E2798" t="str">
            <v>Maya Kumari Mandavara</v>
          </cell>
        </row>
        <row r="2799">
          <cell r="E2799" t="str">
            <v>Sannu Kumar Gadaval</v>
          </cell>
        </row>
        <row r="2800">
          <cell r="E2800" t="str">
            <v>Ankit kumar Meharda</v>
          </cell>
        </row>
        <row r="2801">
          <cell r="E2801" t="str">
            <v>Mira Devi Meharda</v>
          </cell>
        </row>
        <row r="2802">
          <cell r="E2802" t="str">
            <v>Komal Khatti</v>
          </cell>
        </row>
        <row r="2803">
          <cell r="E2803" t="str">
            <v>Guddi Khatti</v>
          </cell>
        </row>
        <row r="2804">
          <cell r="E2804" t="str">
            <v>Sanjay Khatti</v>
          </cell>
        </row>
        <row r="2805">
          <cell r="E2805" t="str">
            <v>Om Prakash Khatti</v>
          </cell>
        </row>
        <row r="2806">
          <cell r="E2806" t="str">
            <v>Puspa Devi Khatti</v>
          </cell>
        </row>
        <row r="2807">
          <cell r="E2807" t="str">
            <v>Surendr Khatti</v>
          </cell>
        </row>
        <row r="2808">
          <cell r="E2808" t="str">
            <v>Rahul Khatti</v>
          </cell>
        </row>
        <row r="2809">
          <cell r="E2809" t="str">
            <v>Mali Ram Varma</v>
          </cell>
        </row>
        <row r="2810">
          <cell r="E2810" t="str">
            <v>Mali Ram Varma</v>
          </cell>
        </row>
        <row r="2811">
          <cell r="E2811" t="str">
            <v>Roshan Pachariya</v>
          </cell>
        </row>
        <row r="2812">
          <cell r="E2812" t="str">
            <v>Bhagavati Devi Pachariya</v>
          </cell>
        </row>
        <row r="2813">
          <cell r="E2813" t="str">
            <v>Pachu Ram Khohal</v>
          </cell>
        </row>
        <row r="2814">
          <cell r="E2814" t="str">
            <v>Gulab Devi Khohal</v>
          </cell>
        </row>
        <row r="2815">
          <cell r="E2815" t="str">
            <v>Kishn Lal Khandelwal</v>
          </cell>
        </row>
        <row r="2816">
          <cell r="E2816" t="str">
            <v>Mamata Devi  Khandelwal</v>
          </cell>
        </row>
        <row r="2817">
          <cell r="E2817" t="str">
            <v>Rahul Varma</v>
          </cell>
        </row>
        <row r="2818">
          <cell r="E2818" t="str">
            <v>Rae Kumar Chiraniya</v>
          </cell>
        </row>
        <row r="2819">
          <cell r="E2819" t="str">
            <v>Utkrsh Chiraniya</v>
          </cell>
        </row>
        <row r="2820">
          <cell r="E2820" t="str">
            <v>Raju Lal Chiraniya</v>
          </cell>
        </row>
        <row r="2821">
          <cell r="E2821" t="str">
            <v>Navin kumar Chiraniya</v>
          </cell>
        </row>
        <row r="2822">
          <cell r="E2822" t="str">
            <v>Manjhu Devi Chiraniya</v>
          </cell>
        </row>
        <row r="2823">
          <cell r="E2823" t="str">
            <v>Satynarayan Varma</v>
          </cell>
        </row>
        <row r="2824">
          <cell r="E2824" t="str">
            <v>Nito Devi Varma</v>
          </cell>
        </row>
        <row r="2825">
          <cell r="E2825" t="str">
            <v>Suraj Varma</v>
          </cell>
        </row>
        <row r="2826">
          <cell r="E2826" t="str">
            <v>Kajal Varma</v>
          </cell>
        </row>
        <row r="2827">
          <cell r="E2827" t="str">
            <v>Ajay Kumar Bacher</v>
          </cell>
        </row>
        <row r="2828">
          <cell r="E2828" t="str">
            <v>Lali Devi Bacher</v>
          </cell>
        </row>
        <row r="2829">
          <cell r="E2829" t="str">
            <v>Visnu Kumar Bacher</v>
          </cell>
        </row>
        <row r="2830">
          <cell r="E2830" t="str">
            <v>Ajay Kumar Bacher</v>
          </cell>
        </row>
        <row r="2831">
          <cell r="E2831" t="str">
            <v>Ramnivash Bunkar</v>
          </cell>
        </row>
        <row r="2832">
          <cell r="E2832" t="str">
            <v>Kailash Bunkar</v>
          </cell>
        </row>
        <row r="2833">
          <cell r="E2833" t="str">
            <v>Archana kumari Bunkar</v>
          </cell>
        </row>
        <row r="2834">
          <cell r="E2834" t="str">
            <v>Hanuman Sahay Ghuvariya</v>
          </cell>
        </row>
        <row r="2835">
          <cell r="E2835" t="str">
            <v>Ramji Lal Ghuvariya</v>
          </cell>
        </row>
        <row r="2836">
          <cell r="E2836" t="str">
            <v>Kesav Bagadi</v>
          </cell>
        </row>
        <row r="2837">
          <cell r="E2837" t="str">
            <v>Chitar Mal Bagadi</v>
          </cell>
        </row>
        <row r="2838">
          <cell r="E2838" t="str">
            <v>Surgyani Devi Balai</v>
          </cell>
        </row>
        <row r="2839">
          <cell r="E2839" t="str">
            <v>Puja Devi Balai</v>
          </cell>
        </row>
        <row r="2840">
          <cell r="E2840" t="str">
            <v>Ramotar Balai</v>
          </cell>
        </row>
        <row r="2841">
          <cell r="E2841" t="str">
            <v>SapanBalai</v>
          </cell>
        </row>
        <row r="2842">
          <cell r="E2842" t="str">
            <v>Ramotar Balai</v>
          </cell>
        </row>
        <row r="2843">
          <cell r="E2843" t="str">
            <v>Kailash Chand Singala</v>
          </cell>
        </row>
        <row r="2844">
          <cell r="E2844" t="str">
            <v>Sita Devi Singala</v>
          </cell>
        </row>
        <row r="2845">
          <cell r="E2845" t="str">
            <v>Rinku Kumari Singala</v>
          </cell>
        </row>
        <row r="2846">
          <cell r="E2846" t="str">
            <v>Visal Kumar Singala</v>
          </cell>
        </row>
        <row r="2847">
          <cell r="E2847" t="str">
            <v>Samir Kumar Singala</v>
          </cell>
        </row>
        <row r="2848">
          <cell r="E2848" t="str">
            <v>Gorv Kumar Singala</v>
          </cell>
        </row>
        <row r="2849">
          <cell r="E2849" t="str">
            <v>Gopal Lal Khatti</v>
          </cell>
        </row>
        <row r="2850">
          <cell r="E2850" t="str">
            <v>Rajani Kumari Khatti</v>
          </cell>
        </row>
        <row r="2851">
          <cell r="E2851" t="str">
            <v>Puja Kumari Khatti</v>
          </cell>
        </row>
        <row r="2852">
          <cell r="E2852" t="str">
            <v>Sundari Devi Khatti</v>
          </cell>
        </row>
        <row r="2853">
          <cell r="E2853" t="str">
            <v>Gita Devi Khatti</v>
          </cell>
        </row>
        <row r="2854">
          <cell r="E2854" t="str">
            <v>Gopal Khatti</v>
          </cell>
        </row>
        <row r="2855">
          <cell r="E2855" t="str">
            <v>Gayatri Devi Meharda</v>
          </cell>
        </row>
        <row r="2856">
          <cell r="E2856" t="str">
            <v>Mahi Meharda</v>
          </cell>
        </row>
        <row r="2857">
          <cell r="E2857" t="str">
            <v>Harinarayan Khatti</v>
          </cell>
        </row>
        <row r="2858">
          <cell r="E2858" t="str">
            <v>Ratan Lal Khatti</v>
          </cell>
        </row>
        <row r="2859">
          <cell r="E2859" t="str">
            <v>Maya Devi Khatti</v>
          </cell>
        </row>
        <row r="2860">
          <cell r="E2860" t="str">
            <v>Rukama Devi Khatti</v>
          </cell>
        </row>
        <row r="2861">
          <cell r="E2861" t="str">
            <v>Rajendr Khatti</v>
          </cell>
        </row>
        <row r="2862">
          <cell r="E2862" t="str">
            <v>Shanker Lal Bagmar</v>
          </cell>
        </row>
        <row r="2863">
          <cell r="E2863" t="str">
            <v>Puja Kumari Bagamar</v>
          </cell>
        </row>
        <row r="2864">
          <cell r="E2864" t="str">
            <v>Soniya Kumari Bagamar</v>
          </cell>
        </row>
        <row r="2865">
          <cell r="E2865" t="str">
            <v>Priya Kumari Bagmar</v>
          </cell>
        </row>
        <row r="2866">
          <cell r="E2866" t="str">
            <v>Jay Kumar Bagamar</v>
          </cell>
        </row>
        <row r="2867">
          <cell r="E2867" t="str">
            <v>Jitesh Bunkar</v>
          </cell>
        </row>
        <row r="2868">
          <cell r="E2868" t="str">
            <v>Manoj Kumar Dokhoriya</v>
          </cell>
        </row>
        <row r="2869">
          <cell r="E2869" t="str">
            <v>Roshan Devi Dokhoriya</v>
          </cell>
        </row>
        <row r="2870">
          <cell r="E2870" t="str">
            <v>Papu Lal Ladana</v>
          </cell>
        </row>
        <row r="2871">
          <cell r="E2871" t="str">
            <v>Kishan Lal Ladana</v>
          </cell>
        </row>
        <row r="2872">
          <cell r="E2872" t="str">
            <v>Gorv Ladana</v>
          </cell>
        </row>
        <row r="2873">
          <cell r="E2873" t="str">
            <v>Rinku Ladana</v>
          </cell>
        </row>
        <row r="2874">
          <cell r="E2874" t="str">
            <v>Badari Ladana</v>
          </cell>
        </row>
        <row r="2875">
          <cell r="E2875" t="str">
            <v>Kishan Lal Ladana</v>
          </cell>
        </row>
        <row r="2876">
          <cell r="E2876" t="str">
            <v>Gorv Ladana</v>
          </cell>
        </row>
        <row r="2877">
          <cell r="E2877" t="str">
            <v>Rinku Ladana</v>
          </cell>
        </row>
        <row r="2878">
          <cell r="E2878" t="str">
            <v>Badari Ladana</v>
          </cell>
        </row>
        <row r="2879">
          <cell r="E2879" t="str">
            <v>Papu Lal Ladana</v>
          </cell>
        </row>
        <row r="2880">
          <cell r="E2880" t="str">
            <v>Raju Bhamniya</v>
          </cell>
        </row>
        <row r="2881">
          <cell r="E2881" t="str">
            <v>Manju Bhamniya</v>
          </cell>
        </row>
        <row r="2882">
          <cell r="E2882" t="str">
            <v>Aakash Kumar Badela</v>
          </cell>
        </row>
        <row r="2883">
          <cell r="E2883" t="str">
            <v>Sima Kumari Badela</v>
          </cell>
        </row>
        <row r="2884">
          <cell r="E2884" t="str">
            <v>Aman Kumar Badela</v>
          </cell>
        </row>
        <row r="2885">
          <cell r="E2885" t="str">
            <v>Pappu Kumar Badela</v>
          </cell>
        </row>
        <row r="2886">
          <cell r="E2886" t="str">
            <v>Nitu Devi Badela</v>
          </cell>
        </row>
        <row r="2887">
          <cell r="E2887" t="str">
            <v>Dindayal Balai</v>
          </cell>
        </row>
        <row r="2888">
          <cell r="E2888" t="str">
            <v>Mohit Balai</v>
          </cell>
        </row>
        <row r="2889">
          <cell r="E2889" t="str">
            <v>purn Chand Bunkar</v>
          </cell>
        </row>
        <row r="2890">
          <cell r="E2890" t="str">
            <v>Manju Devi Bunkar</v>
          </cell>
        </row>
        <row r="2891">
          <cell r="E2891" t="str">
            <v>Manvi Kumari Bunkar</v>
          </cell>
        </row>
        <row r="2892">
          <cell r="E2892" t="str">
            <v>Jaanvi Kumari Bunkar</v>
          </cell>
        </row>
        <row r="2893">
          <cell r="E2893" t="str">
            <v>Tanvi Kumari Bunkar</v>
          </cell>
        </row>
        <row r="2894">
          <cell r="E2894" t="str">
            <v>Ram Kisor Meharda</v>
          </cell>
        </row>
        <row r="2895">
          <cell r="E2895" t="str">
            <v>Esant Kumar Meharda</v>
          </cell>
        </row>
        <row r="2896">
          <cell r="E2896" t="str">
            <v>Sachin Kumar Baravad</v>
          </cell>
        </row>
        <row r="2897">
          <cell r="E2897" t="str">
            <v>Ankit Kumar Baravad</v>
          </cell>
        </row>
        <row r="2898">
          <cell r="E2898" t="str">
            <v>Kusumlata Baravad</v>
          </cell>
        </row>
        <row r="2899">
          <cell r="E2899" t="str">
            <v>Kusumlata Baravad</v>
          </cell>
        </row>
        <row r="2900">
          <cell r="E2900" t="str">
            <v>Kusumlata Baravad</v>
          </cell>
        </row>
        <row r="2901">
          <cell r="E2901" t="str">
            <v>Gopal Lal Barvad</v>
          </cell>
        </row>
        <row r="2902">
          <cell r="E2902" t="str">
            <v>kesar Devi Barvad</v>
          </cell>
        </row>
        <row r="2903">
          <cell r="E2903" t="str">
            <v>Birdi Chand Barvad</v>
          </cell>
        </row>
        <row r="2904">
          <cell r="E2904" t="str">
            <v>Sachin Kumar Baravad</v>
          </cell>
        </row>
        <row r="2905">
          <cell r="E2905" t="str">
            <v>Ankit Kumar Baravad</v>
          </cell>
        </row>
        <row r="2906">
          <cell r="E2906" t="str">
            <v>Divyansi Kimari Depan</v>
          </cell>
        </row>
        <row r="2907">
          <cell r="E2907" t="str">
            <v>Aaman Kumar Depan</v>
          </cell>
        </row>
        <row r="2908">
          <cell r="E2908" t="str">
            <v>Aaman Kumar Depan</v>
          </cell>
        </row>
        <row r="2909">
          <cell r="E2909" t="str">
            <v>Suva Lal Ghodeta</v>
          </cell>
        </row>
        <row r="2910">
          <cell r="E2910" t="str">
            <v>Visal Kumar Ghodeta</v>
          </cell>
        </row>
        <row r="2911">
          <cell r="E2911" t="str">
            <v>Puja Devi Ghodeta</v>
          </cell>
        </row>
        <row r="2912">
          <cell r="E2912" t="str">
            <v xml:space="preserve">Bhagavan Sahay </v>
          </cell>
        </row>
        <row r="2913">
          <cell r="E2913" t="str">
            <v>Aasa</v>
          </cell>
        </row>
        <row r="2914">
          <cell r="E2914" t="str">
            <v>Bina Devi Suniya</v>
          </cell>
        </row>
        <row r="2915">
          <cell r="E2915" t="str">
            <v>Monika Kumar Suniya</v>
          </cell>
        </row>
        <row r="2916">
          <cell r="E2916" t="str">
            <v>Sitaram Labaniya</v>
          </cell>
        </row>
        <row r="2917">
          <cell r="E2917" t="str">
            <v>Jitendr Kumar Tandada</v>
          </cell>
        </row>
        <row r="2918">
          <cell r="E2918" t="str">
            <v>Tija devi Tandada</v>
          </cell>
        </row>
        <row r="2919">
          <cell r="E2919" t="str">
            <v>Suja Ram Tandada</v>
          </cell>
        </row>
        <row r="2920">
          <cell r="E2920" t="str">
            <v>Niharika Tandada</v>
          </cell>
        </row>
        <row r="2921">
          <cell r="E2921" t="str">
            <v>Jitendr Kumar Tandada</v>
          </cell>
        </row>
        <row r="2922">
          <cell r="E2922" t="str">
            <v>Dolat Kumar Dokhoriya</v>
          </cell>
        </row>
        <row r="2923">
          <cell r="E2923" t="str">
            <v>Aayush Kumar Dokhoriya</v>
          </cell>
        </row>
        <row r="2924">
          <cell r="E2924" t="str">
            <v>Krasna Kumari Dokhoriya</v>
          </cell>
        </row>
        <row r="2925">
          <cell r="E2925" t="str">
            <v>Prins Kumar Dokhoriya</v>
          </cell>
        </row>
        <row r="2926">
          <cell r="E2926" t="str">
            <v xml:space="preserve">Choti Devi </v>
          </cell>
        </row>
        <row r="2927">
          <cell r="E2927" t="str">
            <v>Jaypal Bunkar</v>
          </cell>
        </row>
        <row r="2928">
          <cell r="E2928" t="str">
            <v>Sonu Bunkar</v>
          </cell>
        </row>
        <row r="2929">
          <cell r="E2929" t="str">
            <v>Dinesh Kumar Bunkar</v>
          </cell>
        </row>
        <row r="2930">
          <cell r="E2930" t="str">
            <v>Surj Bunkar</v>
          </cell>
        </row>
        <row r="2931">
          <cell r="E2931" t="str">
            <v xml:space="preserve">Kishn Lal </v>
          </cell>
        </row>
        <row r="2932">
          <cell r="E2932" t="str">
            <v>Manjhu Devi</v>
          </cell>
        </row>
        <row r="2933">
          <cell r="E2933" t="str">
            <v>Ritu Kumari Ladna</v>
          </cell>
        </row>
        <row r="2934">
          <cell r="E2934" t="str">
            <v>Urmila Kumari Ladna</v>
          </cell>
        </row>
        <row r="2935">
          <cell r="E2935" t="str">
            <v>Sankar Lal Ladna</v>
          </cell>
        </row>
        <row r="2936">
          <cell r="E2936" t="str">
            <v>Rampul Budgaya</v>
          </cell>
        </row>
        <row r="2937">
          <cell r="E2937" t="str">
            <v>Chigan Lal Mahich</v>
          </cell>
        </row>
        <row r="2938">
          <cell r="E2938" t="str">
            <v>Himansu Mahich</v>
          </cell>
        </row>
        <row r="2939">
          <cell r="E2939" t="str">
            <v>Krisnaa Mahich</v>
          </cell>
        </row>
        <row r="2940">
          <cell r="E2940" t="str">
            <v>Puja Kumari Varma</v>
          </cell>
        </row>
        <row r="2941">
          <cell r="E2941" t="str">
            <v>Jiya Kumari Varma</v>
          </cell>
        </row>
        <row r="2942">
          <cell r="E2942" t="str">
            <v>Mamata Devi Rathi</v>
          </cell>
        </row>
        <row r="2943">
          <cell r="E2943" t="str">
            <v>Ram Lal Bunkar</v>
          </cell>
        </row>
        <row r="2944">
          <cell r="E2944" t="str">
            <v>Mira</v>
          </cell>
        </row>
        <row r="2945">
          <cell r="E2945" t="str">
            <v>Anjali</v>
          </cell>
        </row>
        <row r="2946">
          <cell r="E2946" t="str">
            <v>Sonika Devi Bunkar</v>
          </cell>
        </row>
        <row r="2947">
          <cell r="E2947" t="str">
            <v>Vinod Kumar Varma</v>
          </cell>
        </row>
        <row r="2948">
          <cell r="E2948" t="str">
            <v>Banvari Lal Bunakar</v>
          </cell>
        </row>
        <row r="2949">
          <cell r="E2949" t="str">
            <v>Ramsvrup Bunakar</v>
          </cell>
        </row>
        <row r="2950">
          <cell r="E2950" t="str">
            <v>Om Prakash Bagadi</v>
          </cell>
        </row>
        <row r="2951">
          <cell r="E2951" t="str">
            <v>Mmata devi Bagadi</v>
          </cell>
        </row>
        <row r="2952">
          <cell r="E2952" t="str">
            <v>Gotam</v>
          </cell>
        </row>
        <row r="2953">
          <cell r="E2953" t="str">
            <v>Akit</v>
          </cell>
        </row>
        <row r="2954">
          <cell r="E2954" t="str">
            <v>Ram Prasad Gotwal</v>
          </cell>
        </row>
        <row r="2955">
          <cell r="E2955" t="str">
            <v>Mahir kumar Gotwal</v>
          </cell>
        </row>
        <row r="2956">
          <cell r="E2956" t="str">
            <v>Deshdipak Bunkar</v>
          </cell>
        </row>
        <row r="2957">
          <cell r="E2957" t="str">
            <v>Priyanka Bunkar</v>
          </cell>
        </row>
        <row r="2958">
          <cell r="E2958" t="str">
            <v>Prahalad Ladana</v>
          </cell>
        </row>
        <row r="2959">
          <cell r="E2959" t="str">
            <v>Vimala Devi Ladana</v>
          </cell>
        </row>
        <row r="2960">
          <cell r="E2960" t="str">
            <v>Rukama Devi Khatti</v>
          </cell>
        </row>
        <row r="2961">
          <cell r="E2961" t="str">
            <v>Rajendr Khatti</v>
          </cell>
        </row>
        <row r="2962">
          <cell r="E2962" t="str">
            <v>Harinarayan Khatti</v>
          </cell>
        </row>
        <row r="2963">
          <cell r="E2963" t="str">
            <v>Ratan Lal Khatti</v>
          </cell>
        </row>
        <row r="2964">
          <cell r="E2964" t="str">
            <v>Maya Devi Khatti</v>
          </cell>
        </row>
        <row r="2965">
          <cell r="E2965" t="str">
            <v>Aadity Das Panda</v>
          </cell>
        </row>
        <row r="2966">
          <cell r="E2966" t="str">
            <v>Susila Panda</v>
          </cell>
        </row>
        <row r="2967">
          <cell r="E2967" t="str">
            <v>Pavan Kumar Varma</v>
          </cell>
        </row>
        <row r="2968">
          <cell r="E2968" t="str">
            <v>Rekha Devi Varma</v>
          </cell>
        </row>
        <row r="2969">
          <cell r="E2969" t="str">
            <v>Bhavari Devi Varma</v>
          </cell>
        </row>
        <row r="2970">
          <cell r="E2970" t="str">
            <v>Sarvan ji malinda</v>
          </cell>
        </row>
        <row r="2971">
          <cell r="E2971" t="str">
            <v>Dipak malinda</v>
          </cell>
        </row>
        <row r="2972">
          <cell r="E2972" t="str">
            <v xml:space="preserve">Sankar Lal </v>
          </cell>
        </row>
        <row r="2973">
          <cell r="E2973" t="str">
            <v>Sivam</v>
          </cell>
        </row>
        <row r="2974">
          <cell r="E2974" t="str">
            <v>Ramesvar Prasad Sachoriya</v>
          </cell>
        </row>
        <row r="2975">
          <cell r="E2975" t="str">
            <v>Santosh Devi Sachoriya</v>
          </cell>
        </row>
        <row r="2976">
          <cell r="E2976" t="str">
            <v>Jagadish Prashad Dokhoriya</v>
          </cell>
        </row>
        <row r="2977">
          <cell r="E2977" t="str">
            <v>Rahul Kumar Dokhoriya</v>
          </cell>
        </row>
        <row r="2978">
          <cell r="E2978" t="str">
            <v>palak Dokhoriya</v>
          </cell>
        </row>
        <row r="2979">
          <cell r="E2979" t="str">
            <v>Payal kumari Dokhoriya</v>
          </cell>
        </row>
        <row r="2980">
          <cell r="E2980" t="str">
            <v>Mohan Lal Meharda</v>
          </cell>
        </row>
        <row r="2981">
          <cell r="E2981" t="str">
            <v>Vijay Kumar Meharda</v>
          </cell>
        </row>
        <row r="2982">
          <cell r="E2982" t="str">
            <v>Ajay Kumar Meharda</v>
          </cell>
        </row>
        <row r="2983">
          <cell r="E2983" t="str">
            <v>Vimala Devi Meharda</v>
          </cell>
        </row>
        <row r="2984">
          <cell r="E2984" t="str">
            <v>Mnisha kumari Meharda</v>
          </cell>
        </row>
        <row r="2985">
          <cell r="E2985" t="str">
            <v>Manphuli Devi Pachariya</v>
          </cell>
        </row>
        <row r="2986">
          <cell r="E2986" t="str">
            <v>Aasa Kumari Pachariya</v>
          </cell>
        </row>
        <row r="2987">
          <cell r="E2987" t="str">
            <v>Birdi Chand Pachariya</v>
          </cell>
        </row>
        <row r="2988">
          <cell r="E2988" t="str">
            <v>Megharaj Bagamar</v>
          </cell>
        </row>
        <row r="2989">
          <cell r="E2989" t="str">
            <v>Ramsvrup Khoval</v>
          </cell>
        </row>
        <row r="2990">
          <cell r="E2990" t="str">
            <v>Bansi Lal</v>
          </cell>
        </row>
        <row r="2991">
          <cell r="E2991" t="str">
            <v xml:space="preserve">Manphuli Devi </v>
          </cell>
        </row>
        <row r="2992">
          <cell r="E2992" t="str">
            <v>Ramdev Bunkar</v>
          </cell>
        </row>
        <row r="2993">
          <cell r="E2993" t="str">
            <v>Roshan Kumar Bunkar</v>
          </cell>
        </row>
        <row r="2994">
          <cell r="E2994" t="str">
            <v>Ramesvar Sachoriya</v>
          </cell>
        </row>
        <row r="2995">
          <cell r="E2995" t="str">
            <v>Mamta Devi Sachoriya</v>
          </cell>
        </row>
        <row r="2996">
          <cell r="E2996" t="str">
            <v>Rekha Kumari Sachoriya</v>
          </cell>
        </row>
        <row r="2997">
          <cell r="E2997" t="str">
            <v>Rampal Godeta</v>
          </cell>
        </row>
        <row r="2998">
          <cell r="E2998" t="str">
            <v>Santos Gadval</v>
          </cell>
        </row>
        <row r="2999">
          <cell r="E2999" t="str">
            <v>Rajpal Vamra</v>
          </cell>
        </row>
        <row r="3000">
          <cell r="E3000" t="str">
            <v>Soniya Kumari Bagamar</v>
          </cell>
        </row>
        <row r="3001">
          <cell r="E3001" t="str">
            <v>Mikka</v>
          </cell>
        </row>
        <row r="3002">
          <cell r="E3002" t="str">
            <v>Sarvan budagaya</v>
          </cell>
        </row>
        <row r="3003">
          <cell r="E3003" t="str">
            <v>Priyanka Budagaya</v>
          </cell>
        </row>
        <row r="3004">
          <cell r="E3004" t="str">
            <v xml:space="preserve">Yasavi </v>
          </cell>
        </row>
        <row r="3005">
          <cell r="E3005" t="str">
            <v>Tulasi Devi Budgaya</v>
          </cell>
        </row>
        <row r="3006">
          <cell r="E3006" t="str">
            <v>Jypal</v>
          </cell>
        </row>
        <row r="3007">
          <cell r="E3007" t="str">
            <v>Suman</v>
          </cell>
        </row>
        <row r="3008">
          <cell r="E3008" t="str">
            <v>Pema ram</v>
          </cell>
        </row>
        <row r="3009">
          <cell r="E3009" t="str">
            <v>Rama</v>
          </cell>
        </row>
        <row r="3010">
          <cell r="E3010" t="str">
            <v xml:space="preserve">Onkar shing </v>
          </cell>
        </row>
        <row r="3011">
          <cell r="E3011" t="str">
            <v>Bidami Devi</v>
          </cell>
        </row>
        <row r="3012">
          <cell r="E3012" t="str">
            <v>Chanchal</v>
          </cell>
        </row>
        <row r="3013">
          <cell r="E3013" t="str">
            <v>Priya</v>
          </cell>
        </row>
        <row r="3014">
          <cell r="E3014" t="str">
            <v>Rosan</v>
          </cell>
        </row>
        <row r="3015">
          <cell r="E3015" t="str">
            <v>Sampati Devi Narnoliya</v>
          </cell>
        </row>
        <row r="3016">
          <cell r="E3016" t="str">
            <v>Priyansu Narnoliya</v>
          </cell>
        </row>
        <row r="3017">
          <cell r="E3017" t="str">
            <v>Sangita Devi malinda</v>
          </cell>
        </row>
        <row r="3018">
          <cell r="E3018" t="str">
            <v>Joti  Kumari malinda</v>
          </cell>
        </row>
        <row r="3019">
          <cell r="E3019" t="str">
            <v>Yogesh kumar mandaeval</v>
          </cell>
        </row>
        <row r="3020">
          <cell r="E3020" t="str">
            <v>Laxman Kalohiya</v>
          </cell>
        </row>
        <row r="3021">
          <cell r="E3021" t="str">
            <v>Mangal chand Katariya</v>
          </cell>
        </row>
        <row r="3022">
          <cell r="E3022" t="str">
            <v>Maya Devi Katariya</v>
          </cell>
        </row>
        <row r="3023">
          <cell r="E3023" t="str">
            <v>Jagadish Katariya</v>
          </cell>
        </row>
        <row r="3024">
          <cell r="E3024" t="str">
            <v>Kanu kumari Katariya</v>
          </cell>
        </row>
        <row r="3025">
          <cell r="E3025" t="str">
            <v>Guddu kumari Katariya</v>
          </cell>
        </row>
        <row r="3026">
          <cell r="E3026" t="str">
            <v>Mukesh kumar Katariya</v>
          </cell>
        </row>
        <row r="3027">
          <cell r="E3027" t="str">
            <v>Sona Devi Katariya</v>
          </cell>
        </row>
        <row r="3028">
          <cell r="E3028" t="str">
            <v>Jagadish Katariya</v>
          </cell>
        </row>
        <row r="3029">
          <cell r="E3029" t="str">
            <v>Mannu kumari Katariya</v>
          </cell>
        </row>
        <row r="3030">
          <cell r="E3030" t="str">
            <v>Prish kumar Katariya</v>
          </cell>
        </row>
        <row r="3031">
          <cell r="E3031" t="str">
            <v>Mangal chand Katariya</v>
          </cell>
        </row>
        <row r="3032">
          <cell r="E3032" t="str">
            <v>Maya Devi Katariya</v>
          </cell>
        </row>
        <row r="3033">
          <cell r="E3033" t="str">
            <v>Jagadish Katariya</v>
          </cell>
        </row>
        <row r="3034">
          <cell r="E3034" t="str">
            <v>Kanu kumari Katariya</v>
          </cell>
        </row>
        <row r="3035">
          <cell r="E3035" t="str">
            <v>Guddu kumari Katariya</v>
          </cell>
        </row>
        <row r="3036">
          <cell r="E3036" t="str">
            <v>Babu Lal Pachriya</v>
          </cell>
        </row>
        <row r="3037">
          <cell r="E3037" t="str">
            <v>Susila Pachriya</v>
          </cell>
        </row>
        <row r="3038">
          <cell r="E3038" t="str">
            <v>Hiya Pachriya</v>
          </cell>
        </row>
        <row r="3039">
          <cell r="E3039" t="str">
            <v>Lihan Pachriya</v>
          </cell>
        </row>
        <row r="3040">
          <cell r="E3040" t="str">
            <v>Ramesh Chand Budgaya</v>
          </cell>
        </row>
        <row r="3041">
          <cell r="E3041" t="str">
            <v>Sarvan Kumar Budgaya</v>
          </cell>
        </row>
        <row r="3042">
          <cell r="E3042" t="str">
            <v>Kisan Varma</v>
          </cell>
        </row>
        <row r="3043">
          <cell r="E3043" t="str">
            <v>Rahul Varma</v>
          </cell>
        </row>
        <row r="3044">
          <cell r="E3044" t="str">
            <v>Priyanka Varma</v>
          </cell>
        </row>
        <row r="3045">
          <cell r="E3045" t="str">
            <v>Anita Ghodeta</v>
          </cell>
        </row>
        <row r="3046">
          <cell r="E3046" t="str">
            <v>Prabhu Dayal Varma</v>
          </cell>
        </row>
        <row r="3047">
          <cell r="E3047" t="str">
            <v>Bhuri Devi Varma</v>
          </cell>
        </row>
        <row r="3048">
          <cell r="E3048" t="str">
            <v>Dindyal Kairapa</v>
          </cell>
        </row>
        <row r="3049">
          <cell r="E3049" t="str">
            <v>Mohit Kairapa</v>
          </cell>
        </row>
        <row r="3050">
          <cell r="E3050" t="str">
            <v>Raju Bhamniya</v>
          </cell>
        </row>
        <row r="3051">
          <cell r="E3051" t="str">
            <v>Manju Bhamniya</v>
          </cell>
        </row>
        <row r="3052">
          <cell r="E3052" t="str">
            <v>Gopal Lal Barvad</v>
          </cell>
        </row>
        <row r="3053">
          <cell r="E3053" t="str">
            <v>Kusumlata Baravad</v>
          </cell>
        </row>
        <row r="3054">
          <cell r="E3054" t="str">
            <v>Kusumlata Baravad</v>
          </cell>
        </row>
        <row r="3055">
          <cell r="E3055" t="str">
            <v>Kusumlata Baravad</v>
          </cell>
        </row>
        <row r="3056">
          <cell r="E3056" t="str">
            <v>Suva Lal Narnoliya</v>
          </cell>
        </row>
        <row r="3057">
          <cell r="E3057" t="str">
            <v>Gorv Narnoliya</v>
          </cell>
        </row>
        <row r="3058">
          <cell r="E3058" t="str">
            <v>Sampati Devi Narnoliya</v>
          </cell>
        </row>
        <row r="3059">
          <cell r="E3059" t="str">
            <v>Priyansu Narnoliya</v>
          </cell>
        </row>
        <row r="3060">
          <cell r="E3060" t="str">
            <v>Suva Lal Narnoliya</v>
          </cell>
        </row>
        <row r="3061">
          <cell r="E3061" t="str">
            <v>Gorv Narnoliya</v>
          </cell>
        </row>
        <row r="3062">
          <cell r="E3062" t="str">
            <v>Sampati Devi Narnoliya</v>
          </cell>
        </row>
        <row r="3063">
          <cell r="E3063" t="str">
            <v>Priyansu Narnoliya</v>
          </cell>
        </row>
        <row r="3064">
          <cell r="E3064" t="str">
            <v>Sampati Devi Narnoliya</v>
          </cell>
        </row>
        <row r="3065">
          <cell r="E3065" t="str">
            <v>Priyansu Narnoliya</v>
          </cell>
        </row>
        <row r="3066">
          <cell r="E3066" t="str">
            <v>Dinesh Katariya</v>
          </cell>
        </row>
        <row r="3067">
          <cell r="E3067" t="str">
            <v>Kanchan</v>
          </cell>
        </row>
        <row r="3068">
          <cell r="E3068" t="str">
            <v>Khushi</v>
          </cell>
        </row>
        <row r="3069">
          <cell r="E3069" t="str">
            <v>Mharsi</v>
          </cell>
        </row>
        <row r="3070">
          <cell r="E3070" t="str">
            <v>Divya</v>
          </cell>
        </row>
        <row r="3071">
          <cell r="E3071" t="str">
            <v>Rajesh Verma</v>
          </cell>
        </row>
        <row r="3072">
          <cell r="E3072" t="str">
            <v>Kamni Verma</v>
          </cell>
        </row>
        <row r="3073">
          <cell r="E3073" t="str">
            <v>Anjula Verma</v>
          </cell>
        </row>
        <row r="3074">
          <cell r="E3074" t="str">
            <v>Aanndi Lal</v>
          </cell>
        </row>
        <row r="3075">
          <cell r="E3075" t="str">
            <v>Manju Devi</v>
          </cell>
        </row>
        <row r="3076">
          <cell r="E3076" t="str">
            <v>Gunjal</v>
          </cell>
        </row>
        <row r="3077">
          <cell r="E3077" t="str">
            <v>khyati</v>
          </cell>
        </row>
        <row r="3078">
          <cell r="E3078" t="str">
            <v>ghasiram</v>
          </cell>
        </row>
        <row r="3079">
          <cell r="E3079" t="str">
            <v>Suresh Kumar Meharda</v>
          </cell>
        </row>
        <row r="3080">
          <cell r="E3080" t="str">
            <v>Harbaks Meharda</v>
          </cell>
        </row>
        <row r="3081">
          <cell r="E3081" t="str">
            <v>Mali Devi Meharda</v>
          </cell>
        </row>
        <row r="3082">
          <cell r="E3082" t="str">
            <v>Harinarayan Khatti</v>
          </cell>
        </row>
        <row r="3083">
          <cell r="E3083" t="str">
            <v>Rajendra Kumar Khatti</v>
          </cell>
        </row>
        <row r="3084">
          <cell r="E3084" t="str">
            <v>Rampal Malinda</v>
          </cell>
        </row>
        <row r="3085">
          <cell r="E3085" t="str">
            <v>Nirmala Devi Malinda</v>
          </cell>
        </row>
        <row r="3086">
          <cell r="E3086" t="str">
            <v>Ravi Kumar Malinda</v>
          </cell>
        </row>
        <row r="3087">
          <cell r="E3087" t="str">
            <v>Priti kueari Malinda</v>
          </cell>
        </row>
        <row r="3088">
          <cell r="E3088" t="str">
            <v>Priyanka kueari Malinda</v>
          </cell>
        </row>
        <row r="3089">
          <cell r="E3089" t="str">
            <v>Sohan Lal Bunkar</v>
          </cell>
        </row>
        <row r="3090">
          <cell r="E3090" t="str">
            <v>Prahalad Lohiya</v>
          </cell>
        </row>
        <row r="3091">
          <cell r="E3091" t="str">
            <v>Puran Mal Meharda</v>
          </cell>
        </row>
        <row r="3092">
          <cell r="E3092" t="str">
            <v>Rahul Kumar Meharda</v>
          </cell>
        </row>
        <row r="3093">
          <cell r="E3093" t="str">
            <v>Anita Kumari Mandavara</v>
          </cell>
        </row>
        <row r="3094">
          <cell r="E3094" t="str">
            <v>Puja Kumari Mandavara</v>
          </cell>
        </row>
        <row r="3095">
          <cell r="E3095" t="str">
            <v>Maya Kumari Mandavara</v>
          </cell>
        </row>
        <row r="3096">
          <cell r="E3096" t="str">
            <v>Basanti Bunkar</v>
          </cell>
        </row>
        <row r="3097">
          <cell r="E3097" t="str">
            <v>Mukesh Kumat Bunkar</v>
          </cell>
        </row>
        <row r="3098">
          <cell r="E3098" t="str">
            <v>Vikrm Kumar Bunkar</v>
          </cell>
        </row>
        <row r="3099">
          <cell r="E3099" t="str">
            <v>Anil Kumar Bunkar</v>
          </cell>
        </row>
        <row r="3100">
          <cell r="E3100" t="str">
            <v>Punam devi Bunkar</v>
          </cell>
        </row>
        <row r="3101">
          <cell r="E3101" t="str">
            <v>Prins Kumar Bunkar</v>
          </cell>
        </row>
        <row r="3102">
          <cell r="E3102" t="str">
            <v>Rampal Bunkar</v>
          </cell>
        </row>
        <row r="3103">
          <cell r="E3103" t="str">
            <v>Nathi Devi Bunkar</v>
          </cell>
        </row>
        <row r="3104">
          <cell r="E3104" t="str">
            <v>Gopal Lal Barvad</v>
          </cell>
        </row>
        <row r="3105">
          <cell r="E3105" t="str">
            <v>kesar Devi Barvad</v>
          </cell>
        </row>
        <row r="3106">
          <cell r="E3106" t="str">
            <v>Birdi Chand Barvad</v>
          </cell>
        </row>
        <row r="3107">
          <cell r="E3107" t="str">
            <v>Ramesh Chand Rojada</v>
          </cell>
        </row>
        <row r="3108">
          <cell r="E3108" t="str">
            <v>Rekha Kumari Rojada</v>
          </cell>
        </row>
        <row r="3109">
          <cell r="E3109" t="str">
            <v>Navanita Kumari Rojada</v>
          </cell>
        </row>
        <row r="3110">
          <cell r="E3110" t="str">
            <v>Ramji Lal Bunkar</v>
          </cell>
        </row>
        <row r="3111">
          <cell r="E3111" t="str">
            <v>Manjhu Devi Bunkar</v>
          </cell>
        </row>
        <row r="3112">
          <cell r="E3112" t="str">
            <v>Pavan Kumar Bunkar</v>
          </cell>
        </row>
        <row r="3113">
          <cell r="E3113" t="str">
            <v>Surgyan Chitroliya</v>
          </cell>
        </row>
        <row r="3114">
          <cell r="E3114" t="str">
            <v>Kamali Devi Chitroliya</v>
          </cell>
        </row>
        <row r="3115">
          <cell r="E3115" t="str">
            <v>Dipak Kumar Chitroliya</v>
          </cell>
        </row>
        <row r="3116">
          <cell r="E3116" t="str">
            <v>Kajal Chitroliya</v>
          </cell>
        </row>
        <row r="3117">
          <cell r="E3117" t="str">
            <v>Prem Devi Chitroliya</v>
          </cell>
        </row>
        <row r="3118">
          <cell r="E3118" t="str">
            <v>Muli Devi Meharda</v>
          </cell>
        </row>
        <row r="3119">
          <cell r="E3119" t="str">
            <v>Visnu Kumar Meharda</v>
          </cell>
        </row>
        <row r="3120">
          <cell r="E3120" t="str">
            <v>Ganraj Meharda</v>
          </cell>
        </row>
        <row r="3121">
          <cell r="E3121" t="str">
            <v>Ramesh Chand Budgaya</v>
          </cell>
        </row>
        <row r="3122">
          <cell r="E3122" t="str">
            <v>Tulasi Devi Budgaya</v>
          </cell>
        </row>
        <row r="3123">
          <cell r="E3123" t="str">
            <v>Sarvan Kumar Budgaya</v>
          </cell>
        </row>
        <row r="3124">
          <cell r="E3124" t="str">
            <v>Jitesh Bunkar</v>
          </cell>
        </row>
        <row r="3125">
          <cell r="E3125" t="str">
            <v>Munni Devi Bunkar</v>
          </cell>
        </row>
        <row r="3126">
          <cell r="E3126" t="str">
            <v>Jitesh Bunkar</v>
          </cell>
        </row>
        <row r="3127">
          <cell r="E3127" t="str">
            <v>Ram Avatar Tadeda</v>
          </cell>
        </row>
        <row r="3128">
          <cell r="E3128" t="str">
            <v>Samir Tadeda</v>
          </cell>
        </row>
        <row r="3129">
          <cell r="E3129" t="str">
            <v>Govind Ran Bagadi</v>
          </cell>
        </row>
        <row r="3130">
          <cell r="E3130" t="str">
            <v>Chandni Bagadi</v>
          </cell>
        </row>
        <row r="3131">
          <cell r="E3131" t="str">
            <v>Sanni Bagadi</v>
          </cell>
        </row>
        <row r="3132">
          <cell r="E3132" t="str">
            <v>Rampyari Bagadi</v>
          </cell>
        </row>
        <row r="3133">
          <cell r="E3133" t="str">
            <v>Om Prakash Bagadi</v>
          </cell>
        </row>
        <row r="3134">
          <cell r="E3134" t="str">
            <v>harinarayan Bagadi</v>
          </cell>
        </row>
        <row r="3135">
          <cell r="E3135" t="str">
            <v>Rajendra prasad Bagadi</v>
          </cell>
        </row>
        <row r="3136">
          <cell r="E3136" t="str">
            <v>Sankar Lal Ladna</v>
          </cell>
        </row>
        <row r="3137">
          <cell r="E3137" t="str">
            <v>Ritu Kumari Ladna</v>
          </cell>
        </row>
        <row r="3138">
          <cell r="E3138" t="str">
            <v>Rahul Kumar Ladna</v>
          </cell>
        </row>
        <row r="3139">
          <cell r="E3139" t="str">
            <v>Manish Kumar Ladna</v>
          </cell>
        </row>
        <row r="3140">
          <cell r="E3140" t="str">
            <v>Gorav Kumar Ladna</v>
          </cell>
        </row>
        <row r="3141">
          <cell r="E3141" t="str">
            <v>Sankar Lal Ladna</v>
          </cell>
        </row>
        <row r="3142">
          <cell r="E3142" t="str">
            <v>Sampat Kumar Ladna</v>
          </cell>
        </row>
        <row r="3143">
          <cell r="E3143" t="str">
            <v>Ritu Kumari Ladna</v>
          </cell>
        </row>
        <row r="3144">
          <cell r="E3144" t="str">
            <v>Lokesh Kumar Ladna</v>
          </cell>
        </row>
        <row r="3145">
          <cell r="E3145" t="str">
            <v>Sankar Lal Bagamar</v>
          </cell>
        </row>
        <row r="3146">
          <cell r="E3146" t="str">
            <v>Maya Devi Bagmar</v>
          </cell>
        </row>
        <row r="3147">
          <cell r="E3147" t="str">
            <v>Soniya Kumari Bagmar</v>
          </cell>
        </row>
        <row r="3148">
          <cell r="E3148" t="str">
            <v>Priya Kumari Bagmar</v>
          </cell>
        </row>
        <row r="3149">
          <cell r="E3149" t="str">
            <v>Prahalad Ladana</v>
          </cell>
        </row>
        <row r="3150">
          <cell r="E3150" t="str">
            <v>Vimala Devi Ladana</v>
          </cell>
        </row>
        <row r="3151">
          <cell r="E3151" t="str">
            <v>Lokesh Kumar Ladana</v>
          </cell>
        </row>
        <row r="3152">
          <cell r="E3152" t="str">
            <v>Dayal Meharda</v>
          </cell>
        </row>
        <row r="3153">
          <cell r="E3153" t="str">
            <v>Aarati Devi Meharda</v>
          </cell>
        </row>
        <row r="3154">
          <cell r="E3154" t="str">
            <v>Ajay Kumar Meharda</v>
          </cell>
        </row>
        <row r="3155">
          <cell r="E3155" t="str">
            <v>Pavan Kumar Meharda</v>
          </cell>
        </row>
        <row r="3156">
          <cell r="E3156" t="str">
            <v>Sumit Kumar Meharda</v>
          </cell>
        </row>
        <row r="3157">
          <cell r="E3157" t="str">
            <v>Naresh Raj Meharda</v>
          </cell>
        </row>
        <row r="3158">
          <cell r="E3158" t="str">
            <v>Dayal Meharda</v>
          </cell>
        </row>
        <row r="3159">
          <cell r="E3159" t="str">
            <v>Pinki Meharda</v>
          </cell>
        </row>
        <row r="3160">
          <cell r="E3160" t="str">
            <v>Mangi Devi Bunkar</v>
          </cell>
        </row>
        <row r="3161">
          <cell r="E3161" t="str">
            <v>Savan Kumar Bunkar</v>
          </cell>
        </row>
        <row r="3162">
          <cell r="E3162" t="str">
            <v>Chirnji Lal Sunya</v>
          </cell>
        </row>
        <row r="3163">
          <cell r="E3163" t="str">
            <v>Kamala Devi suniya</v>
          </cell>
        </row>
        <row r="3164">
          <cell r="E3164" t="str">
            <v>Mahendr Kumar Suniya</v>
          </cell>
        </row>
        <row r="3165">
          <cell r="E3165" t="str">
            <v>Dasharat Kumar Suniya</v>
          </cell>
        </row>
        <row r="3166">
          <cell r="E3166" t="str">
            <v>Sima Kumari Suniya</v>
          </cell>
        </row>
        <row r="3167">
          <cell r="E3167" t="str">
            <v>Kamala Devi suniya</v>
          </cell>
        </row>
        <row r="3168">
          <cell r="E3168" t="str">
            <v>Kamala Devi suniya</v>
          </cell>
        </row>
        <row r="3169">
          <cell r="E3169" t="str">
            <v>Payal kumari Khandelwal</v>
          </cell>
        </row>
        <row r="3170">
          <cell r="E3170" t="str">
            <v xml:space="preserve">Dev Raj Khandelwal </v>
          </cell>
        </row>
        <row r="3171">
          <cell r="E3171" t="str">
            <v>Babu Lal Khandelwal</v>
          </cell>
        </row>
        <row r="3172">
          <cell r="E3172" t="str">
            <v>Lali Devi Khandelwal</v>
          </cell>
        </row>
        <row r="3173">
          <cell r="E3173" t="str">
            <v>Sona Kumari Khandelwal</v>
          </cell>
        </row>
        <row r="3174">
          <cell r="E3174" t="str">
            <v>Payal kumari Khandelwal</v>
          </cell>
        </row>
        <row r="3175">
          <cell r="E3175" t="str">
            <v xml:space="preserve">Dev Raj Khandelwal </v>
          </cell>
        </row>
        <row r="3176">
          <cell r="E3176" t="str">
            <v>Babu Lal Khandelwal</v>
          </cell>
        </row>
        <row r="3177">
          <cell r="E3177" t="str">
            <v>Lali Devi Khandelwal</v>
          </cell>
        </row>
        <row r="3178">
          <cell r="E3178" t="str">
            <v>Sona Kumari Khandelwal</v>
          </cell>
        </row>
        <row r="3179">
          <cell r="E3179" t="str">
            <v>Payal kumari Dokhoriya</v>
          </cell>
        </row>
        <row r="3180">
          <cell r="E3180" t="str">
            <v>Palak Kumari Dokhoriya</v>
          </cell>
        </row>
        <row r="3181">
          <cell r="E3181" t="str">
            <v>Rahul Kumar Dokhoriya</v>
          </cell>
        </row>
        <row r="3182">
          <cell r="E3182" t="str">
            <v>Jagadish Kumar Dokhoriya</v>
          </cell>
        </row>
        <row r="3183">
          <cell r="E3183" t="str">
            <v>Mohan Lal Meharda</v>
          </cell>
        </row>
        <row r="3184">
          <cell r="E3184" t="str">
            <v>Vijay Kumar Meharda</v>
          </cell>
        </row>
        <row r="3185">
          <cell r="E3185" t="str">
            <v>Ajay Kumar Meharda</v>
          </cell>
        </row>
        <row r="3186">
          <cell r="E3186" t="str">
            <v>Vimala Devi Meharda</v>
          </cell>
        </row>
        <row r="3187">
          <cell r="E3187" t="str">
            <v>Mnisha kumari Meharda</v>
          </cell>
        </row>
        <row r="3188">
          <cell r="E3188" t="str">
            <v>Birdi Chand Pachariya</v>
          </cell>
        </row>
        <row r="3189">
          <cell r="E3189" t="str">
            <v>Priti Kumari Saravata</v>
          </cell>
        </row>
        <row r="3190">
          <cell r="E3190" t="str">
            <v>Yas Kumar Saravata</v>
          </cell>
        </row>
        <row r="3191">
          <cell r="E3191" t="str">
            <v>Rajesh Kumar Saravata</v>
          </cell>
        </row>
        <row r="3192">
          <cell r="E3192" t="str">
            <v>Laxi Devi Saravata</v>
          </cell>
        </row>
        <row r="3193">
          <cell r="E3193" t="str">
            <v>Arjun Lal Saravata</v>
          </cell>
        </row>
        <row r="3194">
          <cell r="E3194" t="str">
            <v>Sayra Devi Duvariya</v>
          </cell>
        </row>
        <row r="3195">
          <cell r="E3195" t="str">
            <v>Santosh Kumari Duvariya</v>
          </cell>
        </row>
        <row r="3196">
          <cell r="E3196" t="str">
            <v>Rekha Kumari Duvariya</v>
          </cell>
        </row>
        <row r="3197">
          <cell r="E3197" t="str">
            <v>Tanuj Kumar Duvariya</v>
          </cell>
        </row>
        <row r="3198">
          <cell r="E3198" t="str">
            <v>Tisha Kumari Duvariya</v>
          </cell>
        </row>
        <row r="3199">
          <cell r="E3199" t="str">
            <v>Puran Mal Gurava</v>
          </cell>
        </row>
        <row r="3200">
          <cell r="E3200" t="str">
            <v>Tej Prakash Gurava</v>
          </cell>
        </row>
        <row r="3201">
          <cell r="E3201" t="str">
            <v>Mantu Devi Bal</v>
          </cell>
        </row>
        <row r="3202">
          <cell r="E3202" t="str">
            <v>Mahendr Kumar Meharda</v>
          </cell>
        </row>
        <row r="3203">
          <cell r="E3203" t="str">
            <v>Sonkashi Devi Meharda</v>
          </cell>
        </row>
        <row r="3204">
          <cell r="E3204" t="str">
            <v>Bihan Kumar Meharda</v>
          </cell>
        </row>
        <row r="3205">
          <cell r="E3205" t="str">
            <v>Rampul Budgaya</v>
          </cell>
        </row>
        <row r="3206">
          <cell r="E3206" t="str">
            <v>Lakki Budgaya</v>
          </cell>
        </row>
        <row r="3207">
          <cell r="E3207" t="str">
            <v>Kailash Kumar Duvariya</v>
          </cell>
        </row>
        <row r="3208">
          <cell r="E3208" t="str">
            <v>Gungun Duvariya</v>
          </cell>
        </row>
        <row r="3209">
          <cell r="E3209" t="str">
            <v>Mohan Lal Bal</v>
          </cell>
        </row>
        <row r="3210">
          <cell r="E3210" t="str">
            <v>Dinesh Kumar Dokhoriya</v>
          </cell>
        </row>
        <row r="3211">
          <cell r="E3211" t="str">
            <v>Mamta Devi Dokhoriya</v>
          </cell>
        </row>
        <row r="3212">
          <cell r="E3212" t="str">
            <v>Kittu Kumari  Dokhoriya</v>
          </cell>
        </row>
        <row r="3213">
          <cell r="E3213" t="str">
            <v>Dinesh Kumar Dokhoriya</v>
          </cell>
        </row>
        <row r="3214">
          <cell r="E3214" t="str">
            <v>Suresh kumar gotwal</v>
          </cell>
        </row>
        <row r="3215">
          <cell r="E3215" t="str">
            <v>Fool Chand Gotwal</v>
          </cell>
        </row>
        <row r="3216">
          <cell r="E3216" t="str">
            <v>Sarvan ji malinda</v>
          </cell>
        </row>
        <row r="3217">
          <cell r="E3217" t="str">
            <v>Dipak malinda</v>
          </cell>
        </row>
        <row r="3218">
          <cell r="E3218" t="str">
            <v>Sangita Devi malinda</v>
          </cell>
        </row>
        <row r="3219">
          <cell r="E3219" t="str">
            <v>Joti  Kumari malinda</v>
          </cell>
        </row>
        <row r="3220">
          <cell r="E3220" t="str">
            <v>Jagadish Godeta</v>
          </cell>
        </row>
        <row r="3221">
          <cell r="E3221" t="str">
            <v>Rahul Godeta</v>
          </cell>
        </row>
        <row r="3222">
          <cell r="E3222" t="str">
            <v>Ajay Godeta</v>
          </cell>
        </row>
        <row r="3223">
          <cell r="E3223" t="str">
            <v>Rahul Godeta</v>
          </cell>
        </row>
        <row r="3224">
          <cell r="E3224" t="str">
            <v>Nirmala Devi Godeta</v>
          </cell>
        </row>
        <row r="3225">
          <cell r="E3225" t="str">
            <v>Yadram Khandelwal</v>
          </cell>
        </row>
        <row r="3226">
          <cell r="E3226" t="str">
            <v>Sarvan Khandelwal</v>
          </cell>
        </row>
        <row r="3227">
          <cell r="E3227" t="str">
            <v>Manni Devi Khandelwal</v>
          </cell>
        </row>
        <row r="3228">
          <cell r="E3228" t="str">
            <v>Aman Kumar Meharda</v>
          </cell>
        </row>
        <row r="3229">
          <cell r="E3229" t="str">
            <v>Anupriya Kumari Meharda</v>
          </cell>
        </row>
        <row r="3230">
          <cell r="E3230" t="str">
            <v>Ramesh Kumar Meharda</v>
          </cell>
        </row>
        <row r="3231">
          <cell r="E3231" t="str">
            <v>Abhisek Kumar Meharda</v>
          </cell>
        </row>
        <row r="3232">
          <cell r="E3232" t="str">
            <v>Anisha Kumari Meharda</v>
          </cell>
        </row>
        <row r="3233">
          <cell r="E3233" t="str">
            <v>Gyarsi Devi Meharda</v>
          </cell>
        </row>
        <row r="3234">
          <cell r="E3234" t="str">
            <v>Mamata devi Meharda</v>
          </cell>
        </row>
        <row r="3235">
          <cell r="E3235" t="str">
            <v>Ramesh Kumar Meharda</v>
          </cell>
        </row>
        <row r="3236">
          <cell r="E3236" t="str">
            <v>Aman Kumar Meharda</v>
          </cell>
        </row>
        <row r="3237">
          <cell r="E3237" t="str">
            <v>Anupriya Kumari Meharda</v>
          </cell>
        </row>
        <row r="3238">
          <cell r="E3238" t="str">
            <v>Kanhaiya Lal Gotwal</v>
          </cell>
        </row>
        <row r="3239">
          <cell r="E3239" t="str">
            <v>Bansi lal Gotwal</v>
          </cell>
        </row>
        <row r="3240">
          <cell r="E3240" t="str">
            <v>Nirmala Devi Gotwal</v>
          </cell>
        </row>
        <row r="3241">
          <cell r="E3241" t="str">
            <v>Komal Kumari Gotwal</v>
          </cell>
        </row>
        <row r="3242">
          <cell r="E3242" t="str">
            <v>Prem Chand Gotwal</v>
          </cell>
        </row>
        <row r="3243">
          <cell r="E3243" t="str">
            <v>Ram Prasad Gotwal</v>
          </cell>
        </row>
        <row r="3244">
          <cell r="E3244" t="str">
            <v>Puja Devi Gotwal</v>
          </cell>
        </row>
        <row r="3245">
          <cell r="E3245" t="str">
            <v>Raja Devi Gotwal</v>
          </cell>
        </row>
        <row r="3246">
          <cell r="E3246" t="str">
            <v>Mahir kumar Gotwal</v>
          </cell>
        </row>
        <row r="3247">
          <cell r="E3247" t="str">
            <v>Bina Kumari Lohiya</v>
          </cell>
        </row>
        <row r="3248">
          <cell r="E3248" t="str">
            <v>Rahul Lohiya</v>
          </cell>
        </row>
        <row r="3249">
          <cell r="E3249" t="str">
            <v>Chirnji Lal Sunya</v>
          </cell>
        </row>
        <row r="3250">
          <cell r="E3250" t="str">
            <v>Kamala Devi suniya</v>
          </cell>
        </row>
        <row r="3251">
          <cell r="E3251" t="str">
            <v>Mahendr Kumar Suniya</v>
          </cell>
        </row>
        <row r="3252">
          <cell r="E3252" t="str">
            <v>Ramji Lal Jhatival</v>
          </cell>
        </row>
        <row r="3253">
          <cell r="E3253" t="str">
            <v>Sunita Devi Jhatival</v>
          </cell>
        </row>
        <row r="3254">
          <cell r="E3254" t="str">
            <v>Vansika Kumari Jhatival</v>
          </cell>
        </row>
        <row r="3255">
          <cell r="E3255" t="str">
            <v>Om Prakash Padiyar</v>
          </cell>
        </row>
        <row r="3256">
          <cell r="E3256" t="str">
            <v>Bilu Devi Padiyar</v>
          </cell>
        </row>
        <row r="3257">
          <cell r="E3257" t="str">
            <v>Sohan Lal Bunkar</v>
          </cell>
        </row>
        <row r="3258">
          <cell r="E3258" t="str">
            <v>Mangi Devi Bunkar</v>
          </cell>
        </row>
        <row r="3259">
          <cell r="E3259" t="str">
            <v>Savan Kumar Bunkar</v>
          </cell>
        </row>
        <row r="3260">
          <cell r="E3260" t="str">
            <v>Mahesh Kumar Ghodeta</v>
          </cell>
        </row>
        <row r="3261">
          <cell r="E3261" t="str">
            <v>Sita Devi Ghodeta</v>
          </cell>
        </row>
        <row r="3262">
          <cell r="E3262"/>
        </row>
        <row r="3263">
          <cell r="E3263" t="str">
            <v>Rajesh Kumar Rojda</v>
          </cell>
        </row>
        <row r="3264">
          <cell r="E3264" t="str">
            <v>Priynka Kumari Rojda</v>
          </cell>
        </row>
        <row r="3265">
          <cell r="E3265" t="str">
            <v>Banvari Lal Ghodeta</v>
          </cell>
        </row>
        <row r="3266">
          <cell r="E3266" t="str">
            <v>Ramsvarup Ghodeta</v>
          </cell>
        </row>
        <row r="3267">
          <cell r="E3267" t="str">
            <v>Mangi Devi Ghodeta</v>
          </cell>
        </row>
        <row r="3268">
          <cell r="E3268" t="str">
            <v>Ravi Kumar Saravata</v>
          </cell>
        </row>
        <row r="3269">
          <cell r="E3269" t="str">
            <v>Sona Kumari Saravata</v>
          </cell>
        </row>
        <row r="3270">
          <cell r="E3270" t="str">
            <v>Natasa Kumari Saravata</v>
          </cell>
        </row>
        <row r="3271">
          <cell r="E3271" t="str">
            <v>Budiprakash Suniya</v>
          </cell>
        </row>
        <row r="3272">
          <cell r="E3272"/>
        </row>
        <row r="3273">
          <cell r="E3273"/>
        </row>
        <row r="3274">
          <cell r="E3274"/>
        </row>
        <row r="3275">
          <cell r="E3275"/>
        </row>
        <row r="3276">
          <cell r="E3276"/>
        </row>
        <row r="3277">
          <cell r="E3277" t="str">
            <v xml:space="preserve">Dinesh Kumar Gudgodiya </v>
          </cell>
        </row>
        <row r="3278">
          <cell r="E3278" t="str">
            <v xml:space="preserve">Taniska Kumari Gudgodiya </v>
          </cell>
        </row>
        <row r="3279">
          <cell r="E3279" t="str">
            <v>Krasna Devi Khandelwal</v>
          </cell>
        </row>
        <row r="3280">
          <cell r="E3280" t="str">
            <v>Nathi Devi Khandelwal</v>
          </cell>
        </row>
        <row r="3281">
          <cell r="E3281" t="str">
            <v>Ramdas Khandelwal</v>
          </cell>
        </row>
        <row r="3282">
          <cell r="E3282" t="str">
            <v>Gora Devi Khandelwal</v>
          </cell>
        </row>
        <row r="3283">
          <cell r="E3283" t="str">
            <v>Kajod Khandelwal</v>
          </cell>
        </row>
        <row r="3284">
          <cell r="E3284" t="str">
            <v>Yasvu Khandelwal</v>
          </cell>
        </row>
        <row r="3285">
          <cell r="E3285" t="str">
            <v>Gora Devi Khandelwal</v>
          </cell>
        </row>
        <row r="3286">
          <cell r="E3286" t="str">
            <v>Manju Devi Bunkar</v>
          </cell>
        </row>
        <row r="3287">
          <cell r="E3287" t="str">
            <v>Manvi Kumari Bunkar</v>
          </cell>
        </row>
        <row r="3288">
          <cell r="E3288" t="str">
            <v>Jaanvi Kumari Bunkar</v>
          </cell>
        </row>
        <row r="3289">
          <cell r="E3289" t="str">
            <v>Sitaram Aaladiya</v>
          </cell>
        </row>
        <row r="3290">
          <cell r="E3290" t="str">
            <v>Sona Kumari Aaladiya</v>
          </cell>
        </row>
        <row r="3291">
          <cell r="E3291" t="str">
            <v>Maina Kumari Aaladiya</v>
          </cell>
        </row>
        <row r="3292">
          <cell r="E3292" t="str">
            <v>Rvi Kumar Aaladiya</v>
          </cell>
        </row>
        <row r="3293">
          <cell r="E3293" t="str">
            <v>Santosh Kumar Aaladiya</v>
          </cell>
        </row>
        <row r="3294">
          <cell r="E3294" t="str">
            <v>Kalyan mal alohiya</v>
          </cell>
        </row>
        <row r="3295">
          <cell r="E3295" t="str">
            <v>Vikash alohiya</v>
          </cell>
        </row>
        <row r="3296">
          <cell r="E3296" t="str">
            <v>Lali Devi alohiya</v>
          </cell>
        </row>
        <row r="3297">
          <cell r="E3297" t="str">
            <v>Ladu Ram Bhati</v>
          </cell>
        </row>
        <row r="3298">
          <cell r="E3298" t="str">
            <v>Brajesh Kumar Bhati</v>
          </cell>
        </row>
        <row r="3299">
          <cell r="E3299" t="str">
            <v>Kiran Kumari Bhati</v>
          </cell>
        </row>
        <row r="3300">
          <cell r="E3300" t="str">
            <v>Puja Kumari Bal</v>
          </cell>
        </row>
        <row r="3301">
          <cell r="E3301" t="str">
            <v>Ramkaran Bal</v>
          </cell>
        </row>
        <row r="3302">
          <cell r="E3302" t="str">
            <v>Aarti Kumari Bal</v>
          </cell>
        </row>
        <row r="3303">
          <cell r="E3303" t="str">
            <v>Birdichad Bal</v>
          </cell>
        </row>
        <row r="3304">
          <cell r="E3304" t="str">
            <v>Mohan Kumar Bal</v>
          </cell>
        </row>
        <row r="3305">
          <cell r="E3305" t="str">
            <v>Babu Lal Samariya</v>
          </cell>
        </row>
        <row r="3306">
          <cell r="E3306" t="str">
            <v>Prakash Samariya</v>
          </cell>
        </row>
        <row r="3307">
          <cell r="E3307" t="str">
            <v>Ramsavrup Meharada</v>
          </cell>
        </row>
        <row r="3308">
          <cell r="E3308" t="str">
            <v>mamta Devi Meharda</v>
          </cell>
        </row>
        <row r="3309">
          <cell r="E3309" t="str">
            <v>Ramkisor</v>
          </cell>
        </row>
        <row r="3310">
          <cell r="E3310" t="str">
            <v>Basu Kumari</v>
          </cell>
        </row>
        <row r="3311">
          <cell r="E3311" t="str">
            <v>Hemraj Kandela</v>
          </cell>
        </row>
        <row r="3312">
          <cell r="E3312" t="str">
            <v>Rajesh Kumar Godeta</v>
          </cell>
        </row>
        <row r="3313">
          <cell r="E3313" t="str">
            <v>Manna Devi Kala</v>
          </cell>
        </row>
        <row r="3314">
          <cell r="E3314" t="str">
            <v>Nathu Lal Khardiya</v>
          </cell>
        </row>
        <row r="3315">
          <cell r="E3315" t="str">
            <v>Sima Devi Khardiya</v>
          </cell>
        </row>
        <row r="3316">
          <cell r="E3316" t="str">
            <v>Chetan Khardiya</v>
          </cell>
        </row>
        <row r="3317">
          <cell r="E3317" t="str">
            <v>Jagadish Kumar Khardiya</v>
          </cell>
        </row>
        <row r="3318">
          <cell r="E3318" t="str">
            <v>Sajana Devi Khardiya</v>
          </cell>
        </row>
        <row r="3319">
          <cell r="E3319" t="str">
            <v>Nikita Khardiya</v>
          </cell>
        </row>
        <row r="3320">
          <cell r="E3320" t="str">
            <v>Kana Ram Sachoriya</v>
          </cell>
        </row>
        <row r="3321">
          <cell r="E3321" t="str">
            <v>Gulab Devi Sachoriya</v>
          </cell>
        </row>
        <row r="3322">
          <cell r="E3322" t="str">
            <v>Aman Kumar Badela</v>
          </cell>
        </row>
        <row r="3323">
          <cell r="E3323" t="str">
            <v>Aakash Kumar Badela</v>
          </cell>
        </row>
        <row r="3324">
          <cell r="E3324" t="str">
            <v>Sima Kumari Badela</v>
          </cell>
        </row>
        <row r="3325">
          <cell r="E3325" t="str">
            <v>Pappu Kumar Badela</v>
          </cell>
        </row>
        <row r="3326">
          <cell r="E3326" t="str">
            <v>Sunita Devi Depan</v>
          </cell>
        </row>
        <row r="3327">
          <cell r="E3327" t="str">
            <v>Prem ChndDepan</v>
          </cell>
        </row>
        <row r="3328">
          <cell r="E3328" t="str">
            <v>Palak Budgaya</v>
          </cell>
        </row>
        <row r="3329">
          <cell r="E3329" t="str">
            <v>Darm Pal Bunkar</v>
          </cell>
        </row>
        <row r="3330">
          <cell r="E3330" t="str">
            <v>Riya Kumari Bunkar</v>
          </cell>
        </row>
        <row r="3331">
          <cell r="E3331" t="str">
            <v>Ram Sahay Balai</v>
          </cell>
        </row>
        <row r="3332">
          <cell r="E3332" t="str">
            <v>Sonu Bunkar</v>
          </cell>
        </row>
        <row r="3333">
          <cell r="E3333" t="str">
            <v>Babu Lal Pachriya</v>
          </cell>
        </row>
        <row r="3334">
          <cell r="E3334" t="str">
            <v>Susila Pachriya</v>
          </cell>
        </row>
        <row r="3335">
          <cell r="E3335" t="str">
            <v>Hiya Pachriya</v>
          </cell>
        </row>
        <row r="3336">
          <cell r="E3336" t="str">
            <v>Lihan Pachriya</v>
          </cell>
        </row>
        <row r="3337">
          <cell r="E3337" t="str">
            <v>Mahendr Kumar Maharda</v>
          </cell>
        </row>
        <row r="3338">
          <cell r="E3338" t="str">
            <v>Piyanka DeviMaharda</v>
          </cell>
        </row>
        <row r="3339">
          <cell r="E3339" t="str">
            <v>Vabhav Kumar Maharda</v>
          </cell>
        </row>
        <row r="3340">
          <cell r="E3340" t="str">
            <v>Punam Rojada</v>
          </cell>
        </row>
        <row r="3341">
          <cell r="E3341" t="str">
            <v>Bhagavan Sahay Bal</v>
          </cell>
        </row>
        <row r="3342">
          <cell r="E3342" t="str">
            <v>Rajendra Kumar Bal</v>
          </cell>
        </row>
        <row r="3343">
          <cell r="E3343" t="str">
            <v>Bagavan Sahay Dokhoriya</v>
          </cell>
        </row>
        <row r="3344">
          <cell r="E3344" t="str">
            <v>Babu Lal Bunkar</v>
          </cell>
        </row>
        <row r="3345">
          <cell r="E3345" t="str">
            <v>Chigan Lal Mahich</v>
          </cell>
        </row>
        <row r="3346">
          <cell r="E3346" t="str">
            <v>Babu Lal Bal</v>
          </cell>
        </row>
        <row r="3347">
          <cell r="E3347" t="str">
            <v>Bhagavan Sahay Suniya</v>
          </cell>
        </row>
        <row r="3348">
          <cell r="E3348" t="str">
            <v>Banvari Lal Bunkar</v>
          </cell>
        </row>
        <row r="3349">
          <cell r="E3349" t="str">
            <v>Laxmi Devi Bunkar</v>
          </cell>
        </row>
        <row r="3350">
          <cell r="E3350" t="str">
            <v>Varun Kumar Bunkar</v>
          </cell>
        </row>
        <row r="3351">
          <cell r="E3351" t="str">
            <v>Sankar Lal Mannotya</v>
          </cell>
        </row>
        <row r="3352">
          <cell r="E3352" t="str">
            <v>Jitendr Kumar Tandada</v>
          </cell>
        </row>
        <row r="3353">
          <cell r="E3353" t="str">
            <v>Ramesh Kumar Meharda</v>
          </cell>
        </row>
        <row r="3354">
          <cell r="E3354" t="str">
            <v>Abhisek Kumar Meharda</v>
          </cell>
        </row>
        <row r="3355">
          <cell r="E3355" t="str">
            <v>Himansu Mahich</v>
          </cell>
        </row>
        <row r="3356">
          <cell r="E3356" t="str">
            <v>Krisnaa Mahich</v>
          </cell>
        </row>
        <row r="3357">
          <cell r="E3357" t="str">
            <v>Ganpat Lal Meharda</v>
          </cell>
        </row>
        <row r="3358">
          <cell r="E3358" t="str">
            <v>Balram Meharda</v>
          </cell>
        </row>
        <row r="3359">
          <cell r="E3359" t="str">
            <v>Monika Devi Meharda</v>
          </cell>
        </row>
        <row r="3360">
          <cell r="E3360" t="str">
            <v>KrisnaMahich</v>
          </cell>
        </row>
        <row r="3361">
          <cell r="E3361" t="str">
            <v>Radesyam Bhamniya</v>
          </cell>
        </row>
        <row r="3362">
          <cell r="E3362" t="str">
            <v>Sagar Bhamniya</v>
          </cell>
        </row>
        <row r="3363">
          <cell r="E3363" t="str">
            <v>Savitri Bhamniya</v>
          </cell>
        </row>
        <row r="3364">
          <cell r="E3364" t="str">
            <v>Jannt Bhamniya</v>
          </cell>
        </row>
        <row r="3365">
          <cell r="E3365" t="str">
            <v>Suraj Bhamniya</v>
          </cell>
        </row>
        <row r="3366">
          <cell r="E3366"/>
        </row>
        <row r="3367">
          <cell r="E3367"/>
        </row>
        <row r="3368">
          <cell r="E3368"/>
        </row>
        <row r="3369">
          <cell r="E3369"/>
        </row>
        <row r="3370">
          <cell r="E3370" t="str">
            <v>Kailash Kumar balai</v>
          </cell>
        </row>
        <row r="3371">
          <cell r="E3371" t="str">
            <v>Lali Devi balai</v>
          </cell>
        </row>
        <row r="3372">
          <cell r="E3372" t="str">
            <v>Hitesh balai</v>
          </cell>
        </row>
        <row r="3373">
          <cell r="E3373" t="str">
            <v>Vivek Kumar balai</v>
          </cell>
        </row>
        <row r="3374">
          <cell r="E3374"/>
        </row>
        <row r="3375">
          <cell r="E3375"/>
        </row>
        <row r="3376">
          <cell r="E3376"/>
        </row>
        <row r="3377">
          <cell r="E3377"/>
        </row>
        <row r="3378">
          <cell r="E3378"/>
        </row>
        <row r="3379">
          <cell r="E3379"/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autoPageBreaks="0"/>
  </sheetPr>
  <dimension ref="A1:O1383"/>
  <sheetViews>
    <sheetView showGridLines="0" showZeros="0" tabSelected="1" showOutlineSymbol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7" sqref="K7"/>
    </sheetView>
  </sheetViews>
  <sheetFormatPr defaultColWidth="0" defaultRowHeight="14.4" x14ac:dyDescent="0.3"/>
  <cols>
    <col min="1" max="1" width="9.21875" customWidth="1"/>
    <col min="2" max="2" width="19.77734375" customWidth="1"/>
    <col min="3" max="3" width="9.21875" customWidth="1"/>
    <col min="4" max="4" width="0.44140625" customWidth="1"/>
    <col min="5" max="13" width="9.21875" customWidth="1"/>
    <col min="14" max="14" width="11" customWidth="1"/>
    <col min="15" max="15" width="1" customWidth="1"/>
    <col min="16" max="16384" width="9.21875" hidden="1"/>
  </cols>
  <sheetData>
    <row r="1" spans="1:15" ht="13.5" customHeight="1" x14ac:dyDescent="0.3">
      <c r="A1" s="74" t="str">
        <f>'[1]Khandelwal Driver'!$C$5&amp;"       "&amp;'[1]Khandelwal Driver'!$C$6</f>
        <v>Balai Svyam Seva Sasthan       Surpura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  <c r="N1" s="77"/>
      <c r="O1" s="2"/>
    </row>
    <row r="2" spans="1:15" ht="12.75" customHeight="1" x14ac:dyDescent="0.3">
      <c r="A2" s="65">
        <f>[2]S1!A2</f>
        <v>44817</v>
      </c>
      <c r="B2" s="66"/>
      <c r="C2" s="67"/>
      <c r="D2" s="68" t="s">
        <v>0</v>
      </c>
      <c r="E2" s="69"/>
      <c r="F2" s="69"/>
      <c r="G2" s="69"/>
      <c r="H2" s="69"/>
      <c r="I2" s="70"/>
      <c r="J2" s="71" t="s">
        <v>18</v>
      </c>
      <c r="K2" s="71"/>
      <c r="L2" s="71"/>
      <c r="M2" s="72"/>
      <c r="N2" s="73"/>
      <c r="O2" s="2"/>
    </row>
    <row r="3" spans="1:15" ht="11.25" customHeight="1" x14ac:dyDescent="0.3">
      <c r="A3" s="6" t="s">
        <v>6</v>
      </c>
      <c r="B3" s="3" t="s">
        <v>7</v>
      </c>
      <c r="C3" s="5" t="s">
        <v>16</v>
      </c>
      <c r="D3" s="5" t="s">
        <v>17</v>
      </c>
      <c r="E3" s="24" t="s">
        <v>8</v>
      </c>
      <c r="F3" s="24" t="s">
        <v>9</v>
      </c>
      <c r="G3" s="20" t="s">
        <v>10</v>
      </c>
      <c r="H3" s="20" t="s">
        <v>11</v>
      </c>
      <c r="I3" s="20" t="s">
        <v>12</v>
      </c>
      <c r="J3" s="4" t="s">
        <v>13</v>
      </c>
      <c r="K3" s="17" t="s">
        <v>14</v>
      </c>
      <c r="L3" s="4" t="s">
        <v>15</v>
      </c>
      <c r="M3" s="4" t="s">
        <v>21</v>
      </c>
      <c r="N3" s="47" t="s">
        <v>20</v>
      </c>
    </row>
    <row r="4" spans="1:15" ht="2.25" customHeight="1" x14ac:dyDescent="0.3">
      <c r="A4" s="8">
        <v>0</v>
      </c>
      <c r="B4" s="9"/>
      <c r="C4" s="10"/>
      <c r="D4" s="10"/>
      <c r="E4" s="25"/>
      <c r="F4" s="25"/>
      <c r="G4" s="21"/>
      <c r="H4" s="21"/>
      <c r="I4" s="21"/>
      <c r="J4" s="10"/>
      <c r="K4" s="18"/>
      <c r="L4" s="51"/>
      <c r="M4" s="54"/>
      <c r="N4" s="48"/>
      <c r="O4" s="1"/>
    </row>
    <row r="5" spans="1:15" s="15" customFormat="1" x14ac:dyDescent="0.3">
      <c r="A5" s="11">
        <v>3052</v>
      </c>
      <c r="B5" s="12" t="str">
        <f>[3]Name!E2056</f>
        <v>Ramesvar Prasad Sachoriya</v>
      </c>
      <c r="C5" s="13">
        <f>[2]S1!C6</f>
        <v>1500</v>
      </c>
      <c r="D5" s="13">
        <f>[2]S1!D6</f>
        <v>0</v>
      </c>
      <c r="E5" s="26">
        <f>[2]S1!E6</f>
        <v>0</v>
      </c>
      <c r="F5" s="26">
        <f>[2]S1!F6</f>
        <v>0</v>
      </c>
      <c r="G5" s="22">
        <f>[2]S1!G6</f>
        <v>0</v>
      </c>
      <c r="H5" s="22">
        <f>[2]S1!H6</f>
        <v>0</v>
      </c>
      <c r="I5" s="22">
        <f>[2]S1!I6</f>
        <v>80</v>
      </c>
      <c r="J5" s="13">
        <f>[2]S1!J6</f>
        <v>0</v>
      </c>
      <c r="K5" s="19">
        <f>[2]S1!K6</f>
        <v>80</v>
      </c>
      <c r="L5" s="52">
        <f>[2]S1!L6</f>
        <v>7996</v>
      </c>
      <c r="M5" s="58">
        <f>[2]S1!M6</f>
        <v>10</v>
      </c>
      <c r="N5" s="49">
        <f>[2]S1!P6</f>
        <v>9928577989</v>
      </c>
      <c r="O5" s="14"/>
    </row>
    <row r="6" spans="1:15" x14ac:dyDescent="0.3">
      <c r="A6" s="11">
        <v>3053</v>
      </c>
      <c r="B6" s="12" t="str">
        <f>[3]Name!E2057</f>
        <v>Santosh Devi Sachoriya</v>
      </c>
      <c r="C6" s="13">
        <f>[2]S1!C7</f>
        <v>2000</v>
      </c>
      <c r="D6" s="13">
        <f>[2]S1!D7</f>
        <v>0</v>
      </c>
      <c r="E6" s="26">
        <f>[2]S1!E7</f>
        <v>0</v>
      </c>
      <c r="F6" s="26">
        <f>[2]S1!F7</f>
        <v>0</v>
      </c>
      <c r="G6" s="22">
        <f>[2]S1!G7</f>
        <v>2000</v>
      </c>
      <c r="H6" s="22">
        <f>[2]S1!H7</f>
        <v>0</v>
      </c>
      <c r="I6" s="22">
        <f>[2]S1!I7</f>
        <v>220</v>
      </c>
      <c r="J6" s="13">
        <f>[2]S1!J7</f>
        <v>0</v>
      </c>
      <c r="K6" s="19">
        <f>[2]S1!K7</f>
        <v>2220</v>
      </c>
      <c r="L6" s="52">
        <f>[2]S1!L7</f>
        <v>22000</v>
      </c>
      <c r="M6" s="58">
        <f>[2]S1!M7</f>
        <v>10</v>
      </c>
      <c r="N6" s="49">
        <f>[2]S1!P7</f>
        <v>9928577989</v>
      </c>
      <c r="O6" s="14"/>
    </row>
    <row r="7" spans="1:15" x14ac:dyDescent="0.3">
      <c r="A7" s="11">
        <v>3054</v>
      </c>
      <c r="B7" s="12" t="str">
        <f>[3]Name!E2058</f>
        <v>Bansi Lal</v>
      </c>
      <c r="C7" s="13">
        <f>[2]S1!C8</f>
        <v>0</v>
      </c>
      <c r="D7" s="13">
        <f>[2]S1!D8</f>
        <v>0</v>
      </c>
      <c r="E7" s="26">
        <f>[2]S1!E8</f>
        <v>200</v>
      </c>
      <c r="F7" s="26">
        <f>[2]S1!F8</f>
        <v>0</v>
      </c>
      <c r="G7" s="22">
        <f>[2]S1!G8</f>
        <v>0</v>
      </c>
      <c r="H7" s="22">
        <f>[2]S1!H8</f>
        <v>0</v>
      </c>
      <c r="I7" s="22">
        <f>[2]S1!I8</f>
        <v>150</v>
      </c>
      <c r="J7" s="13">
        <f>[2]S1!J8</f>
        <v>0</v>
      </c>
      <c r="K7" s="19">
        <f>[2]S1!K8</f>
        <v>350</v>
      </c>
      <c r="L7" s="52">
        <f>[2]S1!L8</f>
        <v>15000</v>
      </c>
      <c r="M7" s="58">
        <f>[2]S1!M8</f>
        <v>1</v>
      </c>
      <c r="N7" s="49">
        <f>[2]S1!P8</f>
        <v>9680409946</v>
      </c>
      <c r="O7" s="14"/>
    </row>
    <row r="8" spans="1:15" s="16" customFormat="1" x14ac:dyDescent="0.3">
      <c r="A8" s="11">
        <v>3055</v>
      </c>
      <c r="B8" s="12" t="str">
        <f>[3]Name!E2059</f>
        <v xml:space="preserve">Manphuli Devi </v>
      </c>
      <c r="C8" s="13">
        <f>[2]S1!C9</f>
        <v>18900</v>
      </c>
      <c r="D8" s="13">
        <f>[2]S1!D9</f>
        <v>0</v>
      </c>
      <c r="E8" s="26">
        <f>[2]S1!E9</f>
        <v>200</v>
      </c>
      <c r="F8" s="26">
        <f>[2]S1!F9</f>
        <v>0</v>
      </c>
      <c r="G8" s="22">
        <f>[2]S1!G9</f>
        <v>2091</v>
      </c>
      <c r="H8" s="22">
        <f>[2]S1!H9</f>
        <v>0</v>
      </c>
      <c r="I8" s="22">
        <f>[2]S1!I9</f>
        <v>200</v>
      </c>
      <c r="J8" s="13">
        <f>[2]S1!J9</f>
        <v>0</v>
      </c>
      <c r="K8" s="19">
        <f>[2]S1!K9</f>
        <v>2491</v>
      </c>
      <c r="L8" s="52">
        <f>[2]S1!L9</f>
        <v>20991</v>
      </c>
      <c r="M8" s="58">
        <f>[2]S1!M9</f>
        <v>5</v>
      </c>
      <c r="N8" s="49">
        <f>[2]S1!P9</f>
        <v>9680409946</v>
      </c>
      <c r="O8" s="14"/>
    </row>
    <row r="9" spans="1:15" x14ac:dyDescent="0.3">
      <c r="A9" s="11">
        <v>3056</v>
      </c>
      <c r="B9" s="12" t="str">
        <f>[3]Name!E2060</f>
        <v>Dindayal Balai</v>
      </c>
      <c r="C9" s="13">
        <f>[2]S1!C10</f>
        <v>0</v>
      </c>
      <c r="D9" s="13">
        <f>[2]S1!D10</f>
        <v>0</v>
      </c>
      <c r="E9" s="26">
        <f>[2]S1!E10</f>
        <v>200</v>
      </c>
      <c r="F9" s="26">
        <f>[2]S1!F10</f>
        <v>0</v>
      </c>
      <c r="G9" s="22">
        <f>[2]S1!G10</f>
        <v>0</v>
      </c>
      <c r="H9" s="22">
        <f>[2]S1!H10</f>
        <v>0</v>
      </c>
      <c r="I9" s="22">
        <f>[2]S1!I10</f>
        <v>191</v>
      </c>
      <c r="J9" s="13">
        <f>[2]S1!J10</f>
        <v>0</v>
      </c>
      <c r="K9" s="19">
        <f>[2]S1!K10</f>
        <v>391</v>
      </c>
      <c r="L9" s="52">
        <f>[2]S1!L10</f>
        <v>19071</v>
      </c>
      <c r="M9" s="58">
        <f>[2]S1!M10</f>
        <v>2</v>
      </c>
      <c r="N9" s="49">
        <f>[2]S1!P10</f>
        <v>7742016348</v>
      </c>
      <c r="O9" s="14"/>
    </row>
    <row r="10" spans="1:15" x14ac:dyDescent="0.3">
      <c r="A10" s="11">
        <v>3057</v>
      </c>
      <c r="B10" s="12" t="str">
        <f>[3]Name!E2061</f>
        <v>Mohit Balai</v>
      </c>
      <c r="C10" s="13">
        <f>[2]S1!C11</f>
        <v>0</v>
      </c>
      <c r="D10" s="13">
        <f>[2]S1!D11</f>
        <v>0</v>
      </c>
      <c r="E10" s="26">
        <f>[2]S1!E11</f>
        <v>200</v>
      </c>
      <c r="F10" s="26">
        <f>[2]S1!F11</f>
        <v>0</v>
      </c>
      <c r="G10" s="22">
        <f>[2]S1!G11</f>
        <v>0</v>
      </c>
      <c r="H10" s="22">
        <f>[2]S1!H11</f>
        <v>0</v>
      </c>
      <c r="I10" s="22">
        <f>[2]S1!I11</f>
        <v>200</v>
      </c>
      <c r="J10" s="13">
        <f>[2]S1!J11</f>
        <v>0</v>
      </c>
      <c r="K10" s="19">
        <f>[2]S1!K11</f>
        <v>400</v>
      </c>
      <c r="L10" s="52">
        <f>[2]S1!L11</f>
        <v>20000</v>
      </c>
      <c r="M10" s="58">
        <f>[2]S1!M11</f>
        <v>2</v>
      </c>
      <c r="N10" s="49">
        <f>[2]S1!P11</f>
        <v>7742016348</v>
      </c>
      <c r="O10" s="14"/>
    </row>
    <row r="11" spans="1:15" x14ac:dyDescent="0.3">
      <c r="A11" s="11">
        <v>3058</v>
      </c>
      <c r="B11" s="12" t="str">
        <f>[3]Name!E2062</f>
        <v>Divyansi Kimari Depan</v>
      </c>
      <c r="C11" s="13">
        <f>[2]S1!C12</f>
        <v>1500</v>
      </c>
      <c r="D11" s="13">
        <f>[2]S1!D12</f>
        <v>0</v>
      </c>
      <c r="E11" s="26">
        <f>[2]S1!E12</f>
        <v>0</v>
      </c>
      <c r="F11" s="26">
        <f>[2]S1!F12</f>
        <v>0</v>
      </c>
      <c r="G11" s="22">
        <f>[2]S1!G12</f>
        <v>1500</v>
      </c>
      <c r="H11" s="22">
        <f>[2]S1!H12</f>
        <v>0</v>
      </c>
      <c r="I11" s="22">
        <f>[2]S1!I12</f>
        <v>240</v>
      </c>
      <c r="J11" s="13">
        <f>[2]S1!J12</f>
        <v>0</v>
      </c>
      <c r="K11" s="19">
        <f>[2]S1!K12</f>
        <v>1740</v>
      </c>
      <c r="L11" s="52">
        <f>[2]S1!L12</f>
        <v>24000</v>
      </c>
      <c r="M11" s="58">
        <f>[2]S1!M12</f>
        <v>5</v>
      </c>
      <c r="N11" s="49">
        <f>[2]S1!P12</f>
        <v>9929832722</v>
      </c>
      <c r="O11" s="14"/>
    </row>
    <row r="12" spans="1:15" x14ac:dyDescent="0.3">
      <c r="A12" s="11">
        <v>3059</v>
      </c>
      <c r="B12" s="12" t="str">
        <f>[3]Name!E2063</f>
        <v>Aaman Kumar Depan</v>
      </c>
      <c r="C12" s="13">
        <f>[2]S1!C13</f>
        <v>0</v>
      </c>
      <c r="D12" s="13">
        <f>[2]S1!D13</f>
        <v>0</v>
      </c>
      <c r="E12" s="26">
        <f>[2]S1!E13</f>
        <v>200</v>
      </c>
      <c r="F12" s="26">
        <f>[2]S1!F13</f>
        <v>0</v>
      </c>
      <c r="G12" s="22">
        <f>[2]S1!G13</f>
        <v>0</v>
      </c>
      <c r="H12" s="22">
        <f>[2]S1!H13</f>
        <v>0</v>
      </c>
      <c r="I12" s="22">
        <f>[2]S1!I13</f>
        <v>178</v>
      </c>
      <c r="J12" s="13">
        <f>[2]S1!J13</f>
        <v>0</v>
      </c>
      <c r="K12" s="19">
        <f>[2]S1!K13</f>
        <v>378</v>
      </c>
      <c r="L12" s="52">
        <f>[2]S1!L13</f>
        <v>17827</v>
      </c>
      <c r="M12" s="58">
        <f>[2]S1!M13</f>
        <v>2</v>
      </c>
      <c r="N12" s="49">
        <f>[2]S1!P13</f>
        <v>9929832722</v>
      </c>
      <c r="O12" s="14"/>
    </row>
    <row r="13" spans="1:15" x14ac:dyDescent="0.3">
      <c r="A13" s="11">
        <v>3060</v>
      </c>
      <c r="B13" s="12" t="str">
        <f>[3]Name!E2064</f>
        <v>Sunita Devi Depan</v>
      </c>
      <c r="C13" s="13">
        <f>[2]S1!C14</f>
        <v>1500</v>
      </c>
      <c r="D13" s="13">
        <f>[2]S1!D14</f>
        <v>0</v>
      </c>
      <c r="E13" s="26">
        <f>[2]S1!E14</f>
        <v>0</v>
      </c>
      <c r="F13" s="26">
        <f>[2]S1!F14</f>
        <v>0</v>
      </c>
      <c r="G13" s="22">
        <f>[2]S1!G14</f>
        <v>1500</v>
      </c>
      <c r="H13" s="22">
        <f>[2]S1!H14</f>
        <v>0</v>
      </c>
      <c r="I13" s="22">
        <f>[2]S1!I14</f>
        <v>240</v>
      </c>
      <c r="J13" s="13">
        <f>[2]S1!J14</f>
        <v>0</v>
      </c>
      <c r="K13" s="19">
        <f>[2]S1!K14</f>
        <v>1740</v>
      </c>
      <c r="L13" s="52">
        <f>[2]S1!L14</f>
        <v>24000</v>
      </c>
      <c r="M13" s="58">
        <f>[2]S1!M14</f>
        <v>5</v>
      </c>
      <c r="N13" s="49">
        <f>[2]S1!P14</f>
        <v>9929832722</v>
      </c>
      <c r="O13" s="14"/>
    </row>
    <row r="14" spans="1:15" x14ac:dyDescent="0.3">
      <c r="A14" s="11">
        <v>3061</v>
      </c>
      <c r="B14" s="12" t="str">
        <f>[3]Name!E2065</f>
        <v>Hari Om Balai</v>
      </c>
      <c r="C14" s="13">
        <f>[2]S1!C15</f>
        <v>1200</v>
      </c>
      <c r="D14" s="13">
        <f>[2]S1!D15</f>
        <v>0</v>
      </c>
      <c r="E14" s="26">
        <f>[2]S1!E15</f>
        <v>200</v>
      </c>
      <c r="F14" s="26">
        <f>[2]S1!F15</f>
        <v>0</v>
      </c>
      <c r="G14" s="22">
        <f>[2]S1!G15</f>
        <v>0</v>
      </c>
      <c r="H14" s="22">
        <f>[2]S1!H15</f>
        <v>0</v>
      </c>
      <c r="I14" s="22">
        <f>[2]S1!I15</f>
        <v>120</v>
      </c>
      <c r="J14" s="13">
        <f>[2]S1!J15</f>
        <v>0</v>
      </c>
      <c r="K14" s="19">
        <f>[2]S1!K15</f>
        <v>320</v>
      </c>
      <c r="L14" s="52">
        <f>[2]S1!L15</f>
        <v>12000</v>
      </c>
      <c r="M14" s="58">
        <f>[2]S1!M15</f>
        <v>4</v>
      </c>
      <c r="N14" s="49">
        <f>[2]S1!P15</f>
        <v>8000857197</v>
      </c>
      <c r="O14" s="14"/>
    </row>
    <row r="15" spans="1:15" x14ac:dyDescent="0.3">
      <c r="A15" s="11">
        <v>3062</v>
      </c>
      <c r="B15" s="12" t="str">
        <f>[3]Name!E2066</f>
        <v>Darm Pal Bunkar</v>
      </c>
      <c r="C15" s="13">
        <f>[2]S1!C16</f>
        <v>0</v>
      </c>
      <c r="D15" s="13">
        <f>[2]S1!D16</f>
        <v>0</v>
      </c>
      <c r="E15" s="26">
        <f>[2]S1!E16</f>
        <v>200</v>
      </c>
      <c r="F15" s="26">
        <f>[2]S1!F16</f>
        <v>0</v>
      </c>
      <c r="G15" s="22">
        <f>[2]S1!G16</f>
        <v>0</v>
      </c>
      <c r="H15" s="22">
        <f>[2]S1!H16</f>
        <v>0</v>
      </c>
      <c r="I15" s="22">
        <f>[2]S1!I16</f>
        <v>230</v>
      </c>
      <c r="J15" s="13">
        <f>[2]S1!J16</f>
        <v>0</v>
      </c>
      <c r="K15" s="19">
        <f>[2]S1!K16</f>
        <v>430</v>
      </c>
      <c r="L15" s="52">
        <f>[2]S1!L16</f>
        <v>23000</v>
      </c>
      <c r="M15" s="58">
        <f>[2]S1!M16</f>
        <v>1</v>
      </c>
      <c r="N15" s="49">
        <f>[2]S1!P16</f>
        <v>8000857197</v>
      </c>
      <c r="O15" s="14"/>
    </row>
    <row r="16" spans="1:15" x14ac:dyDescent="0.3">
      <c r="A16" s="11">
        <v>3063</v>
      </c>
      <c r="B16" s="12" t="str">
        <f>[3]Name!E2067</f>
        <v>Babu Lal Gotwal</v>
      </c>
      <c r="C16" s="13">
        <f>[2]S1!C17</f>
        <v>500</v>
      </c>
      <c r="D16" s="13">
        <f>[2]S1!D17</f>
        <v>0</v>
      </c>
      <c r="E16" s="26">
        <f>[2]S1!E17</f>
        <v>200</v>
      </c>
      <c r="F16" s="26">
        <f>[2]S1!F17</f>
        <v>0</v>
      </c>
      <c r="G16" s="22">
        <f>[2]S1!G17</f>
        <v>500</v>
      </c>
      <c r="H16" s="22">
        <f>[2]S1!H17</f>
        <v>0</v>
      </c>
      <c r="I16" s="22">
        <f>[2]S1!I17</f>
        <v>580</v>
      </c>
      <c r="J16" s="13">
        <f>[2]S1!J17</f>
        <v>0</v>
      </c>
      <c r="K16" s="19">
        <f>[2]S1!K17</f>
        <v>1280</v>
      </c>
      <c r="L16" s="52">
        <f>[2]S1!L17</f>
        <v>58000</v>
      </c>
      <c r="M16" s="58">
        <f>[2]S1!M17</f>
        <v>5</v>
      </c>
      <c r="N16" s="49">
        <f>[2]S1!P17</f>
        <v>9928466340</v>
      </c>
      <c r="O16" s="14"/>
    </row>
    <row r="17" spans="1:15" x14ac:dyDescent="0.3">
      <c r="A17" s="11">
        <v>3064</v>
      </c>
      <c r="B17" s="12" t="str">
        <f>[3]Name!E2068</f>
        <v>Jyoti Devi Gotwal</v>
      </c>
      <c r="C17" s="13">
        <f>[2]S1!C18</f>
        <v>500</v>
      </c>
      <c r="D17" s="13">
        <f>[2]S1!D18</f>
        <v>0</v>
      </c>
      <c r="E17" s="26">
        <f>[2]S1!E18</f>
        <v>200</v>
      </c>
      <c r="F17" s="26">
        <f>[2]S1!F18</f>
        <v>0</v>
      </c>
      <c r="G17" s="22">
        <f>[2]S1!G18</f>
        <v>500</v>
      </c>
      <c r="H17" s="22">
        <f>[2]S1!H18</f>
        <v>0</v>
      </c>
      <c r="I17" s="22">
        <f>[2]S1!I18</f>
        <v>580</v>
      </c>
      <c r="J17" s="13">
        <f>[2]S1!J18</f>
        <v>0</v>
      </c>
      <c r="K17" s="19">
        <f>[2]S1!K18</f>
        <v>1280</v>
      </c>
      <c r="L17" s="52">
        <f>[2]S1!L18</f>
        <v>58000</v>
      </c>
      <c r="M17" s="58">
        <f>[2]S1!M18</f>
        <v>5</v>
      </c>
      <c r="N17" s="49">
        <f>[2]S1!P18</f>
        <v>9928466340</v>
      </c>
      <c r="O17" s="14"/>
    </row>
    <row r="18" spans="1:15" x14ac:dyDescent="0.3">
      <c r="A18" s="11">
        <v>3065</v>
      </c>
      <c r="B18" s="12" t="str">
        <f>[3]Name!E2069</f>
        <v>Kiran Kumari Gotwal</v>
      </c>
      <c r="C18" s="13">
        <f>[2]S1!C19</f>
        <v>500</v>
      </c>
      <c r="D18" s="13">
        <f>[2]S1!D19</f>
        <v>0</v>
      </c>
      <c r="E18" s="26">
        <f>[2]S1!E19</f>
        <v>200</v>
      </c>
      <c r="F18" s="26">
        <f>[2]S1!F19</f>
        <v>0</v>
      </c>
      <c r="G18" s="22">
        <f>[2]S1!G19</f>
        <v>500</v>
      </c>
      <c r="H18" s="22">
        <f>[2]S1!H19</f>
        <v>0</v>
      </c>
      <c r="I18" s="22">
        <f>[2]S1!I19</f>
        <v>580</v>
      </c>
      <c r="J18" s="13">
        <f>[2]S1!J19</f>
        <v>0</v>
      </c>
      <c r="K18" s="19">
        <f>[2]S1!K19</f>
        <v>1280</v>
      </c>
      <c r="L18" s="52">
        <f>[2]S1!L19</f>
        <v>58000</v>
      </c>
      <c r="M18" s="58">
        <f>[2]S1!M19</f>
        <v>5</v>
      </c>
      <c r="N18" s="49">
        <f>[2]S1!P19</f>
        <v>9928466340</v>
      </c>
      <c r="O18" s="14"/>
    </row>
    <row r="19" spans="1:15" x14ac:dyDescent="0.3">
      <c r="A19" s="11">
        <v>3066</v>
      </c>
      <c r="B19" s="12" t="str">
        <f>[3]Name!E2070</f>
        <v>Himansu Kumar Gotwal</v>
      </c>
      <c r="C19" s="13">
        <f>[2]S1!C20</f>
        <v>500</v>
      </c>
      <c r="D19" s="13">
        <f>[2]S1!D20</f>
        <v>0</v>
      </c>
      <c r="E19" s="26">
        <f>[2]S1!E20</f>
        <v>200</v>
      </c>
      <c r="F19" s="26">
        <f>[2]S1!F20</f>
        <v>0</v>
      </c>
      <c r="G19" s="22">
        <f>[2]S1!G20</f>
        <v>500</v>
      </c>
      <c r="H19" s="22">
        <f>[2]S1!H20</f>
        <v>0</v>
      </c>
      <c r="I19" s="22">
        <f>[2]S1!I20</f>
        <v>580</v>
      </c>
      <c r="J19" s="13">
        <f>[2]S1!J20</f>
        <v>0</v>
      </c>
      <c r="K19" s="19">
        <f>[2]S1!K20</f>
        <v>1280</v>
      </c>
      <c r="L19" s="52">
        <f>[2]S1!L20</f>
        <v>58000</v>
      </c>
      <c r="M19" s="58">
        <f>[2]S1!M20</f>
        <v>5</v>
      </c>
      <c r="N19" s="49">
        <f>[2]S1!P20</f>
        <v>9928466340</v>
      </c>
      <c r="O19" s="14"/>
    </row>
    <row r="20" spans="1:15" x14ac:dyDescent="0.3">
      <c r="A20" s="11">
        <v>3067</v>
      </c>
      <c r="B20" s="12" t="str">
        <f>[3]Name!E2071</f>
        <v>Ram Prasad Gotwal</v>
      </c>
      <c r="C20" s="13">
        <f>[2]S1!C21</f>
        <v>500</v>
      </c>
      <c r="D20" s="13">
        <f>[2]S1!D21</f>
        <v>0</v>
      </c>
      <c r="E20" s="26">
        <f>[2]S1!E21</f>
        <v>200</v>
      </c>
      <c r="F20" s="26">
        <f>[2]S1!F21</f>
        <v>0</v>
      </c>
      <c r="G20" s="22">
        <f>[2]S1!G21</f>
        <v>500</v>
      </c>
      <c r="H20" s="22">
        <f>[2]S1!H21</f>
        <v>0</v>
      </c>
      <c r="I20" s="22">
        <f>[2]S1!I21</f>
        <v>580</v>
      </c>
      <c r="J20" s="13">
        <f>[2]S1!J21</f>
        <v>0</v>
      </c>
      <c r="K20" s="19">
        <f>[2]S1!K21</f>
        <v>1280</v>
      </c>
      <c r="L20" s="52">
        <f>[2]S1!L21</f>
        <v>58000</v>
      </c>
      <c r="M20" s="58">
        <f>[2]S1!M21</f>
        <v>5</v>
      </c>
      <c r="N20" s="49">
        <f>[2]S1!P21</f>
        <v>9928466340</v>
      </c>
      <c r="O20" s="14"/>
    </row>
    <row r="21" spans="1:15" x14ac:dyDescent="0.3">
      <c r="A21" s="11">
        <v>3068</v>
      </c>
      <c r="B21" s="12" t="str">
        <f>[3]Name!E2072</f>
        <v>Bansi lal Gotwal</v>
      </c>
      <c r="C21" s="13">
        <f>[2]S1!C22</f>
        <v>500</v>
      </c>
      <c r="D21" s="13">
        <f>[2]S1!D22</f>
        <v>0</v>
      </c>
      <c r="E21" s="26">
        <f>[2]S1!E22</f>
        <v>200</v>
      </c>
      <c r="F21" s="26">
        <f>[2]S1!F22</f>
        <v>0</v>
      </c>
      <c r="G21" s="22">
        <f>[2]S1!G22</f>
        <v>500</v>
      </c>
      <c r="H21" s="22">
        <f>[2]S1!H22</f>
        <v>0</v>
      </c>
      <c r="I21" s="22">
        <f>[2]S1!I22</f>
        <v>580</v>
      </c>
      <c r="J21" s="13">
        <f>[2]S1!J22</f>
        <v>0</v>
      </c>
      <c r="K21" s="19">
        <f>[2]S1!K22</f>
        <v>1280</v>
      </c>
      <c r="L21" s="52">
        <f>[2]S1!L22</f>
        <v>58000</v>
      </c>
      <c r="M21" s="58">
        <f>[2]S1!M22</f>
        <v>5</v>
      </c>
      <c r="N21" s="49">
        <f>[2]S1!P22</f>
        <v>9928466340</v>
      </c>
      <c r="O21" s="14"/>
    </row>
    <row r="22" spans="1:15" x14ac:dyDescent="0.3">
      <c r="A22" s="11">
        <v>3069</v>
      </c>
      <c r="B22" s="12" t="str">
        <f>[3]Name!E2073</f>
        <v>Niramala Devi Gotwal</v>
      </c>
      <c r="C22" s="13">
        <f>[2]S1!C23</f>
        <v>500</v>
      </c>
      <c r="D22" s="13">
        <f>[2]S1!D23</f>
        <v>0</v>
      </c>
      <c r="E22" s="26">
        <f>[2]S1!E23</f>
        <v>200</v>
      </c>
      <c r="F22" s="26">
        <f>[2]S1!F23</f>
        <v>0</v>
      </c>
      <c r="G22" s="22">
        <f>[2]S1!G23</f>
        <v>0</v>
      </c>
      <c r="H22" s="22">
        <f>[2]S1!H23</f>
        <v>0</v>
      </c>
      <c r="I22" s="22">
        <f>[2]S1!I23</f>
        <v>251</v>
      </c>
      <c r="J22" s="13">
        <f>[2]S1!J23</f>
        <v>0</v>
      </c>
      <c r="K22" s="19">
        <f>[2]S1!K23</f>
        <v>451</v>
      </c>
      <c r="L22" s="52">
        <f>[2]S1!L23</f>
        <v>25123</v>
      </c>
      <c r="M22" s="58">
        <f>[2]S1!M23</f>
        <v>29</v>
      </c>
      <c r="N22" s="49">
        <f>[2]S1!P23</f>
        <v>9928466340</v>
      </c>
      <c r="O22" s="14"/>
    </row>
    <row r="23" spans="1:15" x14ac:dyDescent="0.3">
      <c r="A23" s="11">
        <v>3070</v>
      </c>
      <c r="B23" s="12" t="str">
        <f>[3]Name!E2074</f>
        <v>Moti Lal Gotwal</v>
      </c>
      <c r="C23" s="13">
        <f>[2]S1!C24</f>
        <v>500</v>
      </c>
      <c r="D23" s="13">
        <f>[2]S1!D24</f>
        <v>0</v>
      </c>
      <c r="E23" s="26">
        <f>[2]S1!E24</f>
        <v>200</v>
      </c>
      <c r="F23" s="26">
        <f>[2]S1!F24</f>
        <v>0</v>
      </c>
      <c r="G23" s="22">
        <f>[2]S1!G24</f>
        <v>500</v>
      </c>
      <c r="H23" s="22">
        <f>[2]S1!H24</f>
        <v>0</v>
      </c>
      <c r="I23" s="22">
        <f>[2]S1!I24</f>
        <v>260</v>
      </c>
      <c r="J23" s="13">
        <f>[2]S1!J24</f>
        <v>0</v>
      </c>
      <c r="K23" s="19">
        <f>[2]S1!K24</f>
        <v>960</v>
      </c>
      <c r="L23" s="52">
        <f>[2]S1!L24</f>
        <v>26000</v>
      </c>
      <c r="M23" s="58">
        <f>[2]S1!M24</f>
        <v>29</v>
      </c>
      <c r="N23" s="49">
        <f>[2]S1!P24</f>
        <v>9928466340</v>
      </c>
      <c r="O23" s="14"/>
    </row>
    <row r="24" spans="1:15" x14ac:dyDescent="0.3">
      <c r="A24" s="11">
        <v>3071</v>
      </c>
      <c r="B24" s="12" t="str">
        <f>[3]Name!E2075</f>
        <v>Raja Devi Gotwal</v>
      </c>
      <c r="C24" s="13">
        <f>[2]S1!C25</f>
        <v>500</v>
      </c>
      <c r="D24" s="13">
        <f>[2]S1!D25</f>
        <v>0</v>
      </c>
      <c r="E24" s="26">
        <f>[2]S1!E25</f>
        <v>200</v>
      </c>
      <c r="F24" s="26">
        <f>[2]S1!F25</f>
        <v>0</v>
      </c>
      <c r="G24" s="22">
        <f>[2]S1!G25</f>
        <v>500</v>
      </c>
      <c r="H24" s="22">
        <f>[2]S1!H25</f>
        <v>0</v>
      </c>
      <c r="I24" s="22">
        <f>[2]S1!I25</f>
        <v>260</v>
      </c>
      <c r="J24" s="13">
        <f>[2]S1!J25</f>
        <v>0</v>
      </c>
      <c r="K24" s="19">
        <f>[2]S1!K25</f>
        <v>960</v>
      </c>
      <c r="L24" s="52">
        <f>[2]S1!L25</f>
        <v>26000</v>
      </c>
      <c r="M24" s="58">
        <f>[2]S1!M25</f>
        <v>29</v>
      </c>
      <c r="N24" s="49">
        <f>[2]S1!P25</f>
        <v>9928466340</v>
      </c>
      <c r="O24" s="14"/>
    </row>
    <row r="25" spans="1:15" x14ac:dyDescent="0.3">
      <c r="A25" s="11">
        <v>3072</v>
      </c>
      <c r="B25" s="12" t="str">
        <f>[3]Name!E2076</f>
        <v>Komal Kumari Gotwal</v>
      </c>
      <c r="C25" s="13">
        <f>[2]S1!C26</f>
        <v>500</v>
      </c>
      <c r="D25" s="13">
        <f>[2]S1!D26</f>
        <v>0</v>
      </c>
      <c r="E25" s="26">
        <f>[2]S1!E26</f>
        <v>200</v>
      </c>
      <c r="F25" s="26">
        <f>[2]S1!F26</f>
        <v>0</v>
      </c>
      <c r="G25" s="22">
        <f>[2]S1!G26</f>
        <v>500</v>
      </c>
      <c r="H25" s="22">
        <f>[2]S1!H26</f>
        <v>0</v>
      </c>
      <c r="I25" s="22">
        <f>[2]S1!I26</f>
        <v>260</v>
      </c>
      <c r="J25" s="13">
        <f>[2]S1!J26</f>
        <v>0</v>
      </c>
      <c r="K25" s="19">
        <f>[2]S1!K26</f>
        <v>960</v>
      </c>
      <c r="L25" s="52">
        <f>[2]S1!L26</f>
        <v>26000</v>
      </c>
      <c r="M25" s="58">
        <f>[2]S1!M26</f>
        <v>29</v>
      </c>
      <c r="N25" s="49">
        <f>[2]S1!P26</f>
        <v>9928466340</v>
      </c>
      <c r="O25" s="14"/>
    </row>
    <row r="26" spans="1:15" x14ac:dyDescent="0.3">
      <c r="A26" s="11">
        <v>3073</v>
      </c>
      <c r="B26" s="12" t="str">
        <f>[3]Name!E2077</f>
        <v>Ganpat Lal Kandela</v>
      </c>
      <c r="C26" s="13">
        <f>[2]S1!C27</f>
        <v>0</v>
      </c>
      <c r="D26" s="13">
        <f>[2]S1!D27</f>
        <v>14349</v>
      </c>
      <c r="E26" s="26">
        <f>[2]S1!E27</f>
        <v>0</v>
      </c>
      <c r="F26" s="26">
        <f>[2]S1!F27</f>
        <v>0</v>
      </c>
      <c r="G26" s="22">
        <f>[2]S1!G27</f>
        <v>27000</v>
      </c>
      <c r="H26" s="22">
        <f>[2]S1!H27</f>
        <v>17936</v>
      </c>
      <c r="I26" s="22">
        <f>[2]S1!I27</f>
        <v>4860</v>
      </c>
      <c r="J26" s="13">
        <f>[2]S1!J27</f>
        <v>0</v>
      </c>
      <c r="K26" s="19">
        <f>[2]S1!K27</f>
        <v>49796</v>
      </c>
      <c r="L26" s="52">
        <f>[2]S1!L27</f>
        <v>27000</v>
      </c>
      <c r="M26" s="58">
        <f>[2]S1!M27</f>
        <v>20</v>
      </c>
      <c r="N26" s="49">
        <f>[2]S1!P27</f>
        <v>8058882602</v>
      </c>
      <c r="O26" s="14"/>
    </row>
    <row r="27" spans="1:15" x14ac:dyDescent="0.3">
      <c r="A27" s="11">
        <v>3074</v>
      </c>
      <c r="B27" s="12" t="str">
        <f>[3]Name!E2078</f>
        <v>Supyari Devi Kandela</v>
      </c>
      <c r="C27" s="13">
        <f>[2]S1!C28</f>
        <v>0</v>
      </c>
      <c r="D27" s="13">
        <f>[2]S1!D28</f>
        <v>7070</v>
      </c>
      <c r="E27" s="26">
        <f>[2]S1!E28</f>
        <v>3600</v>
      </c>
      <c r="F27" s="26">
        <f>[2]S1!F28</f>
        <v>2027</v>
      </c>
      <c r="G27" s="22">
        <f>[2]S1!G28</f>
        <v>7383</v>
      </c>
      <c r="H27" s="22">
        <f>[2]S1!H28</f>
        <v>6810</v>
      </c>
      <c r="I27" s="22">
        <f>[2]S1!I28</f>
        <v>392</v>
      </c>
      <c r="J27" s="13">
        <f>[2]S1!J28</f>
        <v>0</v>
      </c>
      <c r="K27" s="19">
        <f>[2]S1!K28</f>
        <v>20212</v>
      </c>
      <c r="L27" s="52">
        <f>[2]S1!L28</f>
        <v>7383</v>
      </c>
      <c r="M27" s="58">
        <f>[2]S1!M28</f>
        <v>29</v>
      </c>
      <c r="N27" s="49">
        <f>[2]S1!P28</f>
        <v>8058882602</v>
      </c>
      <c r="O27" s="14"/>
    </row>
    <row r="28" spans="1:15" x14ac:dyDescent="0.3">
      <c r="A28" s="11">
        <v>3075</v>
      </c>
      <c r="B28" s="12" t="str">
        <f>[3]Name!E2079</f>
        <v>Bansi Lal Bunkar</v>
      </c>
      <c r="C28" s="13">
        <f>[2]S1!C29</f>
        <v>0</v>
      </c>
      <c r="D28" s="13">
        <f>[2]S1!D29</f>
        <v>0</v>
      </c>
      <c r="E28" s="26">
        <f>[2]S1!E29</f>
        <v>0</v>
      </c>
      <c r="F28" s="26">
        <f>[2]S1!F29</f>
        <v>0</v>
      </c>
      <c r="G28" s="22">
        <f>[2]S1!G29</f>
        <v>0</v>
      </c>
      <c r="H28" s="22">
        <f>[2]S1!H29</f>
        <v>0</v>
      </c>
      <c r="I28" s="22">
        <f>[2]S1!I29</f>
        <v>0</v>
      </c>
      <c r="J28" s="13">
        <f>[2]S1!J29</f>
        <v>0</v>
      </c>
      <c r="K28" s="19">
        <f>[2]S1!K29</f>
        <v>0</v>
      </c>
      <c r="L28" s="52">
        <f>[2]S1!L29</f>
        <v>0</v>
      </c>
      <c r="M28" s="58">
        <f>[2]S1!M29</f>
        <v>0</v>
      </c>
      <c r="N28" s="49">
        <f>[2]S1!P29</f>
        <v>9928833278</v>
      </c>
      <c r="O28" s="14"/>
    </row>
    <row r="29" spans="1:15" x14ac:dyDescent="0.3">
      <c r="A29" s="11">
        <v>3076</v>
      </c>
      <c r="B29" s="12" t="str">
        <f>[3]Name!E2080</f>
        <v>Jitendr Kumar Bunkar</v>
      </c>
      <c r="C29" s="13">
        <f>[2]S1!C30</f>
        <v>1000</v>
      </c>
      <c r="D29" s="13">
        <f>[2]S1!D30</f>
        <v>0</v>
      </c>
      <c r="E29" s="26">
        <f>[2]S1!E30</f>
        <v>200</v>
      </c>
      <c r="F29" s="26">
        <f>[2]S1!F30</f>
        <v>0</v>
      </c>
      <c r="G29" s="22">
        <f>[2]S1!G30</f>
        <v>1735</v>
      </c>
      <c r="H29" s="22">
        <f>[2]S1!H30</f>
        <v>0</v>
      </c>
      <c r="I29" s="22">
        <f>[2]S1!I30</f>
        <v>167</v>
      </c>
      <c r="J29" s="13">
        <f>[2]S1!J30</f>
        <v>0</v>
      </c>
      <c r="K29" s="19">
        <f>[2]S1!K30</f>
        <v>2102</v>
      </c>
      <c r="L29" s="52">
        <f>[2]S1!L30</f>
        <v>16735</v>
      </c>
      <c r="M29" s="58">
        <f>[2]S1!M30</f>
        <v>5</v>
      </c>
      <c r="N29" s="49">
        <f>[2]S1!P30</f>
        <v>9928813200</v>
      </c>
      <c r="O29" s="14"/>
    </row>
    <row r="30" spans="1:15" x14ac:dyDescent="0.3">
      <c r="A30" s="11">
        <v>3077</v>
      </c>
      <c r="B30" s="12" t="str">
        <f>[3]Name!E2081</f>
        <v>Tija Bunkar</v>
      </c>
      <c r="C30" s="13">
        <f>[2]S1!C31</f>
        <v>1000</v>
      </c>
      <c r="D30" s="13">
        <f>[2]S1!D31</f>
        <v>0</v>
      </c>
      <c r="E30" s="26">
        <f>[2]S1!E31</f>
        <v>200</v>
      </c>
      <c r="F30" s="26">
        <f>[2]S1!F31</f>
        <v>0</v>
      </c>
      <c r="G30" s="22">
        <f>[2]S1!G31</f>
        <v>2000</v>
      </c>
      <c r="H30" s="22">
        <f>[2]S1!H31</f>
        <v>0</v>
      </c>
      <c r="I30" s="22">
        <f>[2]S1!I31</f>
        <v>170</v>
      </c>
      <c r="J30" s="13">
        <f>[2]S1!J31</f>
        <v>0</v>
      </c>
      <c r="K30" s="19">
        <f>[2]S1!K31</f>
        <v>2370</v>
      </c>
      <c r="L30" s="52">
        <f>[2]S1!L31</f>
        <v>17000</v>
      </c>
      <c r="M30" s="58">
        <f>[2]S1!M31</f>
        <v>5</v>
      </c>
      <c r="N30" s="49">
        <f>[2]S1!P31</f>
        <v>9928813200</v>
      </c>
      <c r="O30" s="14"/>
    </row>
    <row r="31" spans="1:15" x14ac:dyDescent="0.3">
      <c r="A31" s="11">
        <v>3078</v>
      </c>
      <c r="B31" s="12" t="str">
        <f>[3]Name!E2082</f>
        <v>Nand Kisor Khandelwal</v>
      </c>
      <c r="C31" s="13">
        <f>[2]S1!C32</f>
        <v>0</v>
      </c>
      <c r="D31" s="13">
        <f>[2]S1!D32</f>
        <v>2452</v>
      </c>
      <c r="E31" s="26">
        <f>[2]S1!E32</f>
        <v>2400</v>
      </c>
      <c r="F31" s="26">
        <f>[2]S1!F32</f>
        <v>784</v>
      </c>
      <c r="G31" s="22">
        <f>[2]S1!G32</f>
        <v>9000</v>
      </c>
      <c r="H31" s="22">
        <f>[2]S1!H32</f>
        <v>4120</v>
      </c>
      <c r="I31" s="22">
        <f>[2]S1!I32</f>
        <v>1080</v>
      </c>
      <c r="J31" s="13">
        <f>[2]S1!J32</f>
        <v>0</v>
      </c>
      <c r="K31" s="19">
        <f>[2]S1!K32</f>
        <v>17384</v>
      </c>
      <c r="L31" s="52">
        <f>[2]S1!L32</f>
        <v>9000</v>
      </c>
      <c r="M31" s="58">
        <f>[2]S1!M32</f>
        <v>23</v>
      </c>
      <c r="N31" s="49">
        <f>[2]S1!P32</f>
        <v>7891829159</v>
      </c>
      <c r="O31" s="14"/>
    </row>
    <row r="32" spans="1:15" x14ac:dyDescent="0.3">
      <c r="A32" s="11">
        <v>3079</v>
      </c>
      <c r="B32" s="12" t="str">
        <f>[3]Name!E2083</f>
        <v>Bharti Devi Khandelwal</v>
      </c>
      <c r="C32" s="13">
        <f>[2]S1!C33</f>
        <v>0</v>
      </c>
      <c r="D32" s="13">
        <f>[2]S1!D33</f>
        <v>2068</v>
      </c>
      <c r="E32" s="26">
        <f>[2]S1!E33</f>
        <v>2400</v>
      </c>
      <c r="F32" s="26">
        <f>[2]S1!F33</f>
        <v>784</v>
      </c>
      <c r="G32" s="22">
        <f>[2]S1!G33</f>
        <v>6000</v>
      </c>
      <c r="H32" s="22">
        <f>[2]S1!H33</f>
        <v>3352</v>
      </c>
      <c r="I32" s="22">
        <f>[2]S1!I33</f>
        <v>720</v>
      </c>
      <c r="J32" s="13">
        <f>[2]S1!J33</f>
        <v>0</v>
      </c>
      <c r="K32" s="19">
        <f>[2]S1!K33</f>
        <v>13256</v>
      </c>
      <c r="L32" s="52">
        <f>[2]S1!L33</f>
        <v>6000</v>
      </c>
      <c r="M32" s="58">
        <f>[2]S1!M33</f>
        <v>26</v>
      </c>
      <c r="N32" s="49">
        <f>[2]S1!P33</f>
        <v>7891829159</v>
      </c>
      <c r="O32" s="14"/>
    </row>
    <row r="33" spans="1:15" x14ac:dyDescent="0.3">
      <c r="A33" s="11">
        <v>3080</v>
      </c>
      <c r="B33" s="12" t="str">
        <f>[3]Name!E2084</f>
        <v>Mansi Kumari</v>
      </c>
      <c r="C33" s="13">
        <f>[2]S1!C34</f>
        <v>1000</v>
      </c>
      <c r="D33" s="13">
        <f>[2]S1!D34</f>
        <v>2487</v>
      </c>
      <c r="E33" s="26">
        <f>[2]S1!E34</f>
        <v>2400</v>
      </c>
      <c r="F33" s="26">
        <f>[2]S1!F34</f>
        <v>784</v>
      </c>
      <c r="G33" s="22">
        <f>[2]S1!G34</f>
        <v>11763</v>
      </c>
      <c r="H33" s="22">
        <f>[2]S1!H34</f>
        <v>4190</v>
      </c>
      <c r="I33" s="22">
        <f>[2]S1!I34</f>
        <v>1536</v>
      </c>
      <c r="J33" s="13">
        <f>[2]S1!J34</f>
        <v>0</v>
      </c>
      <c r="K33" s="19">
        <f>[2]S1!K34</f>
        <v>20673</v>
      </c>
      <c r="L33" s="52">
        <f>[2]S1!L34</f>
        <v>12763</v>
      </c>
      <c r="M33" s="58">
        <f>[2]S1!M34</f>
        <v>19</v>
      </c>
      <c r="N33" s="49">
        <f>[2]S1!P34</f>
        <v>7891829159</v>
      </c>
      <c r="O33" s="14"/>
    </row>
    <row r="34" spans="1:15" x14ac:dyDescent="0.3">
      <c r="A34" s="11">
        <v>3081</v>
      </c>
      <c r="B34" s="12" t="str">
        <f>[3]Name!E2085</f>
        <v>Banvari Lal Bunakar</v>
      </c>
      <c r="C34" s="13">
        <f>[2]S1!C35</f>
        <v>2000</v>
      </c>
      <c r="D34" s="13">
        <f>[2]S1!D35</f>
        <v>0</v>
      </c>
      <c r="E34" s="26">
        <f>[2]S1!E35</f>
        <v>0</v>
      </c>
      <c r="F34" s="26">
        <f>[2]S1!F35</f>
        <v>0</v>
      </c>
      <c r="G34" s="22">
        <f>[2]S1!G35</f>
        <v>1563</v>
      </c>
      <c r="H34" s="22">
        <f>[2]S1!H35</f>
        <v>0</v>
      </c>
      <c r="I34" s="22">
        <f>[2]S1!I35</f>
        <v>76</v>
      </c>
      <c r="J34" s="13">
        <f>[2]S1!J35</f>
        <v>0</v>
      </c>
      <c r="K34" s="19">
        <f>[2]S1!K35</f>
        <v>1639</v>
      </c>
      <c r="L34" s="52">
        <f>[2]S1!L35</f>
        <v>7563</v>
      </c>
      <c r="M34" s="58">
        <f>[2]S1!M35</f>
        <v>12</v>
      </c>
      <c r="N34" s="49">
        <f>[2]S1!P35</f>
        <v>8209131043</v>
      </c>
      <c r="O34" s="14"/>
    </row>
    <row r="35" spans="1:15" x14ac:dyDescent="0.3">
      <c r="A35" s="11">
        <v>3082</v>
      </c>
      <c r="B35" s="12" t="str">
        <f>[3]Name!E2086</f>
        <v>Ramsvrup Bunakar</v>
      </c>
      <c r="C35" s="13">
        <f>[2]S1!C36</f>
        <v>0</v>
      </c>
      <c r="D35" s="13">
        <f>[2]S1!D36</f>
        <v>0</v>
      </c>
      <c r="E35" s="26">
        <f>[2]S1!E36</f>
        <v>0</v>
      </c>
      <c r="F35" s="26">
        <f>[2]S1!F36</f>
        <v>0</v>
      </c>
      <c r="G35" s="22">
        <f>[2]S1!G36</f>
        <v>0</v>
      </c>
      <c r="H35" s="22">
        <f>[2]S1!H36</f>
        <v>0</v>
      </c>
      <c r="I35" s="22">
        <f>[2]S1!I36</f>
        <v>0</v>
      </c>
      <c r="J35" s="13">
        <f>[2]S1!J36</f>
        <v>0</v>
      </c>
      <c r="K35" s="19">
        <f>[2]S1!K36</f>
        <v>0</v>
      </c>
      <c r="L35" s="52">
        <f>[2]S1!L36</f>
        <v>0</v>
      </c>
      <c r="M35" s="58">
        <f>[2]S1!M36</f>
        <v>0</v>
      </c>
      <c r="N35" s="49">
        <f>[2]S1!P36</f>
        <v>8209131043</v>
      </c>
      <c r="O35" s="14"/>
    </row>
    <row r="36" spans="1:15" x14ac:dyDescent="0.3">
      <c r="A36" s="11">
        <v>3083</v>
      </c>
      <c r="B36" s="12" t="str">
        <f>[3]Name!E2087</f>
        <v>Magi Devi</v>
      </c>
      <c r="C36" s="13">
        <f>[2]S1!C37</f>
        <v>0</v>
      </c>
      <c r="D36" s="13">
        <f>[2]S1!D37</f>
        <v>0</v>
      </c>
      <c r="E36" s="26">
        <f>[2]S1!E37</f>
        <v>0</v>
      </c>
      <c r="F36" s="26">
        <f>[2]S1!F37</f>
        <v>0</v>
      </c>
      <c r="G36" s="22">
        <f>[2]S1!G37</f>
        <v>0</v>
      </c>
      <c r="H36" s="22">
        <f>[2]S1!H37</f>
        <v>0</v>
      </c>
      <c r="I36" s="22">
        <f>[2]S1!I37</f>
        <v>0</v>
      </c>
      <c r="J36" s="13">
        <f>[2]S1!J37</f>
        <v>0</v>
      </c>
      <c r="K36" s="19">
        <f>[2]S1!K37</f>
        <v>0</v>
      </c>
      <c r="L36" s="52">
        <f>[2]S1!L37</f>
        <v>0</v>
      </c>
      <c r="M36" s="58">
        <f>[2]S1!M37</f>
        <v>0</v>
      </c>
      <c r="N36" s="49">
        <f>[2]S1!P37</f>
        <v>8209131043</v>
      </c>
      <c r="O36" s="14"/>
    </row>
    <row r="37" spans="1:15" x14ac:dyDescent="0.3">
      <c r="A37" s="11">
        <v>3084</v>
      </c>
      <c r="B37" s="12" t="str">
        <f>[3]Name!E2088</f>
        <v>Vansika  Khardiya</v>
      </c>
      <c r="C37" s="13">
        <f>[2]S1!C38</f>
        <v>0</v>
      </c>
      <c r="D37" s="13">
        <f>[2]S1!D38</f>
        <v>203</v>
      </c>
      <c r="E37" s="26">
        <f>[2]S1!E38</f>
        <v>800</v>
      </c>
      <c r="F37" s="26">
        <f>[2]S1!F38</f>
        <v>51</v>
      </c>
      <c r="G37" s="22">
        <f>[2]S1!G38</f>
        <v>15000</v>
      </c>
      <c r="H37" s="22">
        <f>[2]S1!H38</f>
        <v>762</v>
      </c>
      <c r="I37" s="22">
        <f>[2]S1!I38</f>
        <v>300</v>
      </c>
      <c r="J37" s="13">
        <f>[2]S1!J38</f>
        <v>0</v>
      </c>
      <c r="K37" s="19">
        <f>[2]S1!K38</f>
        <v>16913</v>
      </c>
      <c r="L37" s="52">
        <f>[2]S1!L38</f>
        <v>15000</v>
      </c>
      <c r="M37" s="58">
        <f>[2]S1!M38</f>
        <v>7</v>
      </c>
      <c r="N37" s="49">
        <f>[2]S1!P38</f>
        <v>8386966572</v>
      </c>
      <c r="O37" s="14"/>
    </row>
    <row r="38" spans="1:15" x14ac:dyDescent="0.3">
      <c r="A38" s="11">
        <v>3085</v>
      </c>
      <c r="B38" s="12" t="str">
        <f>[3]Name!E2089</f>
        <v>Hanni kumar khardiya</v>
      </c>
      <c r="C38" s="13">
        <f>[2]S1!C39</f>
        <v>1500</v>
      </c>
      <c r="D38" s="13">
        <f>[2]S1!D39</f>
        <v>188</v>
      </c>
      <c r="E38" s="26">
        <f>[2]S1!E39</f>
        <v>800</v>
      </c>
      <c r="F38" s="26">
        <f>[2]S1!F39</f>
        <v>51</v>
      </c>
      <c r="G38" s="22">
        <f>[2]S1!G39</f>
        <v>9000</v>
      </c>
      <c r="H38" s="22">
        <f>[2]S1!H39</f>
        <v>699</v>
      </c>
      <c r="I38" s="22">
        <f>[2]S1!I39</f>
        <v>370</v>
      </c>
      <c r="J38" s="13">
        <f>[2]S1!J39</f>
        <v>0</v>
      </c>
      <c r="K38" s="19">
        <f>[2]S1!K39</f>
        <v>10920</v>
      </c>
      <c r="L38" s="52">
        <f>[2]S1!L39</f>
        <v>18500</v>
      </c>
      <c r="M38" s="58">
        <f>[2]S1!M39</f>
        <v>7</v>
      </c>
      <c r="N38" s="49">
        <f>[2]S1!P39</f>
        <v>8386966572</v>
      </c>
      <c r="O38" s="14"/>
    </row>
    <row r="39" spans="1:15" x14ac:dyDescent="0.3">
      <c r="A39" s="11">
        <v>3086</v>
      </c>
      <c r="B39" s="12" t="str">
        <f>[3]Name!E2090</f>
        <v>Kailash Chand Varma</v>
      </c>
      <c r="C39" s="13">
        <f>[2]S1!C40</f>
        <v>0</v>
      </c>
      <c r="D39" s="13">
        <f>[2]S1!D40</f>
        <v>0</v>
      </c>
      <c r="E39" s="26">
        <f>[2]S1!E40</f>
        <v>200</v>
      </c>
      <c r="F39" s="26">
        <f>[2]S1!F40</f>
        <v>0</v>
      </c>
      <c r="G39" s="22">
        <f>[2]S1!G40</f>
        <v>0</v>
      </c>
      <c r="H39" s="22">
        <f>[2]S1!H40</f>
        <v>0</v>
      </c>
      <c r="I39" s="22">
        <f>[2]S1!I40</f>
        <v>100</v>
      </c>
      <c r="J39" s="13">
        <f>[2]S1!J40</f>
        <v>0</v>
      </c>
      <c r="K39" s="19">
        <f>[2]S1!K40</f>
        <v>300</v>
      </c>
      <c r="L39" s="52">
        <f>[2]S1!L40</f>
        <v>9986</v>
      </c>
      <c r="M39" s="58">
        <f>[2]S1!M40</f>
        <v>3</v>
      </c>
      <c r="N39" s="49">
        <f>[2]S1!P40</f>
        <v>7073078323</v>
      </c>
      <c r="O39" s="14"/>
    </row>
    <row r="40" spans="1:15" x14ac:dyDescent="0.3">
      <c r="A40" s="11">
        <v>3087</v>
      </c>
      <c r="B40" s="12" t="str">
        <f>[3]Name!E2091</f>
        <v>Kamala Devi</v>
      </c>
      <c r="C40" s="13">
        <f>[2]S1!C41</f>
        <v>0</v>
      </c>
      <c r="D40" s="13">
        <f>[2]S1!D41</f>
        <v>0</v>
      </c>
      <c r="E40" s="26">
        <f>[2]S1!E41</f>
        <v>200</v>
      </c>
      <c r="F40" s="26">
        <f>[2]S1!F41</f>
        <v>0</v>
      </c>
      <c r="G40" s="22">
        <f>[2]S1!G41</f>
        <v>0</v>
      </c>
      <c r="H40" s="22">
        <f>[2]S1!H41</f>
        <v>0</v>
      </c>
      <c r="I40" s="22">
        <f>[2]S1!I41</f>
        <v>100</v>
      </c>
      <c r="J40" s="13">
        <f>[2]S1!J41</f>
        <v>0</v>
      </c>
      <c r="K40" s="19">
        <f>[2]S1!K41</f>
        <v>300</v>
      </c>
      <c r="L40" s="52">
        <f>[2]S1!L41</f>
        <v>10000</v>
      </c>
      <c r="M40" s="58">
        <f>[2]S1!M41</f>
        <v>3</v>
      </c>
      <c r="N40" s="49">
        <f>[2]S1!P41</f>
        <v>7073078323</v>
      </c>
      <c r="O40" s="14"/>
    </row>
    <row r="41" spans="1:15" x14ac:dyDescent="0.3">
      <c r="A41" s="11">
        <v>3088</v>
      </c>
      <c r="B41" s="12" t="str">
        <f>[3]Name!E2092</f>
        <v>Parvati Devi</v>
      </c>
      <c r="C41" s="13">
        <f>[2]S1!C42</f>
        <v>0</v>
      </c>
      <c r="D41" s="13">
        <f>[2]S1!D42</f>
        <v>0</v>
      </c>
      <c r="E41" s="26">
        <f>[2]S1!E42</f>
        <v>200</v>
      </c>
      <c r="F41" s="26">
        <f>[2]S1!F42</f>
        <v>0</v>
      </c>
      <c r="G41" s="22">
        <f>[2]S1!G42</f>
        <v>0</v>
      </c>
      <c r="H41" s="22">
        <f>[2]S1!H42</f>
        <v>0</v>
      </c>
      <c r="I41" s="22">
        <f>[2]S1!I42</f>
        <v>126</v>
      </c>
      <c r="J41" s="13">
        <f>[2]S1!J42</f>
        <v>0</v>
      </c>
      <c r="K41" s="19">
        <f>[2]S1!K42</f>
        <v>326</v>
      </c>
      <c r="L41" s="52">
        <f>[2]S1!L42</f>
        <v>12599</v>
      </c>
      <c r="M41" s="58">
        <f>[2]S1!M42</f>
        <v>3</v>
      </c>
      <c r="N41" s="49">
        <f>[2]S1!P42</f>
        <v>7073078323</v>
      </c>
      <c r="O41" s="14"/>
    </row>
    <row r="42" spans="1:15" x14ac:dyDescent="0.3">
      <c r="A42" s="11">
        <v>3089</v>
      </c>
      <c r="B42" s="12" t="str">
        <f>[3]Name!E2093</f>
        <v>Nikhil Kumar Bayala</v>
      </c>
      <c r="C42" s="13">
        <f>[2]S1!C43</f>
        <v>11000</v>
      </c>
      <c r="D42" s="13">
        <f>[2]S1!D43</f>
        <v>0</v>
      </c>
      <c r="E42" s="26">
        <f>[2]S1!E43</f>
        <v>200</v>
      </c>
      <c r="F42" s="26">
        <f>[2]S1!F43</f>
        <v>0</v>
      </c>
      <c r="G42" s="22">
        <f>[2]S1!G43</f>
        <v>1000</v>
      </c>
      <c r="H42" s="22">
        <f>[2]S1!H43</f>
        <v>0</v>
      </c>
      <c r="I42" s="22">
        <f>[2]S1!I43</f>
        <v>120</v>
      </c>
      <c r="J42" s="13">
        <f>[2]S1!J43</f>
        <v>0</v>
      </c>
      <c r="K42" s="19">
        <f>[2]S1!K43</f>
        <v>1320</v>
      </c>
      <c r="L42" s="52">
        <f>[2]S1!L43</f>
        <v>12000</v>
      </c>
      <c r="M42" s="58">
        <f>[2]S1!M43</f>
        <v>9</v>
      </c>
      <c r="N42" s="49">
        <f>[2]S1!P43</f>
        <v>9887923580</v>
      </c>
      <c r="O42" s="14"/>
    </row>
    <row r="43" spans="1:15" x14ac:dyDescent="0.3">
      <c r="A43" s="11">
        <v>3090</v>
      </c>
      <c r="B43" s="12" t="str">
        <f>[3]Name!E2094</f>
        <v>Gorav Kumar Bayala</v>
      </c>
      <c r="C43" s="13">
        <f>[2]S1!C44</f>
        <v>0</v>
      </c>
      <c r="D43" s="13">
        <f>[2]S1!D44</f>
        <v>0</v>
      </c>
      <c r="E43" s="26">
        <f>[2]S1!E44</f>
        <v>200</v>
      </c>
      <c r="F43" s="26">
        <f>[2]S1!F44</f>
        <v>0</v>
      </c>
      <c r="G43" s="22">
        <f>[2]S1!G44</f>
        <v>4343</v>
      </c>
      <c r="H43" s="22">
        <f>[2]S1!H44</f>
        <v>0</v>
      </c>
      <c r="I43" s="22">
        <f>[2]S1!I44</f>
        <v>43</v>
      </c>
      <c r="J43" s="13">
        <f>[2]S1!J44</f>
        <v>0</v>
      </c>
      <c r="K43" s="19">
        <f>[2]S1!K44</f>
        <v>4586</v>
      </c>
      <c r="L43" s="52">
        <f>[2]S1!L44</f>
        <v>4343</v>
      </c>
      <c r="M43" s="58">
        <f>[2]S1!M44</f>
        <v>7</v>
      </c>
      <c r="N43" s="49">
        <f>[2]S1!P44</f>
        <v>9887923580</v>
      </c>
      <c r="O43" s="14"/>
    </row>
    <row r="44" spans="1:15" x14ac:dyDescent="0.3">
      <c r="A44" s="11">
        <v>3091</v>
      </c>
      <c r="B44" s="12" t="str">
        <f>[3]Name!E2095</f>
        <v>Kasis Kumari Kala</v>
      </c>
      <c r="C44" s="13">
        <f>[2]S1!C45</f>
        <v>1400</v>
      </c>
      <c r="D44" s="13">
        <f>[2]S1!D45</f>
        <v>0</v>
      </c>
      <c r="E44" s="26">
        <f>[2]S1!E45</f>
        <v>200</v>
      </c>
      <c r="F44" s="26">
        <f>[2]S1!F45</f>
        <v>0</v>
      </c>
      <c r="G44" s="22">
        <f>[2]S1!G45</f>
        <v>0</v>
      </c>
      <c r="H44" s="22">
        <f>[2]S1!H45</f>
        <v>0</v>
      </c>
      <c r="I44" s="22">
        <f>[2]S1!I45</f>
        <v>108</v>
      </c>
      <c r="J44" s="13">
        <f>[2]S1!J45</f>
        <v>0</v>
      </c>
      <c r="K44" s="19">
        <f>[2]S1!K45</f>
        <v>308</v>
      </c>
      <c r="L44" s="52">
        <f>[2]S1!L45</f>
        <v>10839</v>
      </c>
      <c r="M44" s="58">
        <f>[2]S1!M45</f>
        <v>4</v>
      </c>
      <c r="N44" s="49">
        <f>[2]S1!P45</f>
        <v>9799808935</v>
      </c>
      <c r="O44" s="14"/>
    </row>
    <row r="45" spans="1:15" x14ac:dyDescent="0.3">
      <c r="A45" s="11">
        <v>3092</v>
      </c>
      <c r="B45" s="12" t="str">
        <f>[3]Name!E2096</f>
        <v>Harinarayan Khatti</v>
      </c>
      <c r="C45" s="13">
        <f>[2]S1!C46</f>
        <v>19800</v>
      </c>
      <c r="D45" s="13">
        <f>[2]S1!D46</f>
        <v>0</v>
      </c>
      <c r="E45" s="26">
        <f>[2]S1!E46</f>
        <v>200</v>
      </c>
      <c r="F45" s="26">
        <f>[2]S1!F46</f>
        <v>0</v>
      </c>
      <c r="G45" s="22">
        <f>[2]S1!G46</f>
        <v>1914</v>
      </c>
      <c r="H45" s="22">
        <f>[2]S1!H46</f>
        <v>0</v>
      </c>
      <c r="I45" s="22">
        <f>[2]S1!I46</f>
        <v>217</v>
      </c>
      <c r="J45" s="13">
        <f>[2]S1!J46</f>
        <v>0</v>
      </c>
      <c r="K45" s="19">
        <f>[2]S1!K46</f>
        <v>2331</v>
      </c>
      <c r="L45" s="52">
        <f>[2]S1!L46</f>
        <v>21714</v>
      </c>
      <c r="M45" s="58">
        <f>[2]S1!M46</f>
        <v>5</v>
      </c>
      <c r="N45" s="49">
        <f>[2]S1!P46</f>
        <v>91667880643</v>
      </c>
      <c r="O45" s="14"/>
    </row>
    <row r="46" spans="1:15" x14ac:dyDescent="0.3">
      <c r="A46" s="11">
        <v>3093</v>
      </c>
      <c r="B46" s="12" t="str">
        <f>[3]Name!E2097</f>
        <v>Rukama Devi Khatti</v>
      </c>
      <c r="C46" s="13">
        <f>[2]S1!C47</f>
        <v>20700</v>
      </c>
      <c r="D46" s="13">
        <f>[2]S1!D47</f>
        <v>0</v>
      </c>
      <c r="E46" s="26">
        <f>[2]S1!E47</f>
        <v>200</v>
      </c>
      <c r="F46" s="26">
        <f>[2]S1!F47</f>
        <v>0</v>
      </c>
      <c r="G46" s="22">
        <f>[2]S1!G47</f>
        <v>2300</v>
      </c>
      <c r="H46" s="22">
        <f>[2]S1!H47</f>
        <v>0</v>
      </c>
      <c r="I46" s="22">
        <f>[2]S1!I47</f>
        <v>230</v>
      </c>
      <c r="J46" s="13">
        <f>[2]S1!J47</f>
        <v>0</v>
      </c>
      <c r="K46" s="19">
        <f>[2]S1!K47</f>
        <v>2730</v>
      </c>
      <c r="L46" s="52">
        <f>[2]S1!L47</f>
        <v>23000</v>
      </c>
      <c r="M46" s="58">
        <f>[2]S1!M47</f>
        <v>5</v>
      </c>
      <c r="N46" s="49">
        <f>[2]S1!P47</f>
        <v>91667880643</v>
      </c>
      <c r="O46" s="14"/>
    </row>
    <row r="47" spans="1:15" x14ac:dyDescent="0.3">
      <c r="A47" s="11">
        <v>3094</v>
      </c>
      <c r="B47" s="12" t="str">
        <f>[3]Name!E2098</f>
        <v>Rajendr Khatti</v>
      </c>
      <c r="C47" s="13">
        <f>[2]S1!C48</f>
        <v>20700</v>
      </c>
      <c r="D47" s="13">
        <f>[2]S1!D48</f>
        <v>0</v>
      </c>
      <c r="E47" s="26">
        <f>[2]S1!E48</f>
        <v>200</v>
      </c>
      <c r="F47" s="26">
        <f>[2]S1!F48</f>
        <v>0</v>
      </c>
      <c r="G47" s="22">
        <f>[2]S1!G48</f>
        <v>2300</v>
      </c>
      <c r="H47" s="22">
        <f>[2]S1!H48</f>
        <v>0</v>
      </c>
      <c r="I47" s="22">
        <f>[2]S1!I48</f>
        <v>230</v>
      </c>
      <c r="J47" s="13">
        <f>[2]S1!J48</f>
        <v>0</v>
      </c>
      <c r="K47" s="19">
        <f>[2]S1!K48</f>
        <v>2730</v>
      </c>
      <c r="L47" s="52">
        <f>[2]S1!L48</f>
        <v>23000</v>
      </c>
      <c r="M47" s="58">
        <f>[2]S1!M48</f>
        <v>5</v>
      </c>
      <c r="N47" s="49">
        <f>[2]S1!P48</f>
        <v>91667880643</v>
      </c>
      <c r="O47" s="14"/>
    </row>
    <row r="48" spans="1:15" x14ac:dyDescent="0.3">
      <c r="A48" s="11">
        <v>3095</v>
      </c>
      <c r="B48" s="12" t="str">
        <f>[3]Name!E2099</f>
        <v>Ratan Lal Khatti</v>
      </c>
      <c r="C48" s="13">
        <f>[2]S1!C49</f>
        <v>20700</v>
      </c>
      <c r="D48" s="13">
        <f>[2]S1!D49</f>
        <v>0</v>
      </c>
      <c r="E48" s="26">
        <f>[2]S1!E49</f>
        <v>200</v>
      </c>
      <c r="F48" s="26">
        <f>[2]S1!F49</f>
        <v>0</v>
      </c>
      <c r="G48" s="22">
        <f>[2]S1!G49</f>
        <v>2300</v>
      </c>
      <c r="H48" s="22">
        <f>[2]S1!H49</f>
        <v>0</v>
      </c>
      <c r="I48" s="22">
        <f>[2]S1!I49</f>
        <v>230</v>
      </c>
      <c r="J48" s="13">
        <f>[2]S1!J49</f>
        <v>0</v>
      </c>
      <c r="K48" s="19">
        <f>[2]S1!K49</f>
        <v>2730</v>
      </c>
      <c r="L48" s="52">
        <f>[2]S1!L49</f>
        <v>23000</v>
      </c>
      <c r="M48" s="58">
        <f>[2]S1!M49</f>
        <v>5</v>
      </c>
      <c r="N48" s="49">
        <f>[2]S1!P49</f>
        <v>91667880643</v>
      </c>
      <c r="O48" s="14"/>
    </row>
    <row r="49" spans="1:15" x14ac:dyDescent="0.3">
      <c r="A49" s="11">
        <v>3096</v>
      </c>
      <c r="B49" s="12" t="str">
        <f>[3]Name!E2100</f>
        <v>Maya Devi Khatti</v>
      </c>
      <c r="C49" s="13">
        <f>[2]S1!C50</f>
        <v>20700</v>
      </c>
      <c r="D49" s="13">
        <f>[2]S1!D50</f>
        <v>0</v>
      </c>
      <c r="E49" s="26">
        <f>[2]S1!E50</f>
        <v>200</v>
      </c>
      <c r="F49" s="26">
        <f>[2]S1!F50</f>
        <v>0</v>
      </c>
      <c r="G49" s="22">
        <f>[2]S1!G50</f>
        <v>2300</v>
      </c>
      <c r="H49" s="22">
        <f>[2]S1!H50</f>
        <v>0</v>
      </c>
      <c r="I49" s="22">
        <f>[2]S1!I50</f>
        <v>230</v>
      </c>
      <c r="J49" s="13">
        <f>[2]S1!J50</f>
        <v>0</v>
      </c>
      <c r="K49" s="19">
        <f>[2]S1!K50</f>
        <v>2730</v>
      </c>
      <c r="L49" s="52">
        <f>[2]S1!L50</f>
        <v>23000</v>
      </c>
      <c r="M49" s="58">
        <f>[2]S1!M50</f>
        <v>5</v>
      </c>
      <c r="N49" s="49">
        <f>[2]S1!P50</f>
        <v>91667880643</v>
      </c>
      <c r="O49" s="14"/>
    </row>
    <row r="50" spans="1:15" x14ac:dyDescent="0.3">
      <c r="A50" s="11">
        <v>3097</v>
      </c>
      <c r="B50" s="12" t="str">
        <f>[3]Name!E2101</f>
        <v>Kana Ram Khatti</v>
      </c>
      <c r="C50" s="13">
        <f>[2]S1!C51</f>
        <v>500</v>
      </c>
      <c r="D50" s="13">
        <f>[2]S1!D51</f>
        <v>0</v>
      </c>
      <c r="E50" s="26">
        <f>[2]S1!E51</f>
        <v>200</v>
      </c>
      <c r="F50" s="26">
        <f>[2]S1!F51</f>
        <v>0</v>
      </c>
      <c r="G50" s="22">
        <f>[2]S1!G51</f>
        <v>500</v>
      </c>
      <c r="H50" s="22">
        <f>[2]S1!H51</f>
        <v>0</v>
      </c>
      <c r="I50" s="22">
        <f>[2]S1!I51</f>
        <v>200</v>
      </c>
      <c r="J50" s="13">
        <f>[2]S1!J51</f>
        <v>0</v>
      </c>
      <c r="K50" s="19">
        <f>[2]S1!K51</f>
        <v>900</v>
      </c>
      <c r="L50" s="52">
        <f>[2]S1!L51</f>
        <v>20000</v>
      </c>
      <c r="M50" s="58">
        <f>[2]S1!M51</f>
        <v>1</v>
      </c>
      <c r="N50" s="49">
        <f>[2]S1!P51</f>
        <v>6367846106</v>
      </c>
      <c r="O50" s="14"/>
    </row>
    <row r="51" spans="1:15" x14ac:dyDescent="0.3">
      <c r="A51" s="11">
        <v>3098</v>
      </c>
      <c r="B51" s="12" t="str">
        <f>[3]Name!E2102</f>
        <v>Om Prakash Khatti</v>
      </c>
      <c r="C51" s="13">
        <f>[2]S1!C52</f>
        <v>10500</v>
      </c>
      <c r="D51" s="13">
        <f>[2]S1!D52</f>
        <v>0</v>
      </c>
      <c r="E51" s="26">
        <f>[2]S1!E52</f>
        <v>183</v>
      </c>
      <c r="F51" s="26">
        <f>[2]S1!F52</f>
        <v>0</v>
      </c>
      <c r="G51" s="22">
        <f>[2]S1!G52</f>
        <v>1200</v>
      </c>
      <c r="H51" s="22">
        <f>[2]S1!H52</f>
        <v>0</v>
      </c>
      <c r="I51" s="22">
        <f>[2]S1!I52</f>
        <v>117</v>
      </c>
      <c r="J51" s="13">
        <f>[2]S1!J52</f>
        <v>0</v>
      </c>
      <c r="K51" s="19">
        <f>[2]S1!K52</f>
        <v>1500</v>
      </c>
      <c r="L51" s="52">
        <f>[2]S1!L52</f>
        <v>11700</v>
      </c>
      <c r="M51" s="58">
        <f>[2]S1!M52</f>
        <v>5</v>
      </c>
      <c r="N51" s="49">
        <f>[2]S1!P52</f>
        <v>6367846106</v>
      </c>
      <c r="O51" s="14"/>
    </row>
    <row r="52" spans="1:15" x14ac:dyDescent="0.3">
      <c r="A52" s="11">
        <v>3099</v>
      </c>
      <c r="B52" s="12" t="str">
        <f>[3]Name!E2103</f>
        <v>Puspa Devi Khatti</v>
      </c>
      <c r="C52" s="13">
        <f>[2]S1!C53</f>
        <v>10500</v>
      </c>
      <c r="D52" s="13">
        <f>[2]S1!D53</f>
        <v>0</v>
      </c>
      <c r="E52" s="26">
        <f>[2]S1!E53</f>
        <v>200</v>
      </c>
      <c r="F52" s="26">
        <f>[2]S1!F53</f>
        <v>0</v>
      </c>
      <c r="G52" s="22">
        <f>[2]S1!G53</f>
        <v>1200</v>
      </c>
      <c r="H52" s="22">
        <f>[2]S1!H53</f>
        <v>0</v>
      </c>
      <c r="I52" s="22">
        <f>[2]S1!I53</f>
        <v>117</v>
      </c>
      <c r="J52" s="13">
        <f>[2]S1!J53</f>
        <v>0</v>
      </c>
      <c r="K52" s="19">
        <f>[2]S1!K53</f>
        <v>1517</v>
      </c>
      <c r="L52" s="52">
        <f>[2]S1!L53</f>
        <v>11700</v>
      </c>
      <c r="M52" s="58">
        <f>[2]S1!M53</f>
        <v>5</v>
      </c>
      <c r="N52" s="49">
        <f>[2]S1!P53</f>
        <v>6367846106</v>
      </c>
      <c r="O52" s="14"/>
    </row>
    <row r="53" spans="1:15" x14ac:dyDescent="0.3">
      <c r="A53" s="11">
        <v>3100</v>
      </c>
      <c r="B53" s="12" t="str">
        <f>[3]Name!E2104</f>
        <v>Surendr Khatti</v>
      </c>
      <c r="C53" s="13">
        <f>[2]S1!C54</f>
        <v>10500</v>
      </c>
      <c r="D53" s="13">
        <f>[2]S1!D54</f>
        <v>0</v>
      </c>
      <c r="E53" s="26">
        <f>[2]S1!E54</f>
        <v>200</v>
      </c>
      <c r="F53" s="26">
        <f>[2]S1!F54</f>
        <v>0</v>
      </c>
      <c r="G53" s="22">
        <f>[2]S1!G54</f>
        <v>1200</v>
      </c>
      <c r="H53" s="22">
        <f>[2]S1!H54</f>
        <v>0</v>
      </c>
      <c r="I53" s="22">
        <f>[2]S1!I54</f>
        <v>117</v>
      </c>
      <c r="J53" s="13">
        <f>[2]S1!J54</f>
        <v>0</v>
      </c>
      <c r="K53" s="19">
        <f>[2]S1!K54</f>
        <v>1517</v>
      </c>
      <c r="L53" s="52">
        <f>[2]S1!L54</f>
        <v>11700</v>
      </c>
      <c r="M53" s="58">
        <f>[2]S1!M54</f>
        <v>5</v>
      </c>
      <c r="N53" s="49">
        <f>[2]S1!P54</f>
        <v>6367846106</v>
      </c>
      <c r="O53" s="14"/>
    </row>
    <row r="54" spans="1:15" x14ac:dyDescent="0.3">
      <c r="A54" s="11">
        <v>3101</v>
      </c>
      <c r="B54" s="12" t="str">
        <f>[3]Name!E2105</f>
        <v>Rahul Khatti</v>
      </c>
      <c r="C54" s="13">
        <f>[2]S1!C55</f>
        <v>10500</v>
      </c>
      <c r="D54" s="13">
        <f>[2]S1!D55</f>
        <v>0</v>
      </c>
      <c r="E54" s="26">
        <f>[2]S1!E55</f>
        <v>200</v>
      </c>
      <c r="F54" s="26">
        <f>[2]S1!F55</f>
        <v>0</v>
      </c>
      <c r="G54" s="22">
        <f>[2]S1!G55</f>
        <v>1136</v>
      </c>
      <c r="H54" s="22">
        <f>[2]S1!H55</f>
        <v>0</v>
      </c>
      <c r="I54" s="22">
        <f>[2]S1!I55</f>
        <v>116</v>
      </c>
      <c r="J54" s="13">
        <f>[2]S1!J55</f>
        <v>0</v>
      </c>
      <c r="K54" s="19">
        <f>[2]S1!K55</f>
        <v>1452</v>
      </c>
      <c r="L54" s="52">
        <f>[2]S1!L55</f>
        <v>11636</v>
      </c>
      <c r="M54" s="58">
        <f>[2]S1!M55</f>
        <v>5</v>
      </c>
      <c r="N54" s="49">
        <f>[2]S1!P55</f>
        <v>6367846106</v>
      </c>
      <c r="O54" s="14"/>
    </row>
    <row r="55" spans="1:15" x14ac:dyDescent="0.3">
      <c r="A55" s="11">
        <v>3102</v>
      </c>
      <c r="B55" s="12" t="str">
        <f>[3]Name!E2106</f>
        <v>Ram Lal Bunkar</v>
      </c>
      <c r="C55" s="13">
        <f>[2]S1!C56</f>
        <v>1000</v>
      </c>
      <c r="D55" s="13">
        <f>[2]S1!D56</f>
        <v>0</v>
      </c>
      <c r="E55" s="26">
        <f>[2]S1!E56</f>
        <v>200</v>
      </c>
      <c r="F55" s="26">
        <f>[2]S1!F56</f>
        <v>0</v>
      </c>
      <c r="G55" s="22">
        <f>[2]S1!G56</f>
        <v>1000</v>
      </c>
      <c r="H55" s="22">
        <f>[2]S1!H56</f>
        <v>0</v>
      </c>
      <c r="I55" s="22">
        <f>[2]S1!I56</f>
        <v>150</v>
      </c>
      <c r="J55" s="13">
        <f>[2]S1!J56</f>
        <v>0</v>
      </c>
      <c r="K55" s="19">
        <f>[2]S1!K56</f>
        <v>1350</v>
      </c>
      <c r="L55" s="52">
        <f>[2]S1!L56</f>
        <v>15000</v>
      </c>
      <c r="M55" s="58">
        <f>[2]S1!M56</f>
        <v>6</v>
      </c>
      <c r="N55" s="49">
        <f>[2]S1!P56</f>
        <v>9799626367</v>
      </c>
      <c r="O55" s="14"/>
    </row>
    <row r="56" spans="1:15" x14ac:dyDescent="0.3">
      <c r="A56" s="11">
        <v>3103</v>
      </c>
      <c r="B56" s="12" t="str">
        <f>[3]Name!E2107</f>
        <v>Jitesh Bunkar</v>
      </c>
      <c r="C56" s="13">
        <f>[2]S1!C57</f>
        <v>1000</v>
      </c>
      <c r="D56" s="13">
        <f>[2]S1!D57</f>
        <v>0</v>
      </c>
      <c r="E56" s="26">
        <f>[2]S1!E57</f>
        <v>200</v>
      </c>
      <c r="F56" s="26">
        <f>[2]S1!F57</f>
        <v>0</v>
      </c>
      <c r="G56" s="22">
        <f>[2]S1!G57</f>
        <v>1000</v>
      </c>
      <c r="H56" s="22">
        <f>[2]S1!H57</f>
        <v>13</v>
      </c>
      <c r="I56" s="22">
        <f>[2]S1!I57</f>
        <v>171</v>
      </c>
      <c r="J56" s="13">
        <f>[2]S1!J57</f>
        <v>0</v>
      </c>
      <c r="K56" s="19">
        <f>[2]S1!K57</f>
        <v>1384</v>
      </c>
      <c r="L56" s="52">
        <f>[2]S1!L57</f>
        <v>17000</v>
      </c>
      <c r="M56" s="58">
        <f>[2]S1!M57</f>
        <v>4</v>
      </c>
      <c r="N56" s="49">
        <f>[2]S1!P57</f>
        <v>9887287886</v>
      </c>
      <c r="O56" s="14"/>
    </row>
    <row r="57" spans="1:15" x14ac:dyDescent="0.3">
      <c r="A57" s="11">
        <v>3104</v>
      </c>
      <c r="B57" s="12" t="str">
        <f>[3]Name!E2108</f>
        <v>Aman Kumar Badela</v>
      </c>
      <c r="C57" s="13">
        <f>[2]S1!C58</f>
        <v>3000</v>
      </c>
      <c r="D57" s="13">
        <f>[2]S1!D58</f>
        <v>0</v>
      </c>
      <c r="E57" s="26">
        <f>[2]S1!E58</f>
        <v>0</v>
      </c>
      <c r="F57" s="26">
        <f>[2]S1!F58</f>
        <v>0</v>
      </c>
      <c r="G57" s="22">
        <f>[2]S1!G58</f>
        <v>3000</v>
      </c>
      <c r="H57" s="22">
        <f>[2]S1!H58</f>
        <v>0</v>
      </c>
      <c r="I57" s="22">
        <f>[2]S1!I58</f>
        <v>120</v>
      </c>
      <c r="J57" s="13">
        <f>[2]S1!J58</f>
        <v>0</v>
      </c>
      <c r="K57" s="19">
        <f>[2]S1!K58</f>
        <v>3120</v>
      </c>
      <c r="L57" s="52">
        <f>[2]S1!L58</f>
        <v>12000</v>
      </c>
      <c r="M57" s="58">
        <f>[2]S1!M58</f>
        <v>7</v>
      </c>
      <c r="N57" s="49">
        <f>[2]S1!P58</f>
        <v>8107212427</v>
      </c>
      <c r="O57" s="14"/>
    </row>
    <row r="58" spans="1:15" x14ac:dyDescent="0.3">
      <c r="A58" s="11">
        <v>3105</v>
      </c>
      <c r="B58" s="12" t="str">
        <f>[3]Name!E2109</f>
        <v>Pappu Kumar Badela</v>
      </c>
      <c r="C58" s="13">
        <f>[2]S1!C59</f>
        <v>3000</v>
      </c>
      <c r="D58" s="13">
        <f>[2]S1!D59</f>
        <v>0</v>
      </c>
      <c r="E58" s="26">
        <f>[2]S1!E59</f>
        <v>0</v>
      </c>
      <c r="F58" s="26">
        <f>[2]S1!F59</f>
        <v>0</v>
      </c>
      <c r="G58" s="22">
        <f>[2]S1!G59</f>
        <v>3000</v>
      </c>
      <c r="H58" s="22">
        <f>[2]S1!H59</f>
        <v>0</v>
      </c>
      <c r="I58" s="22">
        <f>[2]S1!I59</f>
        <v>120</v>
      </c>
      <c r="J58" s="13">
        <f>[2]S1!J59</f>
        <v>0</v>
      </c>
      <c r="K58" s="19">
        <f>[2]S1!K59</f>
        <v>3120</v>
      </c>
      <c r="L58" s="52">
        <f>[2]S1!L59</f>
        <v>12000</v>
      </c>
      <c r="M58" s="58">
        <f>[2]S1!M59</f>
        <v>7</v>
      </c>
      <c r="N58" s="49">
        <f>[2]S1!P59</f>
        <v>8107212427</v>
      </c>
      <c r="O58" s="14"/>
    </row>
    <row r="59" spans="1:15" x14ac:dyDescent="0.3">
      <c r="A59" s="11">
        <v>3106</v>
      </c>
      <c r="B59" s="12" t="str">
        <f>[3]Name!E2110</f>
        <v xml:space="preserve">Sankar Lal </v>
      </c>
      <c r="C59" s="13">
        <f>[2]S1!C60</f>
        <v>1500</v>
      </c>
      <c r="D59" s="13">
        <f>[2]S1!D60</f>
        <v>0</v>
      </c>
      <c r="E59" s="26">
        <f>[2]S1!E60</f>
        <v>0</v>
      </c>
      <c r="F59" s="26">
        <f>[2]S1!F60</f>
        <v>0</v>
      </c>
      <c r="G59" s="22">
        <f>[2]S1!G60</f>
        <v>1500</v>
      </c>
      <c r="H59" s="22">
        <f>[2]S1!H60</f>
        <v>0</v>
      </c>
      <c r="I59" s="22">
        <f>[2]S1!I60</f>
        <v>75</v>
      </c>
      <c r="J59" s="13">
        <f>[2]S1!J60</f>
        <v>0</v>
      </c>
      <c r="K59" s="19">
        <f>[2]S1!K60</f>
        <v>1575</v>
      </c>
      <c r="L59" s="52">
        <f>[2]S1!L60</f>
        <v>7500</v>
      </c>
      <c r="M59" s="58">
        <f>[2]S1!M60</f>
        <v>16</v>
      </c>
      <c r="N59" s="49">
        <f>[2]S1!P60</f>
        <v>9694027034</v>
      </c>
      <c r="O59" s="14"/>
    </row>
    <row r="60" spans="1:15" x14ac:dyDescent="0.3">
      <c r="A60" s="11">
        <v>3107</v>
      </c>
      <c r="B60" s="12" t="str">
        <f>[3]Name!E2111</f>
        <v>Sivam</v>
      </c>
      <c r="C60" s="13">
        <f>[2]S1!C61</f>
        <v>1500</v>
      </c>
      <c r="D60" s="13">
        <f>[2]S1!D61</f>
        <v>0</v>
      </c>
      <c r="E60" s="26">
        <f>[2]S1!E61</f>
        <v>0</v>
      </c>
      <c r="F60" s="26">
        <f>[2]S1!F61</f>
        <v>0</v>
      </c>
      <c r="G60" s="22">
        <f>[2]S1!G61</f>
        <v>1500</v>
      </c>
      <c r="H60" s="22">
        <f>[2]S1!H61</f>
        <v>0</v>
      </c>
      <c r="I60" s="22">
        <f>[2]S1!I61</f>
        <v>75</v>
      </c>
      <c r="J60" s="13">
        <f>[2]S1!J61</f>
        <v>0</v>
      </c>
      <c r="K60" s="19">
        <f>[2]S1!K61</f>
        <v>1575</v>
      </c>
      <c r="L60" s="52">
        <f>[2]S1!L61</f>
        <v>7500</v>
      </c>
      <c r="M60" s="58">
        <f>[2]S1!M61</f>
        <v>16</v>
      </c>
      <c r="N60" s="49">
        <f>[2]S1!P61</f>
        <v>9694027034</v>
      </c>
      <c r="O60" s="14"/>
    </row>
    <row r="61" spans="1:15" x14ac:dyDescent="0.3">
      <c r="A61" s="11">
        <v>3108</v>
      </c>
      <c r="B61" s="12" t="str">
        <f>[3]Name!E2112</f>
        <v xml:space="preserve">Pinki </v>
      </c>
      <c r="C61" s="13">
        <f>[2]S1!C62</f>
        <v>1000</v>
      </c>
      <c r="D61" s="13">
        <f>[2]S1!D62</f>
        <v>0</v>
      </c>
      <c r="E61" s="26">
        <f>[2]S1!E62</f>
        <v>200</v>
      </c>
      <c r="F61" s="26">
        <f>[2]S1!F62</f>
        <v>0</v>
      </c>
      <c r="G61" s="22">
        <f>[2]S1!G62</f>
        <v>1000</v>
      </c>
      <c r="H61" s="22">
        <f>[2]S1!H62</f>
        <v>0</v>
      </c>
      <c r="I61" s="22">
        <f>[2]S1!I62</f>
        <v>60</v>
      </c>
      <c r="J61" s="13">
        <f>[2]S1!J62</f>
        <v>0</v>
      </c>
      <c r="K61" s="19">
        <f>[2]S1!K62</f>
        <v>1260</v>
      </c>
      <c r="L61" s="52">
        <f>[2]S1!L62</f>
        <v>6000</v>
      </c>
      <c r="M61" s="58">
        <f>[2]S1!M62</f>
        <v>15</v>
      </c>
      <c r="N61" s="49">
        <f>[2]S1!P62</f>
        <v>9694027034</v>
      </c>
      <c r="O61" s="14"/>
    </row>
    <row r="62" spans="1:15" x14ac:dyDescent="0.3">
      <c r="A62" s="11">
        <v>3109</v>
      </c>
      <c r="B62" s="12" t="str">
        <f>[3]Name!E2113</f>
        <v xml:space="preserve">Kanhaiya Lal </v>
      </c>
      <c r="C62" s="13">
        <f>[2]S1!C63</f>
        <v>1000</v>
      </c>
      <c r="D62" s="13">
        <f>[2]S1!D63</f>
        <v>0</v>
      </c>
      <c r="E62" s="26">
        <f>[2]S1!E63</f>
        <v>400</v>
      </c>
      <c r="F62" s="26">
        <f>[2]S1!F63</f>
        <v>10</v>
      </c>
      <c r="G62" s="22">
        <f>[2]S1!G63</f>
        <v>2000</v>
      </c>
      <c r="H62" s="22">
        <f>[2]S1!H63</f>
        <v>0</v>
      </c>
      <c r="I62" s="22">
        <f>[2]S1!I63</f>
        <v>160</v>
      </c>
      <c r="J62" s="13">
        <f>[2]S1!J63</f>
        <v>0</v>
      </c>
      <c r="K62" s="19">
        <f>[2]S1!K63</f>
        <v>2570</v>
      </c>
      <c r="L62" s="52">
        <f>[2]S1!L63</f>
        <v>8000</v>
      </c>
      <c r="M62" s="58">
        <f>[2]S1!M63</f>
        <v>14</v>
      </c>
      <c r="N62" s="49">
        <f>[2]S1!P63</f>
        <v>9587963189</v>
      </c>
      <c r="O62" s="14"/>
    </row>
    <row r="63" spans="1:15" x14ac:dyDescent="0.3">
      <c r="A63" s="11">
        <v>3110</v>
      </c>
      <c r="B63" s="12" t="str">
        <f>[3]Name!E2114</f>
        <v>Minu Devi</v>
      </c>
      <c r="C63" s="13">
        <f>[2]S1!C64</f>
        <v>1000</v>
      </c>
      <c r="D63" s="13">
        <f>[2]S1!D64</f>
        <v>0</v>
      </c>
      <c r="E63" s="26">
        <f>[2]S1!E64</f>
        <v>400</v>
      </c>
      <c r="F63" s="26">
        <f>[2]S1!F64</f>
        <v>10</v>
      </c>
      <c r="G63" s="22">
        <f>[2]S1!G64</f>
        <v>0</v>
      </c>
      <c r="H63" s="22">
        <f>[2]S1!H64</f>
        <v>0</v>
      </c>
      <c r="I63" s="22">
        <f>[2]S1!I64</f>
        <v>110</v>
      </c>
      <c r="J63" s="13">
        <f>[2]S1!J64</f>
        <v>0</v>
      </c>
      <c r="K63" s="19">
        <f>[2]S1!K64</f>
        <v>520</v>
      </c>
      <c r="L63" s="52">
        <f>[2]S1!L64</f>
        <v>5499</v>
      </c>
      <c r="M63" s="58">
        <f>[2]S1!M64</f>
        <v>14</v>
      </c>
      <c r="N63" s="49">
        <f>[2]S1!P64</f>
        <v>9587963189</v>
      </c>
      <c r="O63" s="14"/>
    </row>
    <row r="64" spans="1:15" x14ac:dyDescent="0.3">
      <c r="A64" s="11">
        <v>3111</v>
      </c>
      <c r="B64" s="12" t="str">
        <f>[3]Name!E2115</f>
        <v>Ramkisor</v>
      </c>
      <c r="C64" s="13">
        <f>[2]S1!C65</f>
        <v>0</v>
      </c>
      <c r="D64" s="13">
        <f>[2]S1!D65</f>
        <v>0</v>
      </c>
      <c r="E64" s="26">
        <f>[2]S1!E65</f>
        <v>200</v>
      </c>
      <c r="F64" s="26">
        <f>[2]S1!F65</f>
        <v>0</v>
      </c>
      <c r="G64" s="22">
        <f>[2]S1!G65</f>
        <v>0</v>
      </c>
      <c r="H64" s="22">
        <f>[2]S1!H65</f>
        <v>0</v>
      </c>
      <c r="I64" s="22">
        <f>[2]S1!I65</f>
        <v>50</v>
      </c>
      <c r="J64" s="13">
        <f>[2]S1!J65</f>
        <v>0</v>
      </c>
      <c r="K64" s="19">
        <f>[2]S1!K65</f>
        <v>250</v>
      </c>
      <c r="L64" s="52">
        <f>[2]S1!L65</f>
        <v>5000</v>
      </c>
      <c r="M64" s="58">
        <f>[2]S1!M65</f>
        <v>2</v>
      </c>
      <c r="N64" s="49">
        <f>[2]S1!P65</f>
        <v>9509644420</v>
      </c>
      <c r="O64" s="14"/>
    </row>
    <row r="65" spans="1:15" x14ac:dyDescent="0.3">
      <c r="A65" s="11">
        <v>3112</v>
      </c>
      <c r="B65" s="12" t="str">
        <f>[3]Name!E2116</f>
        <v>Basu Kumari</v>
      </c>
      <c r="C65" s="13">
        <f>[2]S1!C66</f>
        <v>0</v>
      </c>
      <c r="D65" s="13">
        <f>[2]S1!D66</f>
        <v>0</v>
      </c>
      <c r="E65" s="26">
        <f>[2]S1!E66</f>
        <v>200</v>
      </c>
      <c r="F65" s="26">
        <f>[2]S1!F66</f>
        <v>0</v>
      </c>
      <c r="G65" s="22">
        <f>[2]S1!G66</f>
        <v>0</v>
      </c>
      <c r="H65" s="22">
        <f>[2]S1!H66</f>
        <v>0</v>
      </c>
      <c r="I65" s="22">
        <f>[2]S1!I66</f>
        <v>130</v>
      </c>
      <c r="J65" s="13">
        <f>[2]S1!J66</f>
        <v>0</v>
      </c>
      <c r="K65" s="19">
        <f>[2]S1!K66</f>
        <v>330</v>
      </c>
      <c r="L65" s="52">
        <f>[2]S1!L66</f>
        <v>13000</v>
      </c>
      <c r="M65" s="58">
        <f>[2]S1!M66</f>
        <v>2</v>
      </c>
      <c r="N65" s="49">
        <f>[2]S1!P66</f>
        <v>9509644420</v>
      </c>
      <c r="O65" s="14"/>
    </row>
    <row r="66" spans="1:15" x14ac:dyDescent="0.3">
      <c r="A66" s="11">
        <v>3113</v>
      </c>
      <c r="B66" s="12" t="str">
        <f>[3]Name!E2117</f>
        <v>Mamata Devi Meharda</v>
      </c>
      <c r="C66" s="13">
        <f>[2]S1!C67</f>
        <v>0</v>
      </c>
      <c r="D66" s="13">
        <f>[2]S1!D67</f>
        <v>0</v>
      </c>
      <c r="E66" s="26">
        <f>[2]S1!E67</f>
        <v>200</v>
      </c>
      <c r="F66" s="26">
        <f>[2]S1!F67</f>
        <v>0</v>
      </c>
      <c r="G66" s="22">
        <f>[2]S1!G67</f>
        <v>18000</v>
      </c>
      <c r="H66" s="22">
        <f>[2]S1!H67</f>
        <v>0</v>
      </c>
      <c r="I66" s="22">
        <f>[2]S1!I67</f>
        <v>180</v>
      </c>
      <c r="J66" s="13">
        <f>[2]S1!J67</f>
        <v>0</v>
      </c>
      <c r="K66" s="19">
        <f>[2]S1!K67</f>
        <v>18380</v>
      </c>
      <c r="L66" s="52">
        <f>[2]S1!L67</f>
        <v>18000</v>
      </c>
      <c r="M66" s="58">
        <f>[2]S1!M67</f>
        <v>6</v>
      </c>
      <c r="N66" s="49">
        <f>[2]S1!P67</f>
        <v>9694390502</v>
      </c>
      <c r="O66" s="14"/>
    </row>
    <row r="67" spans="1:15" x14ac:dyDescent="0.3">
      <c r="A67" s="11">
        <v>3114</v>
      </c>
      <c r="B67" s="12" t="str">
        <f>[3]Name!E2118</f>
        <v>Komal Kumari Meharda</v>
      </c>
      <c r="C67" s="13">
        <f>[2]S1!C68</f>
        <v>0</v>
      </c>
      <c r="D67" s="13">
        <f>[2]S1!D68</f>
        <v>0</v>
      </c>
      <c r="E67" s="26">
        <f>[2]S1!E68</f>
        <v>200</v>
      </c>
      <c r="F67" s="26">
        <f>[2]S1!F68</f>
        <v>0</v>
      </c>
      <c r="G67" s="22">
        <f>[2]S1!G68</f>
        <v>18000</v>
      </c>
      <c r="H67" s="22">
        <f>[2]S1!H68</f>
        <v>0</v>
      </c>
      <c r="I67" s="22">
        <f>[2]S1!I68</f>
        <v>180</v>
      </c>
      <c r="J67" s="13">
        <f>[2]S1!J68</f>
        <v>0</v>
      </c>
      <c r="K67" s="19">
        <f>[2]S1!K68</f>
        <v>18380</v>
      </c>
      <c r="L67" s="52">
        <f>[2]S1!L68</f>
        <v>18000</v>
      </c>
      <c r="M67" s="58">
        <f>[2]S1!M68</f>
        <v>6</v>
      </c>
      <c r="N67" s="49">
        <f>[2]S1!P68</f>
        <v>9694390502</v>
      </c>
      <c r="O67" s="14"/>
    </row>
    <row r="68" spans="1:15" x14ac:dyDescent="0.3">
      <c r="A68" s="11">
        <v>3115</v>
      </c>
      <c r="B68" s="12" t="str">
        <f>[3]Name!E2119</f>
        <v>Babu Lal Bari</v>
      </c>
      <c r="C68" s="13">
        <f>[2]S1!C69</f>
        <v>1000</v>
      </c>
      <c r="D68" s="13">
        <f>[2]S1!D69</f>
        <v>0</v>
      </c>
      <c r="E68" s="26">
        <f>[2]S1!E69</f>
        <v>195</v>
      </c>
      <c r="F68" s="26">
        <f>[2]S1!F69</f>
        <v>0</v>
      </c>
      <c r="G68" s="22">
        <f>[2]S1!G69</f>
        <v>1000</v>
      </c>
      <c r="H68" s="22">
        <f>[2]S1!H69</f>
        <v>0</v>
      </c>
      <c r="I68" s="22">
        <f>[2]S1!I69</f>
        <v>180</v>
      </c>
      <c r="J68" s="13">
        <f>[2]S1!J69</f>
        <v>0</v>
      </c>
      <c r="K68" s="19">
        <f>[2]S1!K69</f>
        <v>1375</v>
      </c>
      <c r="L68" s="52">
        <f>[2]S1!L69</f>
        <v>18000</v>
      </c>
      <c r="M68" s="58">
        <f>[2]S1!M69</f>
        <v>3</v>
      </c>
      <c r="N68" s="49">
        <f>[2]S1!P69</f>
        <v>9929861074</v>
      </c>
      <c r="O68" s="14"/>
    </row>
    <row r="69" spans="1:15" x14ac:dyDescent="0.3">
      <c r="A69" s="11">
        <v>3116</v>
      </c>
      <c r="B69" s="12" t="str">
        <f>[3]Name!E2120</f>
        <v>Sima Bari</v>
      </c>
      <c r="C69" s="13">
        <f>[2]S1!C70</f>
        <v>1000</v>
      </c>
      <c r="D69" s="13">
        <f>[2]S1!D70</f>
        <v>0</v>
      </c>
      <c r="E69" s="26">
        <f>[2]S1!E70</f>
        <v>200</v>
      </c>
      <c r="F69" s="26">
        <f>[2]S1!F70</f>
        <v>0</v>
      </c>
      <c r="G69" s="22">
        <f>[2]S1!G70</f>
        <v>1000</v>
      </c>
      <c r="H69" s="22">
        <f>[2]S1!H70</f>
        <v>0</v>
      </c>
      <c r="I69" s="22">
        <f>[2]S1!I70</f>
        <v>180</v>
      </c>
      <c r="J69" s="13">
        <f>[2]S1!J70</f>
        <v>0</v>
      </c>
      <c r="K69" s="19">
        <f>[2]S1!K70</f>
        <v>1380</v>
      </c>
      <c r="L69" s="52">
        <f>[2]S1!L70</f>
        <v>18000</v>
      </c>
      <c r="M69" s="58">
        <f>[2]S1!M70</f>
        <v>3</v>
      </c>
      <c r="N69" s="49">
        <f>[2]S1!P70</f>
        <v>9929861074</v>
      </c>
      <c r="O69" s="14"/>
    </row>
    <row r="70" spans="1:15" x14ac:dyDescent="0.3">
      <c r="A70" s="11">
        <v>3117</v>
      </c>
      <c r="B70" s="12" t="str">
        <f>[3]Name!E2121</f>
        <v>Ramchandr Dokhoriya</v>
      </c>
      <c r="C70" s="13">
        <f>[2]S1!C71</f>
        <v>500</v>
      </c>
      <c r="D70" s="13">
        <f>[2]S1!D71</f>
        <v>0</v>
      </c>
      <c r="E70" s="26">
        <f>[2]S1!E71</f>
        <v>200</v>
      </c>
      <c r="F70" s="26">
        <f>[2]S1!F71</f>
        <v>0</v>
      </c>
      <c r="G70" s="22">
        <f>[2]S1!G71</f>
        <v>500</v>
      </c>
      <c r="H70" s="22">
        <f>[2]S1!H71</f>
        <v>0</v>
      </c>
      <c r="I70" s="22">
        <f>[2]S1!I71</f>
        <v>580</v>
      </c>
      <c r="J70" s="13">
        <f>[2]S1!J71</f>
        <v>0</v>
      </c>
      <c r="K70" s="19">
        <f>[2]S1!K71</f>
        <v>1280</v>
      </c>
      <c r="L70" s="52">
        <f>[2]S1!L71</f>
        <v>58000</v>
      </c>
      <c r="M70" s="58">
        <f>[2]S1!M71</f>
        <v>5</v>
      </c>
      <c r="N70" s="49">
        <f>[2]S1!P71</f>
        <v>9982447051</v>
      </c>
      <c r="O70" s="14"/>
    </row>
    <row r="71" spans="1:15" x14ac:dyDescent="0.3">
      <c r="A71" s="11">
        <v>3118</v>
      </c>
      <c r="B71" s="12" t="str">
        <f>[3]Name!E2122</f>
        <v>palak Dokhoriya</v>
      </c>
      <c r="C71" s="13">
        <f>[2]S1!C72</f>
        <v>500</v>
      </c>
      <c r="D71" s="13">
        <f>[2]S1!D72</f>
        <v>0</v>
      </c>
      <c r="E71" s="26">
        <f>[2]S1!E72</f>
        <v>200</v>
      </c>
      <c r="F71" s="26">
        <f>[2]S1!F72</f>
        <v>0</v>
      </c>
      <c r="G71" s="22">
        <f>[2]S1!G72</f>
        <v>500</v>
      </c>
      <c r="H71" s="22">
        <f>[2]S1!H72</f>
        <v>0</v>
      </c>
      <c r="I71" s="22">
        <f>[2]S1!I72</f>
        <v>580</v>
      </c>
      <c r="J71" s="13">
        <f>[2]S1!J72</f>
        <v>0</v>
      </c>
      <c r="K71" s="19">
        <f>[2]S1!K72</f>
        <v>1280</v>
      </c>
      <c r="L71" s="52">
        <f>[2]S1!L72</f>
        <v>58000</v>
      </c>
      <c r="M71" s="58">
        <f>[2]S1!M72</f>
        <v>5</v>
      </c>
      <c r="N71" s="49">
        <f>[2]S1!P72</f>
        <v>9982447051</v>
      </c>
      <c r="O71" s="14"/>
    </row>
    <row r="72" spans="1:15" x14ac:dyDescent="0.3">
      <c r="A72" s="11">
        <v>3119</v>
      </c>
      <c r="B72" s="12" t="str">
        <f>[3]Name!E2123</f>
        <v>Rahul Kumar Dokhoriya</v>
      </c>
      <c r="C72" s="13">
        <f>[2]S1!C73</f>
        <v>500</v>
      </c>
      <c r="D72" s="13">
        <f>[2]S1!D73</f>
        <v>0</v>
      </c>
      <c r="E72" s="26">
        <f>[2]S1!E73</f>
        <v>200</v>
      </c>
      <c r="F72" s="26">
        <f>[2]S1!F73</f>
        <v>0</v>
      </c>
      <c r="G72" s="22">
        <f>[2]S1!G73</f>
        <v>500</v>
      </c>
      <c r="H72" s="22">
        <f>[2]S1!H73</f>
        <v>0</v>
      </c>
      <c r="I72" s="22">
        <f>[2]S1!I73</f>
        <v>580</v>
      </c>
      <c r="J72" s="13">
        <f>[2]S1!J73</f>
        <v>0</v>
      </c>
      <c r="K72" s="19">
        <f>[2]S1!K73</f>
        <v>1280</v>
      </c>
      <c r="L72" s="52">
        <f>[2]S1!L73</f>
        <v>58000</v>
      </c>
      <c r="M72" s="58">
        <f>[2]S1!M73</f>
        <v>5</v>
      </c>
      <c r="N72" s="49">
        <f>[2]S1!P73</f>
        <v>9982447051</v>
      </c>
      <c r="O72" s="14"/>
    </row>
    <row r="73" spans="1:15" x14ac:dyDescent="0.3">
      <c r="A73" s="11">
        <v>3120</v>
      </c>
      <c r="B73" s="12" t="str">
        <f>[3]Name!E2124</f>
        <v>Payal kumari Dokhoriya</v>
      </c>
      <c r="C73" s="13">
        <f>[2]S1!C74</f>
        <v>500</v>
      </c>
      <c r="D73" s="13">
        <f>[2]S1!D74</f>
        <v>0</v>
      </c>
      <c r="E73" s="26">
        <f>[2]S1!E74</f>
        <v>200</v>
      </c>
      <c r="F73" s="26">
        <f>[2]S1!F74</f>
        <v>0</v>
      </c>
      <c r="G73" s="22">
        <f>[2]S1!G74</f>
        <v>500</v>
      </c>
      <c r="H73" s="22">
        <f>[2]S1!H74</f>
        <v>0</v>
      </c>
      <c r="I73" s="22">
        <f>[2]S1!I74</f>
        <v>580</v>
      </c>
      <c r="J73" s="13">
        <f>[2]S1!J74</f>
        <v>0</v>
      </c>
      <c r="K73" s="19">
        <f>[2]S1!K74</f>
        <v>1280</v>
      </c>
      <c r="L73" s="52">
        <f>[2]S1!L74</f>
        <v>58000</v>
      </c>
      <c r="M73" s="58">
        <f>[2]S1!M74</f>
        <v>5</v>
      </c>
      <c r="N73" s="49">
        <f>[2]S1!P74</f>
        <v>9982447051</v>
      </c>
      <c r="O73" s="14"/>
    </row>
    <row r="74" spans="1:15" x14ac:dyDescent="0.3">
      <c r="A74" s="11">
        <v>3121</v>
      </c>
      <c r="B74" s="12" t="str">
        <f>[3]Name!E2125</f>
        <v>Palak Kumari Dokhoriya</v>
      </c>
      <c r="C74" s="13">
        <f>[2]S1!C75</f>
        <v>500</v>
      </c>
      <c r="D74" s="13">
        <f>[2]S1!D75</f>
        <v>0</v>
      </c>
      <c r="E74" s="26">
        <f>[2]S1!E75</f>
        <v>200</v>
      </c>
      <c r="F74" s="26">
        <f>[2]S1!F75</f>
        <v>0</v>
      </c>
      <c r="G74" s="22">
        <f>[2]S1!G75</f>
        <v>500</v>
      </c>
      <c r="H74" s="22">
        <f>[2]S1!H75</f>
        <v>0</v>
      </c>
      <c r="I74" s="22">
        <f>[2]S1!I75</f>
        <v>580</v>
      </c>
      <c r="J74" s="13">
        <f>[2]S1!J75</f>
        <v>0</v>
      </c>
      <c r="K74" s="19">
        <f>[2]S1!K75</f>
        <v>1280</v>
      </c>
      <c r="L74" s="52">
        <f>[2]S1!L75</f>
        <v>58000</v>
      </c>
      <c r="M74" s="58">
        <f>[2]S1!M75</f>
        <v>5</v>
      </c>
      <c r="N74" s="49">
        <f>[2]S1!P75</f>
        <v>9982447051</v>
      </c>
      <c r="O74" s="14"/>
    </row>
    <row r="75" spans="1:15" x14ac:dyDescent="0.3">
      <c r="A75" s="11">
        <v>3122</v>
      </c>
      <c r="B75" s="12" t="str">
        <f>[3]Name!E2126</f>
        <v>Rahul Kumar Dokhoriya</v>
      </c>
      <c r="C75" s="13">
        <f>[2]S1!C76</f>
        <v>500</v>
      </c>
      <c r="D75" s="13">
        <f>[2]S1!D76</f>
        <v>0</v>
      </c>
      <c r="E75" s="26">
        <f>[2]S1!E76</f>
        <v>200</v>
      </c>
      <c r="F75" s="26">
        <f>[2]S1!F76</f>
        <v>0</v>
      </c>
      <c r="G75" s="22">
        <f>[2]S1!G76</f>
        <v>500</v>
      </c>
      <c r="H75" s="22">
        <f>[2]S1!H76</f>
        <v>0</v>
      </c>
      <c r="I75" s="22">
        <f>[2]S1!I76</f>
        <v>580</v>
      </c>
      <c r="J75" s="13">
        <f>[2]S1!J76</f>
        <v>0</v>
      </c>
      <c r="K75" s="19">
        <f>[2]S1!K76</f>
        <v>1280</v>
      </c>
      <c r="L75" s="52">
        <f>[2]S1!L76</f>
        <v>58000</v>
      </c>
      <c r="M75" s="58">
        <f>[2]S1!M76</f>
        <v>5</v>
      </c>
      <c r="N75" s="49">
        <f>[2]S1!P76</f>
        <v>9982447051</v>
      </c>
      <c r="O75" s="14"/>
    </row>
    <row r="76" spans="1:15" x14ac:dyDescent="0.3">
      <c r="A76" s="11">
        <v>3123</v>
      </c>
      <c r="B76" s="12" t="str">
        <f>[3]Name!E2127</f>
        <v>Jagadish Kumar Dokhoriya</v>
      </c>
      <c r="C76" s="13">
        <f>[2]S1!C77</f>
        <v>500</v>
      </c>
      <c r="D76" s="13">
        <f>[2]S1!D77</f>
        <v>0</v>
      </c>
      <c r="E76" s="26">
        <f>[2]S1!E77</f>
        <v>200</v>
      </c>
      <c r="F76" s="26">
        <f>[2]S1!F77</f>
        <v>0</v>
      </c>
      <c r="G76" s="22">
        <f>[2]S1!G77</f>
        <v>0</v>
      </c>
      <c r="H76" s="22">
        <f>[2]S1!H77</f>
        <v>0</v>
      </c>
      <c r="I76" s="22">
        <f>[2]S1!I77</f>
        <v>265</v>
      </c>
      <c r="J76" s="13">
        <f>[2]S1!J77</f>
        <v>0</v>
      </c>
      <c r="K76" s="19">
        <f>[2]S1!K77</f>
        <v>465</v>
      </c>
      <c r="L76" s="52">
        <f>[2]S1!L77</f>
        <v>26500</v>
      </c>
      <c r="M76" s="58">
        <f>[2]S1!M77</f>
        <v>7</v>
      </c>
      <c r="N76" s="49">
        <f>[2]S1!P77</f>
        <v>9982447051</v>
      </c>
      <c r="O76" s="14"/>
    </row>
    <row r="77" spans="1:15" x14ac:dyDescent="0.3">
      <c r="A77" s="11">
        <v>3124</v>
      </c>
      <c r="B77" s="12" t="str">
        <f>[3]Name!E2128</f>
        <v>Gulab devi Meharda</v>
      </c>
      <c r="C77" s="13">
        <f>[2]S1!C78</f>
        <v>0</v>
      </c>
      <c r="D77" s="13">
        <f>[2]S1!D78</f>
        <v>0</v>
      </c>
      <c r="E77" s="26">
        <f>[2]S1!E78</f>
        <v>0</v>
      </c>
      <c r="F77" s="26">
        <f>[2]S1!F78</f>
        <v>0</v>
      </c>
      <c r="G77" s="22">
        <f>[2]S1!G78</f>
        <v>0</v>
      </c>
      <c r="H77" s="22">
        <f>[2]S1!H78</f>
        <v>0</v>
      </c>
      <c r="I77" s="22">
        <f>[2]S1!I78</f>
        <v>0</v>
      </c>
      <c r="J77" s="13">
        <f>[2]S1!J78</f>
        <v>0</v>
      </c>
      <c r="K77" s="19">
        <f>[2]S1!K78</f>
        <v>0</v>
      </c>
      <c r="L77" s="52">
        <f>[2]S1!L78</f>
        <v>0</v>
      </c>
      <c r="M77" s="58">
        <f>[2]S1!M78</f>
        <v>0</v>
      </c>
      <c r="N77" s="49">
        <f>[2]S1!P78</f>
        <v>8769411411</v>
      </c>
      <c r="O77" s="14"/>
    </row>
    <row r="78" spans="1:15" x14ac:dyDescent="0.3">
      <c r="A78" s="11">
        <v>3125</v>
      </c>
      <c r="B78" s="12" t="str">
        <f>[3]Name!E2129</f>
        <v>Ram Kumar Meharda</v>
      </c>
      <c r="C78" s="13">
        <f>[2]S1!C79</f>
        <v>0</v>
      </c>
      <c r="D78" s="13">
        <f>[2]S1!D79</f>
        <v>0</v>
      </c>
      <c r="E78" s="26">
        <f>[2]S1!E79</f>
        <v>0</v>
      </c>
      <c r="F78" s="26">
        <f>[2]S1!F79</f>
        <v>0</v>
      </c>
      <c r="G78" s="22">
        <f>[2]S1!G79</f>
        <v>0</v>
      </c>
      <c r="H78" s="22">
        <f>[2]S1!H79</f>
        <v>0</v>
      </c>
      <c r="I78" s="22">
        <f>[2]S1!I79</f>
        <v>0</v>
      </c>
      <c r="J78" s="13">
        <f>[2]S1!J79</f>
        <v>0</v>
      </c>
      <c r="K78" s="19">
        <f>[2]S1!K79</f>
        <v>0</v>
      </c>
      <c r="L78" s="52">
        <f>[2]S1!L79</f>
        <v>0</v>
      </c>
      <c r="M78" s="58">
        <f>[2]S1!M79</f>
        <v>0</v>
      </c>
      <c r="N78" s="49">
        <f>[2]S1!P79</f>
        <v>8769411411</v>
      </c>
      <c r="O78" s="14"/>
    </row>
    <row r="79" spans="1:15" x14ac:dyDescent="0.3">
      <c r="A79" s="11">
        <v>3126</v>
      </c>
      <c r="B79" s="12" t="str">
        <f>[3]Name!E2130</f>
        <v>Manju Devi Meharda</v>
      </c>
      <c r="C79" s="13">
        <f>[2]S1!C80</f>
        <v>0</v>
      </c>
      <c r="D79" s="13">
        <f>[2]S1!D80</f>
        <v>0</v>
      </c>
      <c r="E79" s="26">
        <f>[2]S1!E80</f>
        <v>0</v>
      </c>
      <c r="F79" s="26">
        <f>[2]S1!F80</f>
        <v>0</v>
      </c>
      <c r="G79" s="22">
        <f>[2]S1!G80</f>
        <v>0</v>
      </c>
      <c r="H79" s="22">
        <f>[2]S1!H80</f>
        <v>0</v>
      </c>
      <c r="I79" s="22">
        <f>[2]S1!I80</f>
        <v>0</v>
      </c>
      <c r="J79" s="13">
        <f>[2]S1!J80</f>
        <v>0</v>
      </c>
      <c r="K79" s="19">
        <f>[2]S1!K80</f>
        <v>0</v>
      </c>
      <c r="L79" s="52">
        <f>[2]S1!L80</f>
        <v>0</v>
      </c>
      <c r="M79" s="58">
        <f>[2]S1!M80</f>
        <v>0</v>
      </c>
      <c r="N79" s="49">
        <f>[2]S1!P80</f>
        <v>8769411411</v>
      </c>
      <c r="O79" s="14"/>
    </row>
    <row r="80" spans="1:15" x14ac:dyDescent="0.3">
      <c r="A80" s="11">
        <v>3127</v>
      </c>
      <c r="B80" s="12" t="str">
        <f>[3]Name!E2131</f>
        <v>Rekha Kumari Meharda</v>
      </c>
      <c r="C80" s="13">
        <f>[2]S1!C81</f>
        <v>0</v>
      </c>
      <c r="D80" s="13">
        <f>[2]S1!D81</f>
        <v>0</v>
      </c>
      <c r="E80" s="26">
        <f>[2]S1!E81</f>
        <v>0</v>
      </c>
      <c r="F80" s="26">
        <f>[2]S1!F81</f>
        <v>0</v>
      </c>
      <c r="G80" s="22">
        <f>[2]S1!G81</f>
        <v>0</v>
      </c>
      <c r="H80" s="22">
        <f>[2]S1!H81</f>
        <v>0</v>
      </c>
      <c r="I80" s="22">
        <f>[2]S1!I81</f>
        <v>0</v>
      </c>
      <c r="J80" s="13">
        <f>[2]S1!J81</f>
        <v>0</v>
      </c>
      <c r="K80" s="19">
        <f>[2]S1!K81</f>
        <v>0</v>
      </c>
      <c r="L80" s="52">
        <f>[2]S1!L81</f>
        <v>0</v>
      </c>
      <c r="M80" s="58">
        <f>[2]S1!M81</f>
        <v>0</v>
      </c>
      <c r="N80" s="49">
        <f>[2]S1!P81</f>
        <v>8769411411</v>
      </c>
      <c r="O80" s="14"/>
    </row>
    <row r="81" spans="1:15" x14ac:dyDescent="0.3">
      <c r="A81" s="11">
        <v>3128</v>
      </c>
      <c r="B81" s="12" t="str">
        <f>[3]Name!E2132</f>
        <v>Avinash Meharda</v>
      </c>
      <c r="C81" s="13">
        <f>[2]S1!C82</f>
        <v>0</v>
      </c>
      <c r="D81" s="13">
        <f>[2]S1!D82</f>
        <v>0</v>
      </c>
      <c r="E81" s="26">
        <f>[2]S1!E82</f>
        <v>0</v>
      </c>
      <c r="F81" s="26">
        <f>[2]S1!F82</f>
        <v>0</v>
      </c>
      <c r="G81" s="22">
        <f>[2]S1!G82</f>
        <v>0</v>
      </c>
      <c r="H81" s="22">
        <f>[2]S1!H82</f>
        <v>0</v>
      </c>
      <c r="I81" s="22">
        <f>[2]S1!I82</f>
        <v>0</v>
      </c>
      <c r="J81" s="13">
        <f>[2]S1!J82</f>
        <v>0</v>
      </c>
      <c r="K81" s="19">
        <f>[2]S1!K82</f>
        <v>0</v>
      </c>
      <c r="L81" s="52">
        <f>[2]S1!L82</f>
        <v>0</v>
      </c>
      <c r="M81" s="58">
        <f>[2]S1!M82</f>
        <v>0</v>
      </c>
      <c r="N81" s="49">
        <f>[2]S1!P82</f>
        <v>8769411411</v>
      </c>
      <c r="O81" s="14"/>
    </row>
    <row r="82" spans="1:15" x14ac:dyDescent="0.3">
      <c r="A82" s="11">
        <v>3129</v>
      </c>
      <c r="B82" s="12" t="str">
        <f>[3]Name!E2133</f>
        <v>Mohan Lal Khardiya</v>
      </c>
      <c r="C82" s="13">
        <f>[2]S1!C83</f>
        <v>1000</v>
      </c>
      <c r="D82" s="13">
        <f>[2]S1!D83</f>
        <v>0</v>
      </c>
      <c r="E82" s="26">
        <f>[2]S1!E83</f>
        <v>200</v>
      </c>
      <c r="F82" s="26">
        <f>[2]S1!F83</f>
        <v>0</v>
      </c>
      <c r="G82" s="22">
        <f>[2]S1!G83</f>
        <v>156</v>
      </c>
      <c r="H82" s="22">
        <f>[2]S1!H83</f>
        <v>0</v>
      </c>
      <c r="I82" s="22">
        <f>[2]S1!I83</f>
        <v>172</v>
      </c>
      <c r="J82" s="13">
        <f>[2]S1!J83</f>
        <v>0</v>
      </c>
      <c r="K82" s="19">
        <f>[2]S1!K83</f>
        <v>528</v>
      </c>
      <c r="L82" s="52">
        <f>[2]S1!L83</f>
        <v>17156</v>
      </c>
      <c r="M82" s="58">
        <f>[2]S1!M83</f>
        <v>3</v>
      </c>
      <c r="N82" s="49">
        <f>[2]S1!P83</f>
        <v>8559873879</v>
      </c>
      <c r="O82" s="14"/>
    </row>
    <row r="83" spans="1:15" x14ac:dyDescent="0.3">
      <c r="A83" s="11">
        <v>3130</v>
      </c>
      <c r="B83" s="12" t="str">
        <f>[3]Name!E2134</f>
        <v>Gora Kumari Khardiya</v>
      </c>
      <c r="C83" s="13">
        <f>[2]S1!C84</f>
        <v>1000</v>
      </c>
      <c r="D83" s="13">
        <f>[2]S1!D84</f>
        <v>0</v>
      </c>
      <c r="E83" s="26">
        <f>[2]S1!E84</f>
        <v>200</v>
      </c>
      <c r="F83" s="26">
        <f>[2]S1!F84</f>
        <v>0</v>
      </c>
      <c r="G83" s="22">
        <f>[2]S1!G84</f>
        <v>1000</v>
      </c>
      <c r="H83" s="22">
        <f>[2]S1!H84</f>
        <v>0</v>
      </c>
      <c r="I83" s="22">
        <f>[2]S1!I84</f>
        <v>180</v>
      </c>
      <c r="J83" s="13">
        <f>[2]S1!J84</f>
        <v>0</v>
      </c>
      <c r="K83" s="19">
        <f>[2]S1!K84</f>
        <v>1380</v>
      </c>
      <c r="L83" s="52">
        <f>[2]S1!L84</f>
        <v>18000</v>
      </c>
      <c r="M83" s="58">
        <f>[2]S1!M84</f>
        <v>3</v>
      </c>
      <c r="N83" s="49">
        <f>[2]S1!P84</f>
        <v>8559873879</v>
      </c>
      <c r="O83" s="14"/>
    </row>
    <row r="84" spans="1:15" x14ac:dyDescent="0.3">
      <c r="A84" s="11">
        <v>3131</v>
      </c>
      <c r="B84" s="12" t="str">
        <f>[3]Name!E2135</f>
        <v>Prahalad Ladana</v>
      </c>
      <c r="C84" s="13">
        <f>[2]S1!C85</f>
        <v>0</v>
      </c>
      <c r="D84" s="13">
        <f>[2]S1!D85</f>
        <v>0</v>
      </c>
      <c r="E84" s="26">
        <f>[2]S1!E85</f>
        <v>200</v>
      </c>
      <c r="F84" s="26">
        <f>[2]S1!F85</f>
        <v>0</v>
      </c>
      <c r="G84" s="22">
        <f>[2]S1!G85</f>
        <v>0</v>
      </c>
      <c r="H84" s="22">
        <f>[2]S1!H85</f>
        <v>0</v>
      </c>
      <c r="I84" s="22">
        <f>[2]S1!I85</f>
        <v>130</v>
      </c>
      <c r="J84" s="13">
        <f>[2]S1!J85</f>
        <v>0</v>
      </c>
      <c r="K84" s="19">
        <f>[2]S1!K85</f>
        <v>330</v>
      </c>
      <c r="L84" s="52">
        <f>[2]S1!L85</f>
        <v>13000</v>
      </c>
      <c r="M84" s="58">
        <f>[2]S1!M85</f>
        <v>3</v>
      </c>
      <c r="N84" s="49">
        <f>[2]S1!P85</f>
        <v>9828072198</v>
      </c>
      <c r="O84" s="14"/>
    </row>
    <row r="85" spans="1:15" x14ac:dyDescent="0.3">
      <c r="A85" s="11">
        <v>3132</v>
      </c>
      <c r="B85" s="12" t="str">
        <f>[3]Name!E2136</f>
        <v>Vimala Devi Ladana</v>
      </c>
      <c r="C85" s="13">
        <f>[2]S1!C86</f>
        <v>0</v>
      </c>
      <c r="D85" s="13">
        <f>[2]S1!D86</f>
        <v>0</v>
      </c>
      <c r="E85" s="26">
        <f>[2]S1!E86</f>
        <v>200</v>
      </c>
      <c r="F85" s="26">
        <f>[2]S1!F86</f>
        <v>0</v>
      </c>
      <c r="G85" s="22">
        <f>[2]S1!G86</f>
        <v>0</v>
      </c>
      <c r="H85" s="22">
        <f>[2]S1!H86</f>
        <v>0</v>
      </c>
      <c r="I85" s="22">
        <f>[2]S1!I86</f>
        <v>90</v>
      </c>
      <c r="J85" s="13">
        <f>[2]S1!J86</f>
        <v>0</v>
      </c>
      <c r="K85" s="19">
        <f>[2]S1!K86</f>
        <v>290</v>
      </c>
      <c r="L85" s="52">
        <f>[2]S1!L86</f>
        <v>9000</v>
      </c>
      <c r="M85" s="58">
        <f>[2]S1!M86</f>
        <v>3</v>
      </c>
      <c r="N85" s="49">
        <f>[2]S1!P86</f>
        <v>9828072198</v>
      </c>
      <c r="O85" s="14"/>
    </row>
    <row r="86" spans="1:15" x14ac:dyDescent="0.3">
      <c r="A86" s="11">
        <v>3133</v>
      </c>
      <c r="B86" s="12" t="str">
        <f>[3]Name!E2137</f>
        <v>Manoj Kumar Bunkar</v>
      </c>
      <c r="C86" s="13">
        <f>[2]S1!C87</f>
        <v>0</v>
      </c>
      <c r="D86" s="13">
        <f>[2]S1!D87</f>
        <v>0</v>
      </c>
      <c r="E86" s="26">
        <f>[2]S1!E87</f>
        <v>200</v>
      </c>
      <c r="F86" s="26">
        <f>[2]S1!F87</f>
        <v>0</v>
      </c>
      <c r="G86" s="22">
        <f>[2]S1!G87</f>
        <v>18000</v>
      </c>
      <c r="H86" s="22">
        <f>[2]S1!H87</f>
        <v>0</v>
      </c>
      <c r="I86" s="22">
        <f>[2]S1!I87</f>
        <v>180</v>
      </c>
      <c r="J86" s="13">
        <f>[2]S1!J87</f>
        <v>0</v>
      </c>
      <c r="K86" s="19">
        <f>[2]S1!K87</f>
        <v>18380</v>
      </c>
      <c r="L86" s="52">
        <f>[2]S1!L87</f>
        <v>18000</v>
      </c>
      <c r="M86" s="58">
        <f>[2]S1!M87</f>
        <v>6</v>
      </c>
      <c r="N86" s="49">
        <f>[2]S1!P87</f>
        <v>9785280999</v>
      </c>
      <c r="O86" s="14"/>
    </row>
    <row r="87" spans="1:15" x14ac:dyDescent="0.3">
      <c r="A87" s="11">
        <v>3134</v>
      </c>
      <c r="B87" s="12" t="str">
        <f>[3]Name!E2138</f>
        <v>Badam Devi  Maharda</v>
      </c>
      <c r="C87" s="13">
        <f>[2]S1!C88</f>
        <v>0</v>
      </c>
      <c r="D87" s="13">
        <f>[2]S1!D88</f>
        <v>0</v>
      </c>
      <c r="E87" s="26">
        <f>[2]S1!E88</f>
        <v>200</v>
      </c>
      <c r="F87" s="26">
        <f>[2]S1!F88</f>
        <v>0</v>
      </c>
      <c r="G87" s="22">
        <f>[2]S1!G88</f>
        <v>14622</v>
      </c>
      <c r="H87" s="22">
        <f>[2]S1!H88</f>
        <v>0</v>
      </c>
      <c r="I87" s="22">
        <f>[2]S1!I88</f>
        <v>146</v>
      </c>
      <c r="J87" s="13">
        <f>[2]S1!J88</f>
        <v>0</v>
      </c>
      <c r="K87" s="19">
        <f>[2]S1!K88</f>
        <v>14968</v>
      </c>
      <c r="L87" s="52">
        <f>[2]S1!L88</f>
        <v>14622</v>
      </c>
      <c r="M87" s="58">
        <f>[2]S1!M88</f>
        <v>6</v>
      </c>
      <c r="N87" s="49">
        <f>[2]S1!P88</f>
        <v>9785280999</v>
      </c>
      <c r="O87" s="14"/>
    </row>
    <row r="88" spans="1:15" x14ac:dyDescent="0.3">
      <c r="A88" s="11">
        <v>3135</v>
      </c>
      <c r="B88" s="12" t="str">
        <f>[3]Name!E2139</f>
        <v>Pinki Bunkar</v>
      </c>
      <c r="C88" s="13">
        <f>[2]S1!C89</f>
        <v>0</v>
      </c>
      <c r="D88" s="13">
        <f>[2]S1!D89</f>
        <v>0</v>
      </c>
      <c r="E88" s="26">
        <f>[2]S1!E89</f>
        <v>200</v>
      </c>
      <c r="F88" s="26">
        <f>[2]S1!F89</f>
        <v>0</v>
      </c>
      <c r="G88" s="22">
        <f>[2]S1!G89</f>
        <v>0</v>
      </c>
      <c r="H88" s="22">
        <f>[2]S1!H89</f>
        <v>0</v>
      </c>
      <c r="I88" s="22">
        <f>[2]S1!I89</f>
        <v>0</v>
      </c>
      <c r="J88" s="13">
        <f>[2]S1!J89</f>
        <v>0</v>
      </c>
      <c r="K88" s="19">
        <f>[2]S1!K89</f>
        <v>200</v>
      </c>
      <c r="L88" s="52">
        <f>[2]S1!L89</f>
        <v>0</v>
      </c>
      <c r="M88" s="58">
        <f>[2]S1!M89</f>
        <v>0</v>
      </c>
      <c r="N88" s="49">
        <f>[2]S1!P89</f>
        <v>9785280999</v>
      </c>
      <c r="O88" s="14"/>
    </row>
    <row r="89" spans="1:15" x14ac:dyDescent="0.3">
      <c r="A89" s="11">
        <v>3136</v>
      </c>
      <c r="B89" s="12" t="str">
        <f>[3]Name!E2140</f>
        <v>Nikhil Kumar Bunkar</v>
      </c>
      <c r="C89" s="13">
        <f>[2]S1!C90</f>
        <v>0</v>
      </c>
      <c r="D89" s="13">
        <f>[2]S1!D90</f>
        <v>0</v>
      </c>
      <c r="E89" s="26">
        <f>[2]S1!E90</f>
        <v>200</v>
      </c>
      <c r="F89" s="26">
        <f>[2]S1!F90</f>
        <v>0</v>
      </c>
      <c r="G89" s="22">
        <f>[2]S1!G90</f>
        <v>0</v>
      </c>
      <c r="H89" s="22">
        <f>[2]S1!H90</f>
        <v>0</v>
      </c>
      <c r="I89" s="22">
        <f>[2]S1!I90</f>
        <v>0</v>
      </c>
      <c r="J89" s="13">
        <f>[2]S1!J90</f>
        <v>0</v>
      </c>
      <c r="K89" s="19">
        <f>[2]S1!K90</f>
        <v>200</v>
      </c>
      <c r="L89" s="52">
        <f>[2]S1!L90</f>
        <v>0</v>
      </c>
      <c r="M89" s="58">
        <f>[2]S1!M90</f>
        <v>0</v>
      </c>
      <c r="N89" s="49">
        <f>[2]S1!P90</f>
        <v>9785280999</v>
      </c>
      <c r="O89" s="14"/>
    </row>
    <row r="90" spans="1:15" x14ac:dyDescent="0.3">
      <c r="A90" s="11">
        <v>3137</v>
      </c>
      <c r="B90" s="12" t="str">
        <f>[3]Name!E2141</f>
        <v>Nitu Varma</v>
      </c>
      <c r="C90" s="13">
        <f>[2]S1!C91</f>
        <v>1000</v>
      </c>
      <c r="D90" s="13">
        <f>[2]S1!D91</f>
        <v>0</v>
      </c>
      <c r="E90" s="26">
        <f>[2]S1!E91</f>
        <v>0</v>
      </c>
      <c r="F90" s="26">
        <f>[2]S1!F91</f>
        <v>0</v>
      </c>
      <c r="G90" s="22">
        <f>[2]S1!G91</f>
        <v>0</v>
      </c>
      <c r="H90" s="22">
        <f>[2]S1!H91</f>
        <v>0</v>
      </c>
      <c r="I90" s="22">
        <f>[2]S1!I91</f>
        <v>150</v>
      </c>
      <c r="J90" s="13">
        <f>[2]S1!J91</f>
        <v>0</v>
      </c>
      <c r="K90" s="19">
        <f>[2]S1!K91</f>
        <v>150</v>
      </c>
      <c r="L90" s="52">
        <f>[2]S1!L91</f>
        <v>14999</v>
      </c>
      <c r="M90" s="58">
        <f>[2]S1!M91</f>
        <v>1</v>
      </c>
      <c r="N90" s="49">
        <f>[2]S1!P91</f>
        <v>9352904021</v>
      </c>
      <c r="O90" s="14"/>
    </row>
    <row r="91" spans="1:15" x14ac:dyDescent="0.3">
      <c r="A91" s="11">
        <v>3138</v>
      </c>
      <c r="B91" s="12" t="str">
        <f>[3]Name!E2142</f>
        <v>Annu Varma</v>
      </c>
      <c r="C91" s="13">
        <f>[2]S1!C92</f>
        <v>0</v>
      </c>
      <c r="D91" s="13">
        <f>[2]S1!D92</f>
        <v>0</v>
      </c>
      <c r="E91" s="26">
        <f>[2]S1!E92</f>
        <v>0</v>
      </c>
      <c r="F91" s="26">
        <f>[2]S1!F92</f>
        <v>0</v>
      </c>
      <c r="G91" s="22">
        <f>[2]S1!G92</f>
        <v>0</v>
      </c>
      <c r="H91" s="22">
        <f>[2]S1!H92</f>
        <v>0</v>
      </c>
      <c r="I91" s="22">
        <f>[2]S1!I92</f>
        <v>150</v>
      </c>
      <c r="J91" s="13">
        <f>[2]S1!J92</f>
        <v>0</v>
      </c>
      <c r="K91" s="19">
        <f>[2]S1!K92</f>
        <v>150</v>
      </c>
      <c r="L91" s="52">
        <f>[2]S1!L92</f>
        <v>15000</v>
      </c>
      <c r="M91" s="58">
        <f>[2]S1!M92</f>
        <v>1</v>
      </c>
      <c r="N91" s="49">
        <f>[2]S1!P92</f>
        <v>9352904021</v>
      </c>
      <c r="O91" s="14"/>
    </row>
    <row r="92" spans="1:15" x14ac:dyDescent="0.3">
      <c r="A92" s="11">
        <v>3139</v>
      </c>
      <c r="B92" s="12" t="str">
        <f>[3]Name!E2143</f>
        <v>Ladu Ram Bhati</v>
      </c>
      <c r="C92" s="13">
        <f>[2]S1!C93</f>
        <v>0</v>
      </c>
      <c r="D92" s="13">
        <f>[2]S1!D93</f>
        <v>0</v>
      </c>
      <c r="E92" s="26">
        <f>[2]S1!E93</f>
        <v>200</v>
      </c>
      <c r="F92" s="26">
        <f>[2]S1!F93</f>
        <v>0</v>
      </c>
      <c r="G92" s="22">
        <f>[2]S1!G93</f>
        <v>0</v>
      </c>
      <c r="H92" s="22">
        <f>[2]S1!H93</f>
        <v>0</v>
      </c>
      <c r="I92" s="22">
        <f>[2]S1!I93</f>
        <v>0</v>
      </c>
      <c r="J92" s="13">
        <f>[2]S1!J93</f>
        <v>0</v>
      </c>
      <c r="K92" s="19">
        <f>[2]S1!K93</f>
        <v>200</v>
      </c>
      <c r="L92" s="52">
        <f>[2]S1!L93</f>
        <v>0</v>
      </c>
      <c r="M92" s="58">
        <f>[2]S1!M93</f>
        <v>0</v>
      </c>
      <c r="N92" s="49">
        <f>[2]S1!P93</f>
        <v>9983266659</v>
      </c>
      <c r="O92" s="14"/>
    </row>
    <row r="93" spans="1:15" x14ac:dyDescent="0.3">
      <c r="A93" s="11">
        <v>3140</v>
      </c>
      <c r="B93" s="12" t="str">
        <f>[3]Name!E2144</f>
        <v>Kiran Kumari Bhati</v>
      </c>
      <c r="C93" s="13">
        <f>[2]S1!C94</f>
        <v>0</v>
      </c>
      <c r="D93" s="13">
        <f>[2]S1!D94</f>
        <v>0</v>
      </c>
      <c r="E93" s="26">
        <f>[2]S1!E94</f>
        <v>200</v>
      </c>
      <c r="F93" s="26">
        <f>[2]S1!F94</f>
        <v>0</v>
      </c>
      <c r="G93" s="22">
        <f>[2]S1!G94</f>
        <v>12732</v>
      </c>
      <c r="H93" s="22">
        <f>[2]S1!H94</f>
        <v>0</v>
      </c>
      <c r="I93" s="22">
        <f>[2]S1!I94</f>
        <v>127</v>
      </c>
      <c r="J93" s="13">
        <f>[2]S1!J94</f>
        <v>0</v>
      </c>
      <c r="K93" s="19">
        <f>[2]S1!K94</f>
        <v>13059</v>
      </c>
      <c r="L93" s="52">
        <f>[2]S1!L94</f>
        <v>12732</v>
      </c>
      <c r="M93" s="58">
        <f>[2]S1!M94</f>
        <v>6</v>
      </c>
      <c r="N93" s="49">
        <f>[2]S1!P94</f>
        <v>9983266659</v>
      </c>
      <c r="O93" s="14"/>
    </row>
    <row r="94" spans="1:15" x14ac:dyDescent="0.3">
      <c r="A94" s="11">
        <v>3141</v>
      </c>
      <c r="B94" s="12" t="str">
        <f>[3]Name!E2145</f>
        <v>Harsit Kumar Surela</v>
      </c>
      <c r="C94" s="13">
        <f>[2]S1!C95</f>
        <v>2000</v>
      </c>
      <c r="D94" s="13">
        <f>[2]S1!D95</f>
        <v>0</v>
      </c>
      <c r="E94" s="26">
        <f>[2]S1!E95</f>
        <v>0</v>
      </c>
      <c r="F94" s="26">
        <f>[2]S1!F95</f>
        <v>0</v>
      </c>
      <c r="G94" s="22">
        <f>[2]S1!G95</f>
        <v>1819</v>
      </c>
      <c r="H94" s="22">
        <f>[2]S1!H95</f>
        <v>0</v>
      </c>
      <c r="I94" s="22">
        <f>[2]S1!I95</f>
        <v>218</v>
      </c>
      <c r="J94" s="13">
        <f>[2]S1!J95</f>
        <v>0</v>
      </c>
      <c r="K94" s="19">
        <f>[2]S1!K95</f>
        <v>2037</v>
      </c>
      <c r="L94" s="52">
        <f>[2]S1!L95</f>
        <v>21819</v>
      </c>
      <c r="M94" s="58">
        <f>[2]S1!M95</f>
        <v>5</v>
      </c>
      <c r="N94" s="49">
        <f>[2]S1!P95</f>
        <v>9799787631</v>
      </c>
      <c r="O94" s="14"/>
    </row>
    <row r="95" spans="1:15" x14ac:dyDescent="0.3">
      <c r="A95" s="11">
        <v>3142</v>
      </c>
      <c r="B95" s="12" t="str">
        <f>[3]Name!E2146</f>
        <v>Rasika Kumari  Surela</v>
      </c>
      <c r="C95" s="13">
        <f>[2]S1!C96</f>
        <v>0</v>
      </c>
      <c r="D95" s="13">
        <f>[2]S1!D96</f>
        <v>0</v>
      </c>
      <c r="E95" s="26">
        <f>[2]S1!E96</f>
        <v>200</v>
      </c>
      <c r="F95" s="26">
        <f>[2]S1!F96</f>
        <v>0</v>
      </c>
      <c r="G95" s="22">
        <f>[2]S1!G96</f>
        <v>0</v>
      </c>
      <c r="H95" s="22">
        <f>[2]S1!H96</f>
        <v>0</v>
      </c>
      <c r="I95" s="22">
        <f>[2]S1!I96</f>
        <v>0</v>
      </c>
      <c r="J95" s="13">
        <f>[2]S1!J96</f>
        <v>0</v>
      </c>
      <c r="K95" s="19">
        <f>[2]S1!K96</f>
        <v>200</v>
      </c>
      <c r="L95" s="52">
        <f>[2]S1!L96</f>
        <v>0</v>
      </c>
      <c r="M95" s="58">
        <f>[2]S1!M96</f>
        <v>0</v>
      </c>
      <c r="N95" s="49">
        <f>[2]S1!P96</f>
        <v>9799787631</v>
      </c>
      <c r="O95" s="14"/>
    </row>
    <row r="96" spans="1:15" x14ac:dyDescent="0.3">
      <c r="A96" s="11">
        <v>3143</v>
      </c>
      <c r="B96" s="12" t="str">
        <f>[3]Name!E2147</f>
        <v>Kisan Varma</v>
      </c>
      <c r="C96" s="13">
        <f>[2]S1!C97</f>
        <v>0</v>
      </c>
      <c r="D96" s="13">
        <f>[2]S1!D97</f>
        <v>0</v>
      </c>
      <c r="E96" s="26">
        <f>[2]S1!E97</f>
        <v>0</v>
      </c>
      <c r="F96" s="26">
        <f>[2]S1!F97</f>
        <v>0</v>
      </c>
      <c r="G96" s="22">
        <f>[2]S1!G97</f>
        <v>21000</v>
      </c>
      <c r="H96" s="22">
        <f>[2]S1!H97</f>
        <v>0</v>
      </c>
      <c r="I96" s="22">
        <f>[2]S1!I97</f>
        <v>210</v>
      </c>
      <c r="J96" s="13">
        <f>[2]S1!J97</f>
        <v>0</v>
      </c>
      <c r="K96" s="19">
        <f>[2]S1!K97</f>
        <v>21210</v>
      </c>
      <c r="L96" s="52">
        <f>[2]S1!L97</f>
        <v>21000</v>
      </c>
      <c r="M96" s="58">
        <f>[2]S1!M97</f>
        <v>10</v>
      </c>
      <c r="N96" s="49">
        <f>[2]S1!P97</f>
        <v>9116421345</v>
      </c>
      <c r="O96" s="14"/>
    </row>
    <row r="97" spans="1:15" x14ac:dyDescent="0.3">
      <c r="A97" s="11">
        <v>3144</v>
      </c>
      <c r="B97" s="12" t="str">
        <f>[3]Name!E2148</f>
        <v>Rahul Varma</v>
      </c>
      <c r="C97" s="13">
        <f>[2]S1!C98</f>
        <v>0</v>
      </c>
      <c r="D97" s="13">
        <f>[2]S1!D98</f>
        <v>0</v>
      </c>
      <c r="E97" s="26">
        <f>[2]S1!E98</f>
        <v>0</v>
      </c>
      <c r="F97" s="26">
        <f>[2]S1!F98</f>
        <v>0</v>
      </c>
      <c r="G97" s="22">
        <f>[2]S1!G98</f>
        <v>21000</v>
      </c>
      <c r="H97" s="22">
        <f>[2]S1!H98</f>
        <v>0</v>
      </c>
      <c r="I97" s="22">
        <f>[2]S1!I98</f>
        <v>210</v>
      </c>
      <c r="J97" s="13">
        <f>[2]S1!J98</f>
        <v>0</v>
      </c>
      <c r="K97" s="19">
        <f>[2]S1!K98</f>
        <v>21210</v>
      </c>
      <c r="L97" s="52">
        <f>[2]S1!L98</f>
        <v>21000</v>
      </c>
      <c r="M97" s="58">
        <f>[2]S1!M98</f>
        <v>10</v>
      </c>
      <c r="N97" s="49">
        <f>[2]S1!P98</f>
        <v>9116421345</v>
      </c>
      <c r="O97" s="14"/>
    </row>
    <row r="98" spans="1:15" x14ac:dyDescent="0.3">
      <c r="A98" s="11">
        <v>3145</v>
      </c>
      <c r="B98" s="12" t="str">
        <f>[3]Name!E2149</f>
        <v>Priyanka Varma</v>
      </c>
      <c r="C98" s="13">
        <f>[2]S1!C99</f>
        <v>500</v>
      </c>
      <c r="D98" s="13">
        <f>[2]S1!D99</f>
        <v>0</v>
      </c>
      <c r="E98" s="26">
        <f>[2]S1!E99</f>
        <v>200</v>
      </c>
      <c r="F98" s="26">
        <f>[2]S1!F99</f>
        <v>0</v>
      </c>
      <c r="G98" s="22">
        <f>[2]S1!G99</f>
        <v>0</v>
      </c>
      <c r="H98" s="22">
        <f>[2]S1!H99</f>
        <v>0</v>
      </c>
      <c r="I98" s="22">
        <f>[2]S1!I99</f>
        <v>0</v>
      </c>
      <c r="J98" s="13">
        <f>[2]S1!J99</f>
        <v>0</v>
      </c>
      <c r="K98" s="19">
        <f>[2]S1!K99</f>
        <v>200</v>
      </c>
      <c r="L98" s="52">
        <f>[2]S1!L99</f>
        <v>0</v>
      </c>
      <c r="M98" s="58">
        <f>[2]S1!M99</f>
        <v>0</v>
      </c>
      <c r="N98" s="49">
        <f>[2]S1!P99</f>
        <v>9116421345</v>
      </c>
      <c r="O98" s="14"/>
    </row>
    <row r="99" spans="1:15" x14ac:dyDescent="0.3">
      <c r="A99" s="11">
        <v>3146</v>
      </c>
      <c r="B99" s="12" t="str">
        <f>[3]Name!E2150</f>
        <v>Gopal Lal Khatti</v>
      </c>
      <c r="C99" s="13">
        <f>[2]S1!C100</f>
        <v>0</v>
      </c>
      <c r="D99" s="13">
        <f>[2]S1!D100</f>
        <v>5027</v>
      </c>
      <c r="E99" s="26">
        <f>[2]S1!E100</f>
        <v>2200</v>
      </c>
      <c r="F99" s="26">
        <f>[2]S1!F100</f>
        <v>642</v>
      </c>
      <c r="G99" s="22">
        <f>[2]S1!G100</f>
        <v>16000</v>
      </c>
      <c r="H99" s="22">
        <f>[2]S1!H100</f>
        <v>6061</v>
      </c>
      <c r="I99" s="22">
        <f>[2]S1!I100</f>
        <v>1760</v>
      </c>
      <c r="J99" s="13">
        <f>[2]S1!J100</f>
        <v>0</v>
      </c>
      <c r="K99" s="19">
        <f>[2]S1!K100</f>
        <v>26663</v>
      </c>
      <c r="L99" s="52">
        <f>[2]S1!L100</f>
        <v>16000</v>
      </c>
      <c r="M99" s="58">
        <f>[2]S1!M100</f>
        <v>12</v>
      </c>
      <c r="N99" s="49">
        <f>[2]S1!P100</f>
        <v>6350644839</v>
      </c>
      <c r="O99" s="14"/>
    </row>
    <row r="100" spans="1:15" x14ac:dyDescent="0.3">
      <c r="A100" s="11">
        <v>3147</v>
      </c>
      <c r="B100" s="12" t="str">
        <f>[3]Name!E2151</f>
        <v>Sundari Devi Khatti</v>
      </c>
      <c r="C100" s="13">
        <f>[2]S1!C101</f>
        <v>0</v>
      </c>
      <c r="D100" s="13">
        <f>[2]S1!D101</f>
        <v>5027</v>
      </c>
      <c r="E100" s="26">
        <f>[2]S1!E101</f>
        <v>2200</v>
      </c>
      <c r="F100" s="26">
        <f>[2]S1!F101</f>
        <v>642</v>
      </c>
      <c r="G100" s="22">
        <f>[2]S1!G101</f>
        <v>16000</v>
      </c>
      <c r="H100" s="22">
        <f>[2]S1!H101</f>
        <v>6061</v>
      </c>
      <c r="I100" s="22">
        <f>[2]S1!I101</f>
        <v>1760</v>
      </c>
      <c r="J100" s="13">
        <f>[2]S1!J101</f>
        <v>0</v>
      </c>
      <c r="K100" s="19">
        <f>[2]S1!K101</f>
        <v>26663</v>
      </c>
      <c r="L100" s="52">
        <f>[2]S1!L101</f>
        <v>16000</v>
      </c>
      <c r="M100" s="58">
        <f>[2]S1!M101</f>
        <v>12</v>
      </c>
      <c r="N100" s="49">
        <f>[2]S1!P101</f>
        <v>6350644839</v>
      </c>
      <c r="O100" s="14"/>
    </row>
    <row r="101" spans="1:15" x14ac:dyDescent="0.3">
      <c r="A101" s="11">
        <v>3148</v>
      </c>
      <c r="B101" s="12" t="str">
        <f>[3]Name!E2152</f>
        <v>Gita Devi Khatti</v>
      </c>
      <c r="C101" s="13">
        <f>[2]S1!C102</f>
        <v>0</v>
      </c>
      <c r="D101" s="13">
        <f>[2]S1!D102</f>
        <v>5027</v>
      </c>
      <c r="E101" s="26">
        <f>[2]S1!E102</f>
        <v>2200</v>
      </c>
      <c r="F101" s="26">
        <f>[2]S1!F102</f>
        <v>642</v>
      </c>
      <c r="G101" s="22">
        <f>[2]S1!G102</f>
        <v>16000</v>
      </c>
      <c r="H101" s="22">
        <f>[2]S1!H102</f>
        <v>6061</v>
      </c>
      <c r="I101" s="22">
        <f>[2]S1!I102</f>
        <v>1760</v>
      </c>
      <c r="J101" s="13">
        <f>[2]S1!J102</f>
        <v>0</v>
      </c>
      <c r="K101" s="19">
        <f>[2]S1!K102</f>
        <v>26663</v>
      </c>
      <c r="L101" s="52">
        <f>[2]S1!L102</f>
        <v>16000</v>
      </c>
      <c r="M101" s="58">
        <f>[2]S1!M102</f>
        <v>12</v>
      </c>
      <c r="N101" s="49">
        <f>[2]S1!P102</f>
        <v>6350644839</v>
      </c>
      <c r="O101" s="14"/>
    </row>
    <row r="102" spans="1:15" x14ac:dyDescent="0.3">
      <c r="A102" s="11">
        <v>3149</v>
      </c>
      <c r="B102" s="12" t="str">
        <f>[3]Name!E2153</f>
        <v>Puja devi Khatti</v>
      </c>
      <c r="C102" s="13">
        <f>[2]S1!C103</f>
        <v>0</v>
      </c>
      <c r="D102" s="13">
        <f>[2]S1!D103</f>
        <v>5027</v>
      </c>
      <c r="E102" s="26">
        <f>[2]S1!E103</f>
        <v>2200</v>
      </c>
      <c r="F102" s="26">
        <f>[2]S1!F103</f>
        <v>642</v>
      </c>
      <c r="G102" s="22">
        <f>[2]S1!G103</f>
        <v>16000</v>
      </c>
      <c r="H102" s="22">
        <f>[2]S1!H103</f>
        <v>6061</v>
      </c>
      <c r="I102" s="22">
        <f>[2]S1!I103</f>
        <v>1760</v>
      </c>
      <c r="J102" s="13">
        <f>[2]S1!J103</f>
        <v>0</v>
      </c>
      <c r="K102" s="19">
        <f>[2]S1!K103</f>
        <v>26663</v>
      </c>
      <c r="L102" s="52">
        <f>[2]S1!L103</f>
        <v>16000</v>
      </c>
      <c r="M102" s="58">
        <f>[2]S1!M103</f>
        <v>12</v>
      </c>
      <c r="N102" s="49">
        <f>[2]S1!P103</f>
        <v>6350644839</v>
      </c>
      <c r="O102" s="14"/>
    </row>
    <row r="103" spans="1:15" x14ac:dyDescent="0.3">
      <c r="A103" s="11">
        <v>3150</v>
      </c>
      <c r="B103" s="12" t="str">
        <f>[3]Name!E2154</f>
        <v>Gopal Lal Khatti</v>
      </c>
      <c r="C103" s="13">
        <f>[2]S1!C104</f>
        <v>0</v>
      </c>
      <c r="D103" s="13">
        <f>[2]S1!D104</f>
        <v>5027</v>
      </c>
      <c r="E103" s="26">
        <f>[2]S1!E104</f>
        <v>2200</v>
      </c>
      <c r="F103" s="26">
        <f>[2]S1!F104</f>
        <v>642</v>
      </c>
      <c r="G103" s="22">
        <f>[2]S1!G104</f>
        <v>16000</v>
      </c>
      <c r="H103" s="22">
        <f>[2]S1!H104</f>
        <v>6061</v>
      </c>
      <c r="I103" s="22">
        <f>[2]S1!I104</f>
        <v>1760</v>
      </c>
      <c r="J103" s="13">
        <f>[2]S1!J104</f>
        <v>0</v>
      </c>
      <c r="K103" s="19">
        <f>[2]S1!K104</f>
        <v>26663</v>
      </c>
      <c r="L103" s="52">
        <f>[2]S1!L104</f>
        <v>16000</v>
      </c>
      <c r="M103" s="58">
        <f>[2]S1!M104</f>
        <v>12</v>
      </c>
      <c r="N103" s="49">
        <f>[2]S1!P104</f>
        <v>6350644839</v>
      </c>
      <c r="O103" s="14"/>
    </row>
    <row r="104" spans="1:15" x14ac:dyDescent="0.3">
      <c r="A104" s="11">
        <v>3151</v>
      </c>
      <c r="B104" s="12" t="str">
        <f>[3]Name!E2155</f>
        <v>Sankar Lal Bagamar</v>
      </c>
      <c r="C104" s="13">
        <f>[2]S1!C105</f>
        <v>0</v>
      </c>
      <c r="D104" s="13">
        <f>[2]S1!D105</f>
        <v>0</v>
      </c>
      <c r="E104" s="26">
        <f>[2]S1!E105</f>
        <v>200</v>
      </c>
      <c r="F104" s="26">
        <f>[2]S1!F105</f>
        <v>0</v>
      </c>
      <c r="G104" s="22">
        <f>[2]S1!G105</f>
        <v>0</v>
      </c>
      <c r="H104" s="22">
        <f>[2]S1!H105</f>
        <v>53</v>
      </c>
      <c r="I104" s="22">
        <f>[2]S1!I105</f>
        <v>117</v>
      </c>
      <c r="J104" s="13">
        <f>[2]S1!J105</f>
        <v>0</v>
      </c>
      <c r="K104" s="19">
        <f>[2]S1!K105</f>
        <v>370</v>
      </c>
      <c r="L104" s="52">
        <f>[2]S1!L105</f>
        <v>11000</v>
      </c>
      <c r="M104" s="58">
        <f>[2]S1!M105</f>
        <v>1</v>
      </c>
      <c r="N104" s="49">
        <f>[2]S1!P105</f>
        <v>9982361246</v>
      </c>
      <c r="O104" s="14"/>
    </row>
    <row r="105" spans="1:15" x14ac:dyDescent="0.3">
      <c r="A105" s="11">
        <v>3152</v>
      </c>
      <c r="B105" s="12" t="str">
        <f>[3]Name!E2156</f>
        <v>Puja Kumari Bagamar</v>
      </c>
      <c r="C105" s="13">
        <f>[2]S1!C106</f>
        <v>0</v>
      </c>
      <c r="D105" s="13">
        <f>[2]S1!D106</f>
        <v>0</v>
      </c>
      <c r="E105" s="26">
        <f>[2]S1!E106</f>
        <v>200</v>
      </c>
      <c r="F105" s="26">
        <f>[2]S1!F106</f>
        <v>0</v>
      </c>
      <c r="G105" s="22">
        <f>[2]S1!G106</f>
        <v>0</v>
      </c>
      <c r="H105" s="22">
        <f>[2]S1!H106</f>
        <v>53</v>
      </c>
      <c r="I105" s="22">
        <f>[2]S1!I106</f>
        <v>117</v>
      </c>
      <c r="J105" s="13">
        <f>[2]S1!J106</f>
        <v>0</v>
      </c>
      <c r="K105" s="19">
        <f>[2]S1!K106</f>
        <v>370</v>
      </c>
      <c r="L105" s="52">
        <f>[2]S1!L106</f>
        <v>11000</v>
      </c>
      <c r="M105" s="58">
        <f>[2]S1!M106</f>
        <v>1</v>
      </c>
      <c r="N105" s="49">
        <f>[2]S1!P106</f>
        <v>9982361246</v>
      </c>
      <c r="O105" s="14"/>
    </row>
    <row r="106" spans="1:15" x14ac:dyDescent="0.3">
      <c r="A106" s="11">
        <v>3153</v>
      </c>
      <c r="B106" s="12" t="str">
        <f>[3]Name!E2157</f>
        <v>Jay Kumar Bagamar</v>
      </c>
      <c r="C106" s="13">
        <f>[2]S1!C107</f>
        <v>0</v>
      </c>
      <c r="D106" s="13">
        <f>[2]S1!D107</f>
        <v>0</v>
      </c>
      <c r="E106" s="26">
        <f>[2]S1!E107</f>
        <v>200</v>
      </c>
      <c r="F106" s="26">
        <f>[2]S1!F107</f>
        <v>0</v>
      </c>
      <c r="G106" s="22">
        <f>[2]S1!G107</f>
        <v>0</v>
      </c>
      <c r="H106" s="22">
        <f>[2]S1!H107</f>
        <v>53</v>
      </c>
      <c r="I106" s="22">
        <f>[2]S1!I107</f>
        <v>117</v>
      </c>
      <c r="J106" s="13">
        <f>[2]S1!J107</f>
        <v>0</v>
      </c>
      <c r="K106" s="19">
        <f>[2]S1!K107</f>
        <v>370</v>
      </c>
      <c r="L106" s="52">
        <f>[2]S1!L107</f>
        <v>11000</v>
      </c>
      <c r="M106" s="58">
        <f>[2]S1!M107</f>
        <v>1</v>
      </c>
      <c r="N106" s="49">
        <f>[2]S1!P107</f>
        <v>9982361246</v>
      </c>
      <c r="O106" s="14"/>
    </row>
    <row r="107" spans="1:15" x14ac:dyDescent="0.3">
      <c r="A107" s="11">
        <v>3154</v>
      </c>
      <c r="B107" s="12" t="str">
        <f>[3]Name!E2158</f>
        <v>Jay Kumar Bagamar</v>
      </c>
      <c r="C107" s="13">
        <f>[2]S1!C108</f>
        <v>0</v>
      </c>
      <c r="D107" s="13">
        <f>[2]S1!D108</f>
        <v>0</v>
      </c>
      <c r="E107" s="26">
        <f>[2]S1!E108</f>
        <v>200</v>
      </c>
      <c r="F107" s="26">
        <f>[2]S1!F108</f>
        <v>0</v>
      </c>
      <c r="G107" s="22">
        <f>[2]S1!G108</f>
        <v>0</v>
      </c>
      <c r="H107" s="22">
        <f>[2]S1!H108</f>
        <v>53</v>
      </c>
      <c r="I107" s="22">
        <f>[2]S1!I108</f>
        <v>117</v>
      </c>
      <c r="J107" s="13">
        <f>[2]S1!J108</f>
        <v>0</v>
      </c>
      <c r="K107" s="19">
        <f>[2]S1!K108</f>
        <v>370</v>
      </c>
      <c r="L107" s="52">
        <f>[2]S1!L108</f>
        <v>11000</v>
      </c>
      <c r="M107" s="58">
        <f>[2]S1!M108</f>
        <v>1</v>
      </c>
      <c r="N107" s="49">
        <f>[2]S1!P108</f>
        <v>9982361246</v>
      </c>
      <c r="O107" s="14"/>
    </row>
    <row r="108" spans="1:15" x14ac:dyDescent="0.3">
      <c r="A108" s="11">
        <v>3155</v>
      </c>
      <c r="B108" s="12" t="str">
        <f>[3]Name!E2159</f>
        <v>Shanker Lal Bagmar</v>
      </c>
      <c r="C108" s="13">
        <f>[2]S1!C109</f>
        <v>0</v>
      </c>
      <c r="D108" s="13">
        <f>[2]S1!D109</f>
        <v>0</v>
      </c>
      <c r="E108" s="26">
        <f>[2]S1!E109</f>
        <v>200</v>
      </c>
      <c r="F108" s="26">
        <f>[2]S1!F109</f>
        <v>0</v>
      </c>
      <c r="G108" s="22">
        <f>[2]S1!G109</f>
        <v>0</v>
      </c>
      <c r="H108" s="22">
        <f>[2]S1!H109</f>
        <v>53</v>
      </c>
      <c r="I108" s="22">
        <f>[2]S1!I109</f>
        <v>117</v>
      </c>
      <c r="J108" s="13">
        <f>[2]S1!J109</f>
        <v>0</v>
      </c>
      <c r="K108" s="19">
        <f>[2]S1!K109</f>
        <v>370</v>
      </c>
      <c r="L108" s="52">
        <f>[2]S1!L109</f>
        <v>11000</v>
      </c>
      <c r="M108" s="58">
        <f>[2]S1!M109</f>
        <v>1</v>
      </c>
      <c r="N108" s="49">
        <f>[2]S1!P109</f>
        <v>9982361246</v>
      </c>
      <c r="O108" s="14"/>
    </row>
    <row r="109" spans="1:15" x14ac:dyDescent="0.3">
      <c r="A109" s="11">
        <v>3156</v>
      </c>
      <c r="B109" s="12" t="str">
        <f>[3]Name!E2160</f>
        <v>Puja Kumari Bagamar</v>
      </c>
      <c r="C109" s="13">
        <f>[2]S1!C110</f>
        <v>0</v>
      </c>
      <c r="D109" s="13">
        <f>[2]S1!D110</f>
        <v>0</v>
      </c>
      <c r="E109" s="26">
        <f>[2]S1!E110</f>
        <v>200</v>
      </c>
      <c r="F109" s="26">
        <f>[2]S1!F110</f>
        <v>0</v>
      </c>
      <c r="G109" s="22">
        <f>[2]S1!G110</f>
        <v>0</v>
      </c>
      <c r="H109" s="22">
        <f>[2]S1!H110</f>
        <v>53</v>
      </c>
      <c r="I109" s="22">
        <f>[2]S1!I110</f>
        <v>117</v>
      </c>
      <c r="J109" s="13">
        <f>[2]S1!J110</f>
        <v>0</v>
      </c>
      <c r="K109" s="19">
        <f>[2]S1!K110</f>
        <v>370</v>
      </c>
      <c r="L109" s="52">
        <f>[2]S1!L110</f>
        <v>11000</v>
      </c>
      <c r="M109" s="58">
        <f>[2]S1!M110</f>
        <v>1</v>
      </c>
      <c r="N109" s="49">
        <f>[2]S1!P110</f>
        <v>9982361246</v>
      </c>
      <c r="O109" s="14"/>
    </row>
    <row r="110" spans="1:15" x14ac:dyDescent="0.3">
      <c r="A110" s="11">
        <v>3157</v>
      </c>
      <c r="B110" s="12" t="str">
        <f>[3]Name!E2161</f>
        <v>Soniya Kumari Bagamar</v>
      </c>
      <c r="C110" s="13">
        <f>[2]S1!C111</f>
        <v>0</v>
      </c>
      <c r="D110" s="13">
        <f>[2]S1!D111</f>
        <v>0</v>
      </c>
      <c r="E110" s="26">
        <f>[2]S1!E111</f>
        <v>200</v>
      </c>
      <c r="F110" s="26">
        <f>[2]S1!F111</f>
        <v>0</v>
      </c>
      <c r="G110" s="22">
        <f>[2]S1!G111</f>
        <v>0</v>
      </c>
      <c r="H110" s="22">
        <f>[2]S1!H111</f>
        <v>50</v>
      </c>
      <c r="I110" s="22">
        <f>[2]S1!I111</f>
        <v>118</v>
      </c>
      <c r="J110" s="13">
        <f>[2]S1!J111</f>
        <v>0</v>
      </c>
      <c r="K110" s="19">
        <f>[2]S1!K111</f>
        <v>368</v>
      </c>
      <c r="L110" s="52">
        <f>[2]S1!L111</f>
        <v>11132</v>
      </c>
      <c r="M110" s="58">
        <f>[2]S1!M111</f>
        <v>1</v>
      </c>
      <c r="N110" s="49">
        <f>[2]S1!P111</f>
        <v>9982361246</v>
      </c>
      <c r="O110" s="14"/>
    </row>
    <row r="111" spans="1:15" x14ac:dyDescent="0.3">
      <c r="A111" s="11">
        <v>3158</v>
      </c>
      <c r="B111" s="12" t="str">
        <f>[3]Name!E2162</f>
        <v>Muskan Chiraniya</v>
      </c>
      <c r="C111" s="13">
        <f>[2]S1!C112</f>
        <v>700</v>
      </c>
      <c r="D111" s="13">
        <f>[2]S1!D112</f>
        <v>0</v>
      </c>
      <c r="E111" s="26">
        <f>[2]S1!E112</f>
        <v>200</v>
      </c>
      <c r="F111" s="26">
        <f>[2]S1!F112</f>
        <v>0</v>
      </c>
      <c r="G111" s="22">
        <f>[2]S1!G112</f>
        <v>0</v>
      </c>
      <c r="H111" s="22">
        <f>[2]S1!H112</f>
        <v>0</v>
      </c>
      <c r="I111" s="22">
        <f>[2]S1!I112</f>
        <v>0</v>
      </c>
      <c r="J111" s="13">
        <f>[2]S1!J112</f>
        <v>0</v>
      </c>
      <c r="K111" s="19">
        <f>[2]S1!K112</f>
        <v>200</v>
      </c>
      <c r="L111" s="52">
        <f>[2]S1!L112</f>
        <v>0</v>
      </c>
      <c r="M111" s="58">
        <f>[2]S1!M112</f>
        <v>0</v>
      </c>
      <c r="N111" s="49">
        <f>[2]S1!P112</f>
        <v>9783081834</v>
      </c>
      <c r="O111" s="14"/>
    </row>
    <row r="112" spans="1:15" x14ac:dyDescent="0.3">
      <c r="A112" s="11">
        <v>3159</v>
      </c>
      <c r="B112" s="12" t="str">
        <f>[3]Name!E2163</f>
        <v>VnsikaChiraniya</v>
      </c>
      <c r="C112" s="13">
        <f>[2]S1!C113</f>
        <v>700</v>
      </c>
      <c r="D112" s="13">
        <f>[2]S1!D113</f>
        <v>0</v>
      </c>
      <c r="E112" s="26">
        <f>[2]S1!E113</f>
        <v>200</v>
      </c>
      <c r="F112" s="26">
        <f>[2]S1!F113</f>
        <v>0</v>
      </c>
      <c r="G112" s="22">
        <f>[2]S1!G113</f>
        <v>0</v>
      </c>
      <c r="H112" s="22">
        <f>[2]S1!H113</f>
        <v>0</v>
      </c>
      <c r="I112" s="22">
        <f>[2]S1!I113</f>
        <v>0</v>
      </c>
      <c r="J112" s="13">
        <f>[2]S1!J113</f>
        <v>0</v>
      </c>
      <c r="K112" s="19">
        <f>[2]S1!K113</f>
        <v>200</v>
      </c>
      <c r="L112" s="52">
        <f>[2]S1!L113</f>
        <v>0</v>
      </c>
      <c r="M112" s="58">
        <f>[2]S1!M113</f>
        <v>0</v>
      </c>
      <c r="N112" s="49">
        <f>[2]S1!P113</f>
        <v>9783081834</v>
      </c>
      <c r="O112" s="14"/>
    </row>
    <row r="113" spans="1:15" x14ac:dyDescent="0.3">
      <c r="A113" s="11">
        <v>3160</v>
      </c>
      <c r="B113" s="12" t="str">
        <f>[3]Name!E2164</f>
        <v>Harsit Chiraniya</v>
      </c>
      <c r="C113" s="13">
        <f>[2]S1!C114</f>
        <v>700</v>
      </c>
      <c r="D113" s="13">
        <f>[2]S1!D114</f>
        <v>0</v>
      </c>
      <c r="E113" s="26">
        <f>[2]S1!E114</f>
        <v>177</v>
      </c>
      <c r="F113" s="26">
        <f>[2]S1!F114</f>
        <v>0</v>
      </c>
      <c r="G113" s="22">
        <f>[2]S1!G114</f>
        <v>0</v>
      </c>
      <c r="H113" s="22">
        <f>[2]S1!H114</f>
        <v>0</v>
      </c>
      <c r="I113" s="22">
        <f>[2]S1!I114</f>
        <v>0</v>
      </c>
      <c r="J113" s="13">
        <f>[2]S1!J114</f>
        <v>0</v>
      </c>
      <c r="K113" s="19">
        <f>[2]S1!K114</f>
        <v>177</v>
      </c>
      <c r="L113" s="52">
        <f>[2]S1!L114</f>
        <v>-2949</v>
      </c>
      <c r="M113" s="58">
        <f>[2]S1!M114</f>
        <v>8</v>
      </c>
      <c r="N113" s="49">
        <f>[2]S1!P114</f>
        <v>9783081834</v>
      </c>
      <c r="O113" s="14"/>
    </row>
    <row r="114" spans="1:15" x14ac:dyDescent="0.3">
      <c r="A114" s="11">
        <v>3161</v>
      </c>
      <c r="B114" s="12" t="str">
        <f>[3]Name!E2165</f>
        <v>Nanu Ram Varma</v>
      </c>
      <c r="C114" s="13">
        <f>[2]S1!C115</f>
        <v>0</v>
      </c>
      <c r="D114" s="13">
        <f>[2]S1!D115</f>
        <v>0</v>
      </c>
      <c r="E114" s="26">
        <f>[2]S1!E115</f>
        <v>296</v>
      </c>
      <c r="F114" s="26">
        <f>[2]S1!F115</f>
        <v>0</v>
      </c>
      <c r="G114" s="22">
        <f>[2]S1!G115</f>
        <v>0</v>
      </c>
      <c r="H114" s="22">
        <f>[2]S1!H115</f>
        <v>0</v>
      </c>
      <c r="I114" s="22">
        <f>[2]S1!I115</f>
        <v>0</v>
      </c>
      <c r="J114" s="13">
        <f>[2]S1!J115</f>
        <v>0</v>
      </c>
      <c r="K114" s="19">
        <f>[2]S1!K115</f>
        <v>296</v>
      </c>
      <c r="L114" s="52">
        <f>[2]S1!L115</f>
        <v>0</v>
      </c>
      <c r="M114" s="58">
        <f>[2]S1!M115</f>
        <v>0</v>
      </c>
      <c r="N114" s="49">
        <f>[2]S1!P115</f>
        <v>7790841818</v>
      </c>
      <c r="O114" s="14"/>
    </row>
    <row r="115" spans="1:15" x14ac:dyDescent="0.3">
      <c r="A115" s="11">
        <v>3162</v>
      </c>
      <c r="B115" s="12" t="str">
        <f>[3]Name!E2166</f>
        <v>Rekha Devi Varma</v>
      </c>
      <c r="C115" s="13">
        <f>[2]S1!C116</f>
        <v>0</v>
      </c>
      <c r="D115" s="13">
        <f>[2]S1!D116</f>
        <v>0</v>
      </c>
      <c r="E115" s="26">
        <f>[2]S1!E116</f>
        <v>400</v>
      </c>
      <c r="F115" s="26">
        <f>[2]S1!F116</f>
        <v>10</v>
      </c>
      <c r="G115" s="22">
        <f>[2]S1!G116</f>
        <v>0</v>
      </c>
      <c r="H115" s="22">
        <f>[2]S1!H116</f>
        <v>0</v>
      </c>
      <c r="I115" s="22">
        <f>[2]S1!I116</f>
        <v>0</v>
      </c>
      <c r="J115" s="13">
        <f>[2]S1!J116</f>
        <v>0</v>
      </c>
      <c r="K115" s="19">
        <f>[2]S1!K116</f>
        <v>410</v>
      </c>
      <c r="L115" s="52">
        <f>[2]S1!L116</f>
        <v>0</v>
      </c>
      <c r="M115" s="58">
        <f>[2]S1!M116</f>
        <v>0</v>
      </c>
      <c r="N115" s="49">
        <f>[2]S1!P116</f>
        <v>7790841818</v>
      </c>
      <c r="O115" s="14"/>
    </row>
    <row r="116" spans="1:15" x14ac:dyDescent="0.3">
      <c r="A116" s="11">
        <v>3163</v>
      </c>
      <c r="B116" s="12" t="str">
        <f>[3]Name!E2167</f>
        <v>Kishan Lal Sachoriya</v>
      </c>
      <c r="C116" s="13">
        <f>[2]S1!C117</f>
        <v>0</v>
      </c>
      <c r="D116" s="13">
        <f>[2]S1!D117</f>
        <v>0</v>
      </c>
      <c r="E116" s="26">
        <f>[2]S1!E117</f>
        <v>73</v>
      </c>
      <c r="F116" s="26">
        <f>[2]S1!F117</f>
        <v>0</v>
      </c>
      <c r="G116" s="22">
        <f>[2]S1!G117</f>
        <v>0</v>
      </c>
      <c r="H116" s="22">
        <f>[2]S1!H117</f>
        <v>0</v>
      </c>
      <c r="I116" s="22">
        <f>[2]S1!I117</f>
        <v>0</v>
      </c>
      <c r="J116" s="13">
        <f>[2]S1!J117</f>
        <v>0</v>
      </c>
      <c r="K116" s="19">
        <f>[2]S1!K117</f>
        <v>73</v>
      </c>
      <c r="L116" s="52">
        <f>[2]S1!L117</f>
        <v>0</v>
      </c>
      <c r="M116" s="58">
        <f>[2]S1!M117</f>
        <v>0</v>
      </c>
      <c r="N116" s="49">
        <f>[2]S1!P117</f>
        <v>9602956137</v>
      </c>
      <c r="O116" s="14"/>
    </row>
    <row r="117" spans="1:15" x14ac:dyDescent="0.3">
      <c r="A117" s="11">
        <v>3164</v>
      </c>
      <c r="B117" s="12" t="str">
        <f>[3]Name!E2168</f>
        <v>Lihan Pachriya</v>
      </c>
      <c r="C117" s="13">
        <f>[2]S1!C118</f>
        <v>0</v>
      </c>
      <c r="D117" s="13">
        <f>[2]S1!D118</f>
        <v>0</v>
      </c>
      <c r="E117" s="26">
        <f>[2]S1!E118</f>
        <v>400</v>
      </c>
      <c r="F117" s="26">
        <f>[2]S1!F118</f>
        <v>10</v>
      </c>
      <c r="G117" s="22">
        <f>[2]S1!G118</f>
        <v>12000</v>
      </c>
      <c r="H117" s="22">
        <f>[2]S1!H118</f>
        <v>56</v>
      </c>
      <c r="I117" s="22">
        <f>[2]S1!I118</f>
        <v>240</v>
      </c>
      <c r="J117" s="13">
        <f>[2]S1!J118</f>
        <v>0</v>
      </c>
      <c r="K117" s="19">
        <f>[2]S1!K118</f>
        <v>12706</v>
      </c>
      <c r="L117" s="52">
        <f>[2]S1!L118</f>
        <v>12000</v>
      </c>
      <c r="M117" s="58">
        <f>[2]S1!M118</f>
        <v>10</v>
      </c>
      <c r="N117" s="49">
        <f>[2]S1!P118</f>
        <v>9001114455</v>
      </c>
      <c r="O117" s="14"/>
    </row>
    <row r="118" spans="1:15" x14ac:dyDescent="0.3">
      <c r="A118" s="11">
        <v>3165</v>
      </c>
      <c r="B118" s="12" t="str">
        <f>[3]Name!E2169</f>
        <v>Hiya Pachriya</v>
      </c>
      <c r="C118" s="13">
        <f>[2]S1!C119</f>
        <v>0</v>
      </c>
      <c r="D118" s="13">
        <f>[2]S1!D119</f>
        <v>0</v>
      </c>
      <c r="E118" s="26">
        <f>[2]S1!E119</f>
        <v>400</v>
      </c>
      <c r="F118" s="26">
        <f>[2]S1!F119</f>
        <v>10</v>
      </c>
      <c r="G118" s="22">
        <f>[2]S1!G119</f>
        <v>12000</v>
      </c>
      <c r="H118" s="22">
        <f>[2]S1!H119</f>
        <v>56</v>
      </c>
      <c r="I118" s="22">
        <f>[2]S1!I119</f>
        <v>240</v>
      </c>
      <c r="J118" s="13">
        <f>[2]S1!J119</f>
        <v>0</v>
      </c>
      <c r="K118" s="19">
        <f>[2]S1!K119</f>
        <v>12706</v>
      </c>
      <c r="L118" s="52">
        <f>[2]S1!L119</f>
        <v>12000</v>
      </c>
      <c r="M118" s="58">
        <f>[2]S1!M119</f>
        <v>10</v>
      </c>
      <c r="N118" s="49">
        <f>[2]S1!P119</f>
        <v>9001114455</v>
      </c>
      <c r="O118" s="14"/>
    </row>
    <row r="119" spans="1:15" x14ac:dyDescent="0.3">
      <c r="A119" s="11">
        <v>3166</v>
      </c>
      <c r="B119" s="12" t="str">
        <f>[3]Name!E2170</f>
        <v>Bharu Ram Bunkar</v>
      </c>
      <c r="C119" s="13">
        <f>[2]S1!C120</f>
        <v>12600</v>
      </c>
      <c r="D119" s="13">
        <f>[2]S1!D120</f>
        <v>0</v>
      </c>
      <c r="E119" s="26">
        <f>[2]S1!E120</f>
        <v>400</v>
      </c>
      <c r="F119" s="26">
        <f>[2]S1!F120</f>
        <v>0</v>
      </c>
      <c r="G119" s="22">
        <f>[2]S1!G120</f>
        <v>0</v>
      </c>
      <c r="H119" s="22">
        <f>[2]S1!H120</f>
        <v>0</v>
      </c>
      <c r="I119" s="22">
        <f>[2]S1!I120</f>
        <v>0</v>
      </c>
      <c r="J119" s="13">
        <f>[2]S1!J120</f>
        <v>0</v>
      </c>
      <c r="K119" s="19">
        <f>[2]S1!K120</f>
        <v>400</v>
      </c>
      <c r="L119" s="52">
        <f>[2]S1!L120</f>
        <v>0</v>
      </c>
      <c r="M119" s="58">
        <f>[2]S1!M120</f>
        <v>0</v>
      </c>
      <c r="N119" s="49">
        <f>[2]S1!P120</f>
        <v>9929213061</v>
      </c>
      <c r="O119" s="14"/>
    </row>
    <row r="120" spans="1:15" x14ac:dyDescent="0.3">
      <c r="A120" s="11">
        <v>3167</v>
      </c>
      <c r="B120" s="12" t="str">
        <f>[3]Name!E2171</f>
        <v>Dipak Bunkar</v>
      </c>
      <c r="C120" s="13">
        <f>[2]S1!C121</f>
        <v>13500</v>
      </c>
      <c r="D120" s="13">
        <f>[2]S1!D121</f>
        <v>0</v>
      </c>
      <c r="E120" s="26">
        <f>[2]S1!E121</f>
        <v>185</v>
      </c>
      <c r="F120" s="26">
        <f>[2]S1!F121</f>
        <v>0</v>
      </c>
      <c r="G120" s="22">
        <f>[2]S1!G121</f>
        <v>0</v>
      </c>
      <c r="H120" s="22">
        <f>[2]S1!H121</f>
        <v>0</v>
      </c>
      <c r="I120" s="22">
        <f>[2]S1!I121</f>
        <v>0</v>
      </c>
      <c r="J120" s="13">
        <f>[2]S1!J121</f>
        <v>0</v>
      </c>
      <c r="K120" s="19">
        <f>[2]S1!K121</f>
        <v>185</v>
      </c>
      <c r="L120" s="52">
        <f>[2]S1!L121</f>
        <v>0</v>
      </c>
      <c r="M120" s="58">
        <f>[2]S1!M121</f>
        <v>0</v>
      </c>
      <c r="N120" s="49">
        <f>[2]S1!P121</f>
        <v>9929213061</v>
      </c>
      <c r="O120" s="14"/>
    </row>
    <row r="121" spans="1:15" x14ac:dyDescent="0.3">
      <c r="A121" s="11">
        <v>3168</v>
      </c>
      <c r="B121" s="12" t="str">
        <f>[3]Name!E2172</f>
        <v>Rajan Devi Bunkar</v>
      </c>
      <c r="C121" s="13">
        <f>[2]S1!C122</f>
        <v>14400</v>
      </c>
      <c r="D121" s="13">
        <f>[2]S1!D122</f>
        <v>0</v>
      </c>
      <c r="E121" s="26">
        <f>[2]S1!E122</f>
        <v>400</v>
      </c>
      <c r="F121" s="26">
        <f>[2]S1!F122</f>
        <v>0</v>
      </c>
      <c r="G121" s="22">
        <f>[2]S1!G122</f>
        <v>0</v>
      </c>
      <c r="H121" s="22">
        <f>[2]S1!H122</f>
        <v>0</v>
      </c>
      <c r="I121" s="22">
        <f>[2]S1!I122</f>
        <v>0</v>
      </c>
      <c r="J121" s="13">
        <f>[2]S1!J122</f>
        <v>0</v>
      </c>
      <c r="K121" s="19">
        <f>[2]S1!K122</f>
        <v>400</v>
      </c>
      <c r="L121" s="52">
        <f>[2]S1!L122</f>
        <v>0</v>
      </c>
      <c r="M121" s="58">
        <f>[2]S1!M122</f>
        <v>0</v>
      </c>
      <c r="N121" s="49">
        <f>[2]S1!P122</f>
        <v>9929213061</v>
      </c>
      <c r="O121" s="14"/>
    </row>
    <row r="122" spans="1:15" x14ac:dyDescent="0.3">
      <c r="A122" s="11">
        <v>3169</v>
      </c>
      <c r="B122" s="12" t="str">
        <f>[3]Name!E2173</f>
        <v>Ramesvar Sachoriya</v>
      </c>
      <c r="C122" s="13">
        <f>[2]S1!C123</f>
        <v>0</v>
      </c>
      <c r="D122" s="13">
        <f>[2]S1!D123</f>
        <v>0</v>
      </c>
      <c r="E122" s="26">
        <f>[2]S1!E123</f>
        <v>200</v>
      </c>
      <c r="F122" s="26">
        <f>[2]S1!F123</f>
        <v>0</v>
      </c>
      <c r="G122" s="22">
        <f>[2]S1!G123</f>
        <v>0</v>
      </c>
      <c r="H122" s="22">
        <f>[2]S1!H123</f>
        <v>2</v>
      </c>
      <c r="I122" s="22">
        <f>[2]S1!I123</f>
        <v>189</v>
      </c>
      <c r="J122" s="13">
        <f>[2]S1!J123</f>
        <v>0</v>
      </c>
      <c r="K122" s="19">
        <f>[2]S1!K123</f>
        <v>391</v>
      </c>
      <c r="L122" s="52">
        <f>[2]S1!L123</f>
        <v>18900</v>
      </c>
      <c r="M122" s="58">
        <f>[2]S1!M123</f>
        <v>2</v>
      </c>
      <c r="N122" s="49">
        <f>[2]S1!P123</f>
        <v>9571650476</v>
      </c>
      <c r="O122" s="14"/>
    </row>
    <row r="123" spans="1:15" x14ac:dyDescent="0.3">
      <c r="A123" s="11">
        <v>3170</v>
      </c>
      <c r="B123" s="12" t="str">
        <f>[3]Name!E2174</f>
        <v>Mamta Devi Sachoriya</v>
      </c>
      <c r="C123" s="13">
        <f>[2]S1!C124</f>
        <v>0</v>
      </c>
      <c r="D123" s="13">
        <f>[2]S1!D124</f>
        <v>0</v>
      </c>
      <c r="E123" s="26">
        <f>[2]S1!E124</f>
        <v>200</v>
      </c>
      <c r="F123" s="26">
        <f>[2]S1!F124</f>
        <v>0</v>
      </c>
      <c r="G123" s="22">
        <f>[2]S1!G124</f>
        <v>0</v>
      </c>
      <c r="H123" s="22">
        <f>[2]S1!H124</f>
        <v>2</v>
      </c>
      <c r="I123" s="22">
        <f>[2]S1!I124</f>
        <v>189</v>
      </c>
      <c r="J123" s="13">
        <f>[2]S1!J124</f>
        <v>0</v>
      </c>
      <c r="K123" s="19">
        <f>[2]S1!K124</f>
        <v>391</v>
      </c>
      <c r="L123" s="52">
        <f>[2]S1!L124</f>
        <v>18900</v>
      </c>
      <c r="M123" s="58">
        <f>[2]S1!M124</f>
        <v>2</v>
      </c>
      <c r="N123" s="49">
        <f>[2]S1!P124</f>
        <v>9571650476</v>
      </c>
      <c r="O123" s="14"/>
    </row>
    <row r="124" spans="1:15" x14ac:dyDescent="0.3">
      <c r="A124" s="11">
        <v>3171</v>
      </c>
      <c r="B124" s="12" t="str">
        <f>[3]Name!E2175</f>
        <v>Rekha Kumari Sachoriya</v>
      </c>
      <c r="C124" s="13">
        <f>[2]S1!C125</f>
        <v>1000</v>
      </c>
      <c r="D124" s="13">
        <f>[2]S1!D125</f>
        <v>0</v>
      </c>
      <c r="E124" s="26">
        <f>[2]S1!E125</f>
        <v>0</v>
      </c>
      <c r="F124" s="26">
        <f>[2]S1!F125</f>
        <v>0</v>
      </c>
      <c r="G124" s="22">
        <f>[2]S1!G125</f>
        <v>0</v>
      </c>
      <c r="H124" s="22">
        <f>[2]S1!H125</f>
        <v>14</v>
      </c>
      <c r="I124" s="22">
        <f>[2]S1!I125</f>
        <v>288</v>
      </c>
      <c r="J124" s="13">
        <f>[2]S1!J125</f>
        <v>0</v>
      </c>
      <c r="K124" s="19">
        <f>[2]S1!K125</f>
        <v>302</v>
      </c>
      <c r="L124" s="52">
        <f>[2]S1!L125</f>
        <v>28671</v>
      </c>
      <c r="M124" s="58">
        <f>[2]S1!M125</f>
        <v>11</v>
      </c>
      <c r="N124" s="49">
        <f>[2]S1!P125</f>
        <v>9571650476</v>
      </c>
      <c r="O124" s="14"/>
    </row>
    <row r="125" spans="1:15" x14ac:dyDescent="0.3">
      <c r="A125" s="11">
        <v>3172</v>
      </c>
      <c r="B125" s="12" t="str">
        <f>[3]Name!E2176</f>
        <v>Hira Devi Kairapa</v>
      </c>
      <c r="C125" s="13">
        <f>[2]S1!C126</f>
        <v>0</v>
      </c>
      <c r="D125" s="13">
        <f>[2]S1!D126</f>
        <v>0</v>
      </c>
      <c r="E125" s="26">
        <f>[2]S1!E126</f>
        <v>0</v>
      </c>
      <c r="F125" s="26">
        <f>[2]S1!F126</f>
        <v>0</v>
      </c>
      <c r="G125" s="22">
        <f>[2]S1!G126</f>
        <v>0</v>
      </c>
      <c r="H125" s="22">
        <f>[2]S1!H126</f>
        <v>0</v>
      </c>
      <c r="I125" s="22">
        <f>[2]S1!I126</f>
        <v>250</v>
      </c>
      <c r="J125" s="13">
        <f>[2]S1!J126</f>
        <v>0</v>
      </c>
      <c r="K125" s="19">
        <f>[2]S1!K126</f>
        <v>250</v>
      </c>
      <c r="L125" s="52">
        <f>[2]S1!L126</f>
        <v>25000</v>
      </c>
      <c r="M125" s="58">
        <f>[2]S1!M126</f>
        <v>2</v>
      </c>
      <c r="N125" s="49">
        <f>[2]S1!P126</f>
        <v>7742016348</v>
      </c>
      <c r="O125" s="14"/>
    </row>
    <row r="126" spans="1:15" x14ac:dyDescent="0.3">
      <c r="A126" s="11">
        <v>3173</v>
      </c>
      <c r="B126" s="12" t="str">
        <f>[3]Name!E2177</f>
        <v>Mohan Lal Maharda</v>
      </c>
      <c r="C126" s="13">
        <f>[2]S1!C127</f>
        <v>1000</v>
      </c>
      <c r="D126" s="13">
        <f>[2]S1!D127</f>
        <v>0</v>
      </c>
      <c r="E126" s="26">
        <f>[2]S1!E127</f>
        <v>200</v>
      </c>
      <c r="F126" s="26">
        <f>[2]S1!F127</f>
        <v>0</v>
      </c>
      <c r="G126" s="22">
        <f>[2]S1!G127</f>
        <v>1000</v>
      </c>
      <c r="H126" s="22">
        <f>[2]S1!H127</f>
        <v>0</v>
      </c>
      <c r="I126" s="22">
        <f>[2]S1!I127</f>
        <v>560</v>
      </c>
      <c r="J126" s="13">
        <f>[2]S1!J127</f>
        <v>0</v>
      </c>
      <c r="K126" s="19">
        <f>[2]S1!K127</f>
        <v>1760</v>
      </c>
      <c r="L126" s="52">
        <f>[2]S1!L127</f>
        <v>56000</v>
      </c>
      <c r="M126" s="58">
        <f>[2]S1!M127</f>
        <v>5</v>
      </c>
      <c r="N126" s="49">
        <f>[2]S1!P127</f>
        <v>9929194619</v>
      </c>
      <c r="O126" s="14"/>
    </row>
    <row r="127" spans="1:15" x14ac:dyDescent="0.3">
      <c r="A127" s="11">
        <v>3174</v>
      </c>
      <c r="B127" s="12" t="str">
        <f>[3]Name!E2178</f>
        <v>Ajay Kumar Meharda</v>
      </c>
      <c r="C127" s="13">
        <f>[2]S1!C128</f>
        <v>1000</v>
      </c>
      <c r="D127" s="13">
        <f>[2]S1!D128</f>
        <v>0</v>
      </c>
      <c r="E127" s="26">
        <f>[2]S1!E128</f>
        <v>200</v>
      </c>
      <c r="F127" s="26">
        <f>[2]S1!F128</f>
        <v>0</v>
      </c>
      <c r="G127" s="22">
        <f>[2]S1!G128</f>
        <v>1000</v>
      </c>
      <c r="H127" s="22">
        <f>[2]S1!H128</f>
        <v>0</v>
      </c>
      <c r="I127" s="22">
        <f>[2]S1!I128</f>
        <v>560</v>
      </c>
      <c r="J127" s="13">
        <f>[2]S1!J128</f>
        <v>0</v>
      </c>
      <c r="K127" s="19">
        <f>[2]S1!K128</f>
        <v>1760</v>
      </c>
      <c r="L127" s="52">
        <f>[2]S1!L128</f>
        <v>56000</v>
      </c>
      <c r="M127" s="58">
        <f>[2]S1!M128</f>
        <v>5</v>
      </c>
      <c r="N127" s="49">
        <f>[2]S1!P128</f>
        <v>9929194619</v>
      </c>
      <c r="O127" s="14"/>
    </row>
    <row r="128" spans="1:15" x14ac:dyDescent="0.3">
      <c r="A128" s="11">
        <v>3175</v>
      </c>
      <c r="B128" s="12" t="str">
        <f>[3]Name!E2179</f>
        <v>Mohan Lal Maharda</v>
      </c>
      <c r="C128" s="13">
        <f>[2]S1!C129</f>
        <v>450</v>
      </c>
      <c r="D128" s="13">
        <f>[2]S1!D129</f>
        <v>0</v>
      </c>
      <c r="E128" s="26">
        <f>[2]S1!E129</f>
        <v>200</v>
      </c>
      <c r="F128" s="26">
        <f>[2]S1!F129</f>
        <v>0</v>
      </c>
      <c r="G128" s="22">
        <f>[2]S1!G129</f>
        <v>450</v>
      </c>
      <c r="H128" s="22">
        <f>[2]S1!H129</f>
        <v>0</v>
      </c>
      <c r="I128" s="22">
        <f>[2]S1!I129</f>
        <v>582</v>
      </c>
      <c r="J128" s="13">
        <f>[2]S1!J129</f>
        <v>0</v>
      </c>
      <c r="K128" s="19">
        <f>[2]S1!K129</f>
        <v>1232</v>
      </c>
      <c r="L128" s="52">
        <f>[2]S1!L129</f>
        <v>58200</v>
      </c>
      <c r="M128" s="58">
        <f>[2]S1!M129</f>
        <v>5</v>
      </c>
      <c r="N128" s="49">
        <f>[2]S1!P129</f>
        <v>9929194619</v>
      </c>
      <c r="O128" s="14"/>
    </row>
    <row r="129" spans="1:15" x14ac:dyDescent="0.3">
      <c r="A129" s="11">
        <v>3176</v>
      </c>
      <c r="B129" s="12" t="str">
        <f>[3]Name!E2180</f>
        <v>Vimala Devi Meharda</v>
      </c>
      <c r="C129" s="13">
        <f>[2]S1!C130</f>
        <v>450</v>
      </c>
      <c r="D129" s="13">
        <f>[2]S1!D130</f>
        <v>0</v>
      </c>
      <c r="E129" s="26">
        <f>[2]S1!E130</f>
        <v>200</v>
      </c>
      <c r="F129" s="26">
        <f>[2]S1!F130</f>
        <v>0</v>
      </c>
      <c r="G129" s="22">
        <f>[2]S1!G130</f>
        <v>450</v>
      </c>
      <c r="H129" s="22">
        <f>[2]S1!H130</f>
        <v>0</v>
      </c>
      <c r="I129" s="22">
        <f>[2]S1!I130</f>
        <v>582</v>
      </c>
      <c r="J129" s="13">
        <f>[2]S1!J130</f>
        <v>0</v>
      </c>
      <c r="K129" s="19">
        <f>[2]S1!K130</f>
        <v>1232</v>
      </c>
      <c r="L129" s="52">
        <f>[2]S1!L130</f>
        <v>58200</v>
      </c>
      <c r="M129" s="58">
        <f>[2]S1!M130</f>
        <v>5</v>
      </c>
      <c r="N129" s="49">
        <f>[2]S1!P130</f>
        <v>9929194619</v>
      </c>
      <c r="O129" s="14"/>
    </row>
    <row r="130" spans="1:15" x14ac:dyDescent="0.3">
      <c r="A130" s="11">
        <v>3177</v>
      </c>
      <c r="B130" s="12" t="str">
        <f>[3]Name!E2181</f>
        <v>Mnisha kumari Meharda</v>
      </c>
      <c r="C130" s="13">
        <f>[2]S1!C131</f>
        <v>450</v>
      </c>
      <c r="D130" s="13">
        <f>[2]S1!D131</f>
        <v>0</v>
      </c>
      <c r="E130" s="26">
        <f>[2]S1!E131</f>
        <v>200</v>
      </c>
      <c r="F130" s="26">
        <f>[2]S1!F131</f>
        <v>0</v>
      </c>
      <c r="G130" s="22">
        <f>[2]S1!G131</f>
        <v>450</v>
      </c>
      <c r="H130" s="22">
        <f>[2]S1!H131</f>
        <v>0</v>
      </c>
      <c r="I130" s="22">
        <f>[2]S1!I131</f>
        <v>582</v>
      </c>
      <c r="J130" s="13">
        <f>[2]S1!J131</f>
        <v>0</v>
      </c>
      <c r="K130" s="19">
        <f>[2]S1!K131</f>
        <v>1232</v>
      </c>
      <c r="L130" s="52">
        <f>[2]S1!L131</f>
        <v>58200</v>
      </c>
      <c r="M130" s="58">
        <f>[2]S1!M131</f>
        <v>5</v>
      </c>
      <c r="N130" s="49">
        <f>[2]S1!P131</f>
        <v>9929194619</v>
      </c>
      <c r="O130" s="14"/>
    </row>
    <row r="131" spans="1:15" x14ac:dyDescent="0.3">
      <c r="A131" s="11">
        <v>3178</v>
      </c>
      <c r="B131" s="12" t="str">
        <f>[3]Name!E2182</f>
        <v>Kamalesh Khoval</v>
      </c>
      <c r="C131" s="13">
        <f>[2]S1!C132</f>
        <v>500</v>
      </c>
      <c r="D131" s="13">
        <f>[2]S1!D132</f>
        <v>0</v>
      </c>
      <c r="E131" s="26">
        <f>[2]S1!E132</f>
        <v>200</v>
      </c>
      <c r="F131" s="26">
        <f>[2]S1!F132</f>
        <v>0</v>
      </c>
      <c r="G131" s="22">
        <f>[2]S1!G132</f>
        <v>0</v>
      </c>
      <c r="H131" s="22">
        <f>[2]S1!H132</f>
        <v>0</v>
      </c>
      <c r="I131" s="22">
        <f>[2]S1!I132</f>
        <v>0</v>
      </c>
      <c r="J131" s="13">
        <f>[2]S1!J132</f>
        <v>0</v>
      </c>
      <c r="K131" s="19">
        <f>[2]S1!K132</f>
        <v>200</v>
      </c>
      <c r="L131" s="52">
        <f>[2]S1!L132</f>
        <v>0</v>
      </c>
      <c r="M131" s="58">
        <f>[2]S1!M132</f>
        <v>0</v>
      </c>
      <c r="N131" s="49">
        <f>[2]S1!P132</f>
        <v>9024387313</v>
      </c>
      <c r="O131" s="14"/>
    </row>
    <row r="132" spans="1:15" x14ac:dyDescent="0.3">
      <c r="A132" s="11">
        <v>3179</v>
      </c>
      <c r="B132" s="12" t="str">
        <f>[3]Name!E2183</f>
        <v>Dhanna Lal Khoval</v>
      </c>
      <c r="C132" s="13">
        <f>[2]S1!C133</f>
        <v>500</v>
      </c>
      <c r="D132" s="13">
        <f>[2]S1!D133</f>
        <v>0</v>
      </c>
      <c r="E132" s="26">
        <f>[2]S1!E133</f>
        <v>200</v>
      </c>
      <c r="F132" s="26">
        <f>[2]S1!F133</f>
        <v>0</v>
      </c>
      <c r="G132" s="22">
        <f>[2]S1!G133</f>
        <v>0</v>
      </c>
      <c r="H132" s="22">
        <f>[2]S1!H133</f>
        <v>0</v>
      </c>
      <c r="I132" s="22">
        <f>[2]S1!I133</f>
        <v>0</v>
      </c>
      <c r="J132" s="13">
        <f>[2]S1!J133</f>
        <v>0</v>
      </c>
      <c r="K132" s="19">
        <f>[2]S1!K133</f>
        <v>200</v>
      </c>
      <c r="L132" s="52">
        <f>[2]S1!L133</f>
        <v>0</v>
      </c>
      <c r="M132" s="58">
        <f>[2]S1!M133</f>
        <v>0</v>
      </c>
      <c r="N132" s="49">
        <f>[2]S1!P133</f>
        <v>9024387313</v>
      </c>
      <c r="O132" s="14"/>
    </row>
    <row r="133" spans="1:15" x14ac:dyDescent="0.3">
      <c r="A133" s="11">
        <v>3180</v>
      </c>
      <c r="B133" s="12" t="str">
        <f>[3]Name!E2184</f>
        <v>Suman Devi Khoval</v>
      </c>
      <c r="C133" s="13">
        <f>[2]S1!C134</f>
        <v>500</v>
      </c>
      <c r="D133" s="13">
        <f>[2]S1!D134</f>
        <v>0</v>
      </c>
      <c r="E133" s="26">
        <f>[2]S1!E134</f>
        <v>200</v>
      </c>
      <c r="F133" s="26">
        <f>[2]S1!F134</f>
        <v>0</v>
      </c>
      <c r="G133" s="22">
        <f>[2]S1!G134</f>
        <v>0</v>
      </c>
      <c r="H133" s="22">
        <f>[2]S1!H134</f>
        <v>0</v>
      </c>
      <c r="I133" s="22">
        <f>[2]S1!I134</f>
        <v>0</v>
      </c>
      <c r="J133" s="13">
        <f>[2]S1!J134</f>
        <v>0</v>
      </c>
      <c r="K133" s="19">
        <f>[2]S1!K134</f>
        <v>200</v>
      </c>
      <c r="L133" s="52">
        <f>[2]S1!L134</f>
        <v>0</v>
      </c>
      <c r="M133" s="58">
        <f>[2]S1!M134</f>
        <v>0</v>
      </c>
      <c r="N133" s="49">
        <f>[2]S1!P134</f>
        <v>9024387313</v>
      </c>
      <c r="O133" s="14"/>
    </row>
    <row r="134" spans="1:15" x14ac:dyDescent="0.3">
      <c r="A134" s="11">
        <v>3181</v>
      </c>
      <c r="B134" s="12" t="str">
        <f>[3]Name!E2185</f>
        <v>Mukesh Kumar Maharda</v>
      </c>
      <c r="C134" s="13">
        <f>[2]S1!C135</f>
        <v>2300</v>
      </c>
      <c r="D134" s="13">
        <f>[2]S1!D135</f>
        <v>0</v>
      </c>
      <c r="E134" s="26">
        <f>[2]S1!E135</f>
        <v>400</v>
      </c>
      <c r="F134" s="26">
        <f>[2]S1!F135</f>
        <v>10</v>
      </c>
      <c r="G134" s="22">
        <f>[2]S1!G135</f>
        <v>0</v>
      </c>
      <c r="H134" s="22">
        <f>[2]S1!H135</f>
        <v>12</v>
      </c>
      <c r="I134" s="22">
        <f>[2]S1!I135</f>
        <v>460</v>
      </c>
      <c r="J134" s="13">
        <f>[2]S1!J135</f>
        <v>0</v>
      </c>
      <c r="K134" s="19">
        <f>[2]S1!K135</f>
        <v>882</v>
      </c>
      <c r="L134" s="52">
        <f>[2]S1!L135</f>
        <v>23000</v>
      </c>
      <c r="M134" s="58">
        <f>[2]S1!M135</f>
        <v>4</v>
      </c>
      <c r="N134" s="49">
        <f>[2]S1!P135</f>
        <v>7568229819</v>
      </c>
      <c r="O134" s="14"/>
    </row>
    <row r="135" spans="1:15" x14ac:dyDescent="0.3">
      <c r="A135" s="11">
        <v>3182</v>
      </c>
      <c r="B135" s="12" t="str">
        <f>[3]Name!E2186</f>
        <v>Ramdayal Meharda</v>
      </c>
      <c r="C135" s="13">
        <f>[2]S1!C136</f>
        <v>2300</v>
      </c>
      <c r="D135" s="13">
        <f>[2]S1!D136</f>
        <v>0</v>
      </c>
      <c r="E135" s="26">
        <f>[2]S1!E136</f>
        <v>400</v>
      </c>
      <c r="F135" s="26">
        <f>[2]S1!F136</f>
        <v>10</v>
      </c>
      <c r="G135" s="22">
        <f>[2]S1!G136</f>
        <v>0</v>
      </c>
      <c r="H135" s="22">
        <f>[2]S1!H136</f>
        <v>12</v>
      </c>
      <c r="I135" s="22">
        <f>[2]S1!I136</f>
        <v>460</v>
      </c>
      <c r="J135" s="13">
        <f>[2]S1!J136</f>
        <v>0</v>
      </c>
      <c r="K135" s="19">
        <f>[2]S1!K136</f>
        <v>882</v>
      </c>
      <c r="L135" s="52">
        <f>[2]S1!L136</f>
        <v>23000</v>
      </c>
      <c r="M135" s="58">
        <f>[2]S1!M136</f>
        <v>4</v>
      </c>
      <c r="N135" s="49">
        <f>[2]S1!P136</f>
        <v>7568229819</v>
      </c>
      <c r="O135" s="14"/>
    </row>
    <row r="136" spans="1:15" x14ac:dyDescent="0.3">
      <c r="A136" s="11">
        <v>3183</v>
      </c>
      <c r="B136" s="12" t="str">
        <f>[3]Name!E2187</f>
        <v>Kailash Chand Meharda</v>
      </c>
      <c r="C136" s="13">
        <f>[2]S1!C137</f>
        <v>4300</v>
      </c>
      <c r="D136" s="13">
        <f>[2]S1!D137</f>
        <v>0</v>
      </c>
      <c r="E136" s="26">
        <f>[2]S1!E137</f>
        <v>400</v>
      </c>
      <c r="F136" s="26">
        <f>[2]S1!F137</f>
        <v>10</v>
      </c>
      <c r="G136" s="22">
        <f>[2]S1!G137</f>
        <v>0</v>
      </c>
      <c r="H136" s="22">
        <f>[2]S1!H137</f>
        <v>0</v>
      </c>
      <c r="I136" s="22">
        <f>[2]S1!I137</f>
        <v>458</v>
      </c>
      <c r="J136" s="13">
        <f>[2]S1!J137</f>
        <v>0</v>
      </c>
      <c r="K136" s="19">
        <f>[2]S1!K137</f>
        <v>868</v>
      </c>
      <c r="L136" s="52">
        <f>[2]S1!L137</f>
        <v>22900</v>
      </c>
      <c r="M136" s="58">
        <f>[2]S1!M137</f>
        <v>4</v>
      </c>
      <c r="N136" s="49">
        <f>[2]S1!P137</f>
        <v>9829622211</v>
      </c>
      <c r="O136" s="14"/>
    </row>
    <row r="137" spans="1:15" x14ac:dyDescent="0.3">
      <c r="A137" s="11">
        <v>3184</v>
      </c>
      <c r="B137" s="12" t="str">
        <f>[3]Name!E2188</f>
        <v>Gayatri Devi Mehrda</v>
      </c>
      <c r="C137" s="13">
        <f>[2]S1!C138</f>
        <v>4300</v>
      </c>
      <c r="D137" s="13">
        <f>[2]S1!D138</f>
        <v>0</v>
      </c>
      <c r="E137" s="26">
        <f>[2]S1!E138</f>
        <v>400</v>
      </c>
      <c r="F137" s="26">
        <f>[2]S1!F138</f>
        <v>10</v>
      </c>
      <c r="G137" s="22">
        <f>[2]S1!G138</f>
        <v>0</v>
      </c>
      <c r="H137" s="22">
        <f>[2]S1!H138</f>
        <v>0</v>
      </c>
      <c r="I137" s="22">
        <f>[2]S1!I138</f>
        <v>460</v>
      </c>
      <c r="J137" s="13">
        <f>[2]S1!J138</f>
        <v>0</v>
      </c>
      <c r="K137" s="19">
        <f>[2]S1!K138</f>
        <v>870</v>
      </c>
      <c r="L137" s="52">
        <f>[2]S1!L138</f>
        <v>23000</v>
      </c>
      <c r="M137" s="58">
        <f>[2]S1!M138</f>
        <v>4</v>
      </c>
      <c r="N137" s="49">
        <f>[2]S1!P138</f>
        <v>9829622211</v>
      </c>
      <c r="O137" s="14"/>
    </row>
    <row r="138" spans="1:15" x14ac:dyDescent="0.3">
      <c r="A138" s="11">
        <v>3185</v>
      </c>
      <c r="B138" s="12" t="str">
        <f>[3]Name!E2189</f>
        <v>Anisha Kumari Meharda</v>
      </c>
      <c r="C138" s="13">
        <f>[2]S1!C139</f>
        <v>4000</v>
      </c>
      <c r="D138" s="13">
        <f>[2]S1!D139</f>
        <v>0</v>
      </c>
      <c r="E138" s="26">
        <f>[2]S1!E139</f>
        <v>400</v>
      </c>
      <c r="F138" s="26">
        <f>[2]S1!F139</f>
        <v>10</v>
      </c>
      <c r="G138" s="22">
        <f>[2]S1!G139</f>
        <v>0</v>
      </c>
      <c r="H138" s="22">
        <f>[2]S1!H139</f>
        <v>0</v>
      </c>
      <c r="I138" s="22">
        <f>[2]S1!I139</f>
        <v>400</v>
      </c>
      <c r="J138" s="13">
        <f>[2]S1!J139</f>
        <v>0</v>
      </c>
      <c r="K138" s="19">
        <f>[2]S1!K139</f>
        <v>810</v>
      </c>
      <c r="L138" s="52">
        <f>[2]S1!L139</f>
        <v>20000</v>
      </c>
      <c r="M138" s="58">
        <f>[2]S1!M139</f>
        <v>4</v>
      </c>
      <c r="N138" s="49">
        <f>[2]S1!P139</f>
        <v>9829622211</v>
      </c>
      <c r="O138" s="14"/>
    </row>
    <row r="139" spans="1:15" x14ac:dyDescent="0.3">
      <c r="A139" s="11">
        <v>3186</v>
      </c>
      <c r="B139" s="12" t="str">
        <f>[3]Name!E2190</f>
        <v>Gyarsi Devi Meharda</v>
      </c>
      <c r="C139" s="13">
        <f>[2]S1!C140</f>
        <v>4000</v>
      </c>
      <c r="D139" s="13">
        <f>[2]S1!D140</f>
        <v>0</v>
      </c>
      <c r="E139" s="26">
        <f>[2]S1!E140</f>
        <v>400</v>
      </c>
      <c r="F139" s="26">
        <f>[2]S1!F140</f>
        <v>10</v>
      </c>
      <c r="G139" s="22">
        <f>[2]S1!G140</f>
        <v>0</v>
      </c>
      <c r="H139" s="22">
        <f>[2]S1!H140</f>
        <v>0</v>
      </c>
      <c r="I139" s="22">
        <f>[2]S1!I140</f>
        <v>400</v>
      </c>
      <c r="J139" s="13">
        <f>[2]S1!J140</f>
        <v>0</v>
      </c>
      <c r="K139" s="19">
        <f>[2]S1!K140</f>
        <v>810</v>
      </c>
      <c r="L139" s="52">
        <f>[2]S1!L140</f>
        <v>20000</v>
      </c>
      <c r="M139" s="58">
        <f>[2]S1!M140</f>
        <v>4</v>
      </c>
      <c r="N139" s="49">
        <f>[2]S1!P140</f>
        <v>9829622211</v>
      </c>
      <c r="O139" s="14"/>
    </row>
    <row r="140" spans="1:15" x14ac:dyDescent="0.3">
      <c r="A140" s="11">
        <v>3187</v>
      </c>
      <c r="B140" s="12" t="str">
        <f>[3]Name!E2191</f>
        <v>Ramesh Kumar Meharda</v>
      </c>
      <c r="C140" s="13">
        <f>[2]S1!C141</f>
        <v>4000</v>
      </c>
      <c r="D140" s="13">
        <f>[2]S1!D141</f>
        <v>0</v>
      </c>
      <c r="E140" s="26">
        <f>[2]S1!E141</f>
        <v>400</v>
      </c>
      <c r="F140" s="26">
        <f>[2]S1!F141</f>
        <v>10</v>
      </c>
      <c r="G140" s="22">
        <f>[2]S1!G141</f>
        <v>0</v>
      </c>
      <c r="H140" s="22">
        <f>[2]S1!H141</f>
        <v>0</v>
      </c>
      <c r="I140" s="22">
        <f>[2]S1!I141</f>
        <v>400</v>
      </c>
      <c r="J140" s="13">
        <f>[2]S1!J141</f>
        <v>0</v>
      </c>
      <c r="K140" s="19">
        <f>[2]S1!K141</f>
        <v>810</v>
      </c>
      <c r="L140" s="52">
        <f>[2]S1!L141</f>
        <v>20000</v>
      </c>
      <c r="M140" s="58">
        <f>[2]S1!M141</f>
        <v>4</v>
      </c>
      <c r="N140" s="49">
        <f>[2]S1!P141</f>
        <v>9829622211</v>
      </c>
      <c r="O140" s="14"/>
    </row>
    <row r="141" spans="1:15" x14ac:dyDescent="0.3">
      <c r="A141" s="11">
        <v>3188</v>
      </c>
      <c r="B141" s="12" t="str">
        <f>[3]Name!E2192</f>
        <v>Aman Kumar Meharda</v>
      </c>
      <c r="C141" s="13">
        <f>[2]S1!C142</f>
        <v>4000</v>
      </c>
      <c r="D141" s="13">
        <f>[2]S1!D142</f>
        <v>0</v>
      </c>
      <c r="E141" s="26">
        <f>[2]S1!E142</f>
        <v>400</v>
      </c>
      <c r="F141" s="26">
        <f>[2]S1!F142</f>
        <v>10</v>
      </c>
      <c r="G141" s="22">
        <f>[2]S1!G142</f>
        <v>0</v>
      </c>
      <c r="H141" s="22">
        <f>[2]S1!H142</f>
        <v>0</v>
      </c>
      <c r="I141" s="22">
        <f>[2]S1!I142</f>
        <v>400</v>
      </c>
      <c r="J141" s="13">
        <f>[2]S1!J142</f>
        <v>0</v>
      </c>
      <c r="K141" s="19">
        <f>[2]S1!K142</f>
        <v>810</v>
      </c>
      <c r="L141" s="52">
        <f>[2]S1!L142</f>
        <v>20000</v>
      </c>
      <c r="M141" s="58">
        <f>[2]S1!M142</f>
        <v>4</v>
      </c>
      <c r="N141" s="49">
        <f>[2]S1!P142</f>
        <v>9829622211</v>
      </c>
      <c r="O141" s="14"/>
    </row>
    <row r="142" spans="1:15" x14ac:dyDescent="0.3">
      <c r="A142" s="11">
        <v>3189</v>
      </c>
      <c r="B142" s="12" t="str">
        <f>[3]Name!E2193</f>
        <v>Anupriya Kumari Meharda</v>
      </c>
      <c r="C142" s="13">
        <f>[2]S1!C143</f>
        <v>4000</v>
      </c>
      <c r="D142" s="13">
        <f>[2]S1!D143</f>
        <v>0</v>
      </c>
      <c r="E142" s="26">
        <f>[2]S1!E143</f>
        <v>400</v>
      </c>
      <c r="F142" s="26">
        <f>[2]S1!F143</f>
        <v>10</v>
      </c>
      <c r="G142" s="22">
        <f>[2]S1!G143</f>
        <v>0</v>
      </c>
      <c r="H142" s="22">
        <f>[2]S1!H143</f>
        <v>0</v>
      </c>
      <c r="I142" s="22">
        <f>[2]S1!I143</f>
        <v>400</v>
      </c>
      <c r="J142" s="13">
        <f>[2]S1!J143</f>
        <v>0</v>
      </c>
      <c r="K142" s="19">
        <f>[2]S1!K143</f>
        <v>810</v>
      </c>
      <c r="L142" s="52">
        <f>[2]S1!L143</f>
        <v>20000</v>
      </c>
      <c r="M142" s="58">
        <f>[2]S1!M143</f>
        <v>4</v>
      </c>
      <c r="N142" s="49">
        <f>[2]S1!P143</f>
        <v>9829622211</v>
      </c>
      <c r="O142" s="14"/>
    </row>
    <row r="143" spans="1:15" x14ac:dyDescent="0.3">
      <c r="A143" s="11">
        <v>3190</v>
      </c>
      <c r="B143" s="12" t="str">
        <f>[3]Name!E2194</f>
        <v>Mamata devi Meharda</v>
      </c>
      <c r="C143" s="13">
        <f>[2]S1!C144</f>
        <v>4000</v>
      </c>
      <c r="D143" s="13">
        <f>[2]S1!D144</f>
        <v>0</v>
      </c>
      <c r="E143" s="26">
        <f>[2]S1!E144</f>
        <v>400</v>
      </c>
      <c r="F143" s="26">
        <f>[2]S1!F144</f>
        <v>10</v>
      </c>
      <c r="G143" s="22">
        <f>[2]S1!G144</f>
        <v>0</v>
      </c>
      <c r="H143" s="22">
        <f>[2]S1!H144</f>
        <v>0</v>
      </c>
      <c r="I143" s="22">
        <f>[2]S1!I144</f>
        <v>400</v>
      </c>
      <c r="J143" s="13">
        <f>[2]S1!J144</f>
        <v>0</v>
      </c>
      <c r="K143" s="19">
        <f>[2]S1!K144</f>
        <v>810</v>
      </c>
      <c r="L143" s="52">
        <f>[2]S1!L144</f>
        <v>20000</v>
      </c>
      <c r="M143" s="58">
        <f>[2]S1!M144</f>
        <v>4</v>
      </c>
      <c r="N143" s="49">
        <f>[2]S1!P144</f>
        <v>9829622211</v>
      </c>
      <c r="O143" s="14"/>
    </row>
    <row r="144" spans="1:15" x14ac:dyDescent="0.3">
      <c r="A144" s="11">
        <v>3191</v>
      </c>
      <c r="B144" s="12" t="str">
        <f>[3]Name!E2195</f>
        <v>Surendr Kumar Lohiya</v>
      </c>
      <c r="C144" s="13">
        <f>[2]S1!C145</f>
        <v>0</v>
      </c>
      <c r="D144" s="13">
        <f>[2]S1!D145</f>
        <v>0</v>
      </c>
      <c r="E144" s="26">
        <f>[2]S1!E145</f>
        <v>0</v>
      </c>
      <c r="F144" s="26">
        <f>[2]S1!F145</f>
        <v>0</v>
      </c>
      <c r="G144" s="22">
        <f>[2]S1!G145</f>
        <v>0</v>
      </c>
      <c r="H144" s="22">
        <f>[2]S1!H145</f>
        <v>0</v>
      </c>
      <c r="I144" s="22">
        <f>[2]S1!I145</f>
        <v>0</v>
      </c>
      <c r="J144" s="13">
        <f>[2]S1!J145</f>
        <v>0</v>
      </c>
      <c r="K144" s="19">
        <f>[2]S1!K145</f>
        <v>0</v>
      </c>
      <c r="L144" s="52">
        <f>[2]S1!L145</f>
        <v>0</v>
      </c>
      <c r="M144" s="58">
        <f>[2]S1!M145</f>
        <v>0</v>
      </c>
      <c r="N144" s="49">
        <f>[2]S1!P145</f>
        <v>9667061763</v>
      </c>
      <c r="O144" s="14"/>
    </row>
    <row r="145" spans="1:15" x14ac:dyDescent="0.3">
      <c r="A145" s="11">
        <v>3192</v>
      </c>
      <c r="B145" s="12" t="str">
        <f>[3]Name!E2196</f>
        <v>Ratana Devi Lohiya</v>
      </c>
      <c r="C145" s="13">
        <f>[2]S1!C146</f>
        <v>0</v>
      </c>
      <c r="D145" s="13">
        <f>[2]S1!D146</f>
        <v>0</v>
      </c>
      <c r="E145" s="26">
        <f>[2]S1!E146</f>
        <v>0</v>
      </c>
      <c r="F145" s="26">
        <f>[2]S1!F146</f>
        <v>0</v>
      </c>
      <c r="G145" s="22">
        <f>[2]S1!G146</f>
        <v>0</v>
      </c>
      <c r="H145" s="22">
        <f>[2]S1!H146</f>
        <v>0</v>
      </c>
      <c r="I145" s="22">
        <f>[2]S1!I146</f>
        <v>0</v>
      </c>
      <c r="J145" s="13">
        <f>[2]S1!J146</f>
        <v>0</v>
      </c>
      <c r="K145" s="19">
        <f>[2]S1!K146</f>
        <v>0</v>
      </c>
      <c r="L145" s="52">
        <f>[2]S1!L146</f>
        <v>0</v>
      </c>
      <c r="M145" s="58">
        <f>[2]S1!M146</f>
        <v>0</v>
      </c>
      <c r="N145" s="49">
        <f>[2]S1!P146</f>
        <v>9667061763</v>
      </c>
      <c r="O145" s="14"/>
    </row>
    <row r="146" spans="1:15" x14ac:dyDescent="0.3">
      <c r="A146" s="11">
        <v>3193</v>
      </c>
      <c r="B146" s="12" t="str">
        <f>[3]Name!E2197</f>
        <v>Suman Devi Lohiya</v>
      </c>
      <c r="C146" s="13">
        <f>[2]S1!C147</f>
        <v>0</v>
      </c>
      <c r="D146" s="13">
        <f>[2]S1!D147</f>
        <v>0</v>
      </c>
      <c r="E146" s="26">
        <f>[2]S1!E147</f>
        <v>0</v>
      </c>
      <c r="F146" s="26">
        <f>[2]S1!F147</f>
        <v>0</v>
      </c>
      <c r="G146" s="22">
        <f>[2]S1!G147</f>
        <v>0</v>
      </c>
      <c r="H146" s="22">
        <f>[2]S1!H147</f>
        <v>0</v>
      </c>
      <c r="I146" s="22">
        <f>[2]S1!I147</f>
        <v>0</v>
      </c>
      <c r="J146" s="13">
        <f>[2]S1!J147</f>
        <v>0</v>
      </c>
      <c r="K146" s="19">
        <f>[2]S1!K147</f>
        <v>0</v>
      </c>
      <c r="L146" s="52">
        <f>[2]S1!L147</f>
        <v>0</v>
      </c>
      <c r="M146" s="58">
        <f>[2]S1!M147</f>
        <v>0</v>
      </c>
      <c r="N146" s="49">
        <f>[2]S1!P147</f>
        <v>9667061763</v>
      </c>
      <c r="O146" s="14"/>
    </row>
    <row r="147" spans="1:15" x14ac:dyDescent="0.3">
      <c r="A147" s="11">
        <v>3194</v>
      </c>
      <c r="B147" s="12" t="str">
        <f>[3]Name!E2198</f>
        <v>Taniska Balai</v>
      </c>
      <c r="C147" s="13">
        <f>[2]S1!C148</f>
        <v>0</v>
      </c>
      <c r="D147" s="13">
        <f>[2]S1!D148</f>
        <v>0</v>
      </c>
      <c r="E147" s="26">
        <f>[2]S1!E148</f>
        <v>0</v>
      </c>
      <c r="F147" s="26">
        <f>[2]S1!F148</f>
        <v>0</v>
      </c>
      <c r="G147" s="22">
        <f>[2]S1!G148</f>
        <v>0</v>
      </c>
      <c r="H147" s="22">
        <f>[2]S1!H148</f>
        <v>0</v>
      </c>
      <c r="I147" s="22">
        <f>[2]S1!I148</f>
        <v>200</v>
      </c>
      <c r="J147" s="13">
        <f>[2]S1!J148</f>
        <v>0</v>
      </c>
      <c r="K147" s="19">
        <f>[2]S1!K148</f>
        <v>200</v>
      </c>
      <c r="L147" s="52">
        <f>[2]S1!L148</f>
        <v>20000</v>
      </c>
      <c r="M147" s="58">
        <f>[2]S1!M148</f>
        <v>2</v>
      </c>
      <c r="N147" s="49">
        <f>[2]S1!P148</f>
        <v>7742016348</v>
      </c>
      <c r="O147" s="14"/>
    </row>
    <row r="148" spans="1:15" x14ac:dyDescent="0.3">
      <c r="A148" s="11">
        <v>3195</v>
      </c>
      <c r="B148" s="12" t="str">
        <f>[3]Name!E2199</f>
        <v>Mohit Balai</v>
      </c>
      <c r="C148" s="13">
        <f>[2]S1!C149</f>
        <v>0</v>
      </c>
      <c r="D148" s="13">
        <f>[2]S1!D149</f>
        <v>0</v>
      </c>
      <c r="E148" s="26">
        <f>[2]S1!E149</f>
        <v>0</v>
      </c>
      <c r="F148" s="26">
        <f>[2]S1!F149</f>
        <v>0</v>
      </c>
      <c r="G148" s="22">
        <f>[2]S1!G149</f>
        <v>0</v>
      </c>
      <c r="H148" s="22">
        <f>[2]S1!H149</f>
        <v>0</v>
      </c>
      <c r="I148" s="22">
        <f>[2]S1!I149</f>
        <v>0</v>
      </c>
      <c r="J148" s="13">
        <f>[2]S1!J149</f>
        <v>0</v>
      </c>
      <c r="K148" s="19">
        <f>[2]S1!K149</f>
        <v>0</v>
      </c>
      <c r="L148" s="52">
        <f>[2]S1!L149</f>
        <v>0</v>
      </c>
      <c r="M148" s="58">
        <f>[2]S1!M149</f>
        <v>0</v>
      </c>
      <c r="N148" s="49">
        <f>[2]S1!P149</f>
        <v>7742016348</v>
      </c>
      <c r="O148" s="14"/>
    </row>
    <row r="149" spans="1:15" x14ac:dyDescent="0.3">
      <c r="A149" s="11">
        <v>3196</v>
      </c>
      <c r="B149" s="12" t="str">
        <f>[3]Name!E2200</f>
        <v>Annil Varma</v>
      </c>
      <c r="C149" s="13">
        <f>[2]S1!C150</f>
        <v>0</v>
      </c>
      <c r="D149" s="13">
        <f>[2]S1!D150</f>
        <v>0</v>
      </c>
      <c r="E149" s="26">
        <f>[2]S1!E150</f>
        <v>0</v>
      </c>
      <c r="F149" s="26">
        <f>[2]S1!F150</f>
        <v>0</v>
      </c>
      <c r="G149" s="22">
        <f>[2]S1!G150</f>
        <v>18574</v>
      </c>
      <c r="H149" s="22">
        <f>[2]S1!H150</f>
        <v>0</v>
      </c>
      <c r="I149" s="22">
        <f>[2]S1!I150</f>
        <v>186</v>
      </c>
      <c r="J149" s="13">
        <f>[2]S1!J150</f>
        <v>0</v>
      </c>
      <c r="K149" s="19">
        <f>[2]S1!K150</f>
        <v>18760</v>
      </c>
      <c r="L149" s="52">
        <f>[2]S1!L150</f>
        <v>18574</v>
      </c>
      <c r="M149" s="58">
        <f>[2]S1!M150</f>
        <v>10</v>
      </c>
      <c r="N149" s="49">
        <f>[2]S1!P150</f>
        <v>7339975247</v>
      </c>
      <c r="O149" s="14"/>
    </row>
    <row r="150" spans="1:15" x14ac:dyDescent="0.3">
      <c r="A150" s="11">
        <v>3197</v>
      </c>
      <c r="B150" s="12" t="str">
        <f>[3]Name!E2201</f>
        <v>Yas Kumar Chitaroliya</v>
      </c>
      <c r="C150" s="13">
        <f>[2]S1!C151</f>
        <v>1000</v>
      </c>
      <c r="D150" s="13">
        <f>[2]S1!D151</f>
        <v>0</v>
      </c>
      <c r="E150" s="26">
        <f>[2]S1!E151</f>
        <v>200</v>
      </c>
      <c r="F150" s="26">
        <f>[2]S1!F151</f>
        <v>0</v>
      </c>
      <c r="G150" s="22">
        <f>[2]S1!G151</f>
        <v>0</v>
      </c>
      <c r="H150" s="22">
        <f>[2]S1!H151</f>
        <v>0</v>
      </c>
      <c r="I150" s="22">
        <f>[2]S1!I151</f>
        <v>75</v>
      </c>
      <c r="J150" s="13">
        <f>[2]S1!J151</f>
        <v>0</v>
      </c>
      <c r="K150" s="19">
        <f>[2]S1!K151</f>
        <v>275</v>
      </c>
      <c r="L150" s="52">
        <f>[2]S1!L151</f>
        <v>7487</v>
      </c>
      <c r="M150" s="58">
        <f>[2]S1!M151</f>
        <v>12</v>
      </c>
      <c r="N150" s="49">
        <f>[2]S1!P151</f>
        <v>8619882463</v>
      </c>
      <c r="O150" s="14"/>
    </row>
    <row r="151" spans="1:15" x14ac:dyDescent="0.3">
      <c r="A151" s="11">
        <v>3198</v>
      </c>
      <c r="B151" s="12" t="str">
        <f>[3]Name!E2202</f>
        <v>Bajarng Lal Chitaroliya</v>
      </c>
      <c r="C151" s="13">
        <f>[2]S1!C152</f>
        <v>2000</v>
      </c>
      <c r="D151" s="13">
        <f>[2]S1!D152</f>
        <v>0</v>
      </c>
      <c r="E151" s="26">
        <f>[2]S1!E152</f>
        <v>0</v>
      </c>
      <c r="F151" s="26">
        <f>[2]S1!F152</f>
        <v>0</v>
      </c>
      <c r="G151" s="22">
        <f>[2]S1!G152</f>
        <v>2000</v>
      </c>
      <c r="H151" s="22">
        <f>[2]S1!H152</f>
        <v>0</v>
      </c>
      <c r="I151" s="22">
        <f>[2]S1!I152</f>
        <v>80</v>
      </c>
      <c r="J151" s="13">
        <f>[2]S1!J152</f>
        <v>0</v>
      </c>
      <c r="K151" s="19">
        <f>[2]S1!K152</f>
        <v>2080</v>
      </c>
      <c r="L151" s="52">
        <f>[2]S1!L152</f>
        <v>8000</v>
      </c>
      <c r="M151" s="58">
        <f>[2]S1!M152</f>
        <v>12</v>
      </c>
      <c r="N151" s="49">
        <f>[2]S1!P152</f>
        <v>8619882463</v>
      </c>
      <c r="O151" s="14"/>
    </row>
    <row r="152" spans="1:15" x14ac:dyDescent="0.3">
      <c r="A152" s="11">
        <v>3199</v>
      </c>
      <c r="B152" s="12" t="str">
        <f>[3]Name!E2203</f>
        <v>Ramgopal Bunkar</v>
      </c>
      <c r="C152" s="13">
        <f>[2]S1!C153</f>
        <v>1000</v>
      </c>
      <c r="D152" s="13">
        <f>[2]S1!D153</f>
        <v>0</v>
      </c>
      <c r="E152" s="26">
        <f>[2]S1!E153</f>
        <v>0</v>
      </c>
      <c r="F152" s="26">
        <f>[2]S1!F153</f>
        <v>0</v>
      </c>
      <c r="G152" s="22">
        <f>[2]S1!G153</f>
        <v>1000</v>
      </c>
      <c r="H152" s="22">
        <f>[2]S1!H153</f>
        <v>0</v>
      </c>
      <c r="I152" s="22">
        <f>[2]S1!I153</f>
        <v>300</v>
      </c>
      <c r="J152" s="13">
        <f>[2]S1!J153</f>
        <v>0</v>
      </c>
      <c r="K152" s="19">
        <f>[2]S1!K153</f>
        <v>1300</v>
      </c>
      <c r="L152" s="52">
        <f>[2]S1!L153</f>
        <v>30000</v>
      </c>
      <c r="M152" s="58">
        <f>[2]S1!M153</f>
        <v>1</v>
      </c>
      <c r="N152" s="49">
        <f>[2]S1!P153</f>
        <v>8949606003</v>
      </c>
      <c r="O152" s="14"/>
    </row>
    <row r="153" spans="1:15" x14ac:dyDescent="0.3">
      <c r="A153" s="11">
        <v>3200</v>
      </c>
      <c r="B153" s="12" t="str">
        <f>[3]Name!E2204</f>
        <v>Nathi Devi Bunkar</v>
      </c>
      <c r="C153" s="13">
        <f>[2]S1!C154</f>
        <v>1000</v>
      </c>
      <c r="D153" s="13">
        <f>[2]S1!D154</f>
        <v>0</v>
      </c>
      <c r="E153" s="26">
        <f>[2]S1!E154</f>
        <v>0</v>
      </c>
      <c r="F153" s="26">
        <f>[2]S1!F154</f>
        <v>0</v>
      </c>
      <c r="G153" s="22">
        <f>[2]S1!G154</f>
        <v>1000</v>
      </c>
      <c r="H153" s="22">
        <f>[2]S1!H154</f>
        <v>0</v>
      </c>
      <c r="I153" s="22">
        <f>[2]S1!I154</f>
        <v>300</v>
      </c>
      <c r="J153" s="13">
        <f>[2]S1!J154</f>
        <v>0</v>
      </c>
      <c r="K153" s="19">
        <f>[2]S1!K154</f>
        <v>1300</v>
      </c>
      <c r="L153" s="52">
        <f>[2]S1!L154</f>
        <v>30000</v>
      </c>
      <c r="M153" s="58">
        <f>[2]S1!M154</f>
        <v>1</v>
      </c>
      <c r="N153" s="49">
        <f>[2]S1!P154</f>
        <v>8949606003</v>
      </c>
      <c r="O153" s="14"/>
    </row>
    <row r="154" spans="1:15" x14ac:dyDescent="0.3">
      <c r="A154" s="11">
        <v>3201</v>
      </c>
      <c r="B154" s="12" t="str">
        <f>[3]Name!E2205</f>
        <v>Krasna Devi Bunkar</v>
      </c>
      <c r="C154" s="13">
        <f>[2]S1!C155</f>
        <v>1000</v>
      </c>
      <c r="D154" s="13">
        <f>[2]S1!D155</f>
        <v>0</v>
      </c>
      <c r="E154" s="26">
        <f>[2]S1!E155</f>
        <v>0</v>
      </c>
      <c r="F154" s="26">
        <f>[2]S1!F155</f>
        <v>0</v>
      </c>
      <c r="G154" s="22">
        <f>[2]S1!G155</f>
        <v>1000</v>
      </c>
      <c r="H154" s="22">
        <f>[2]S1!H155</f>
        <v>0</v>
      </c>
      <c r="I154" s="22">
        <f>[2]S1!I155</f>
        <v>300</v>
      </c>
      <c r="J154" s="13">
        <f>[2]S1!J155</f>
        <v>0</v>
      </c>
      <c r="K154" s="19">
        <f>[2]S1!K155</f>
        <v>1300</v>
      </c>
      <c r="L154" s="52">
        <f>[2]S1!L155</f>
        <v>30000</v>
      </c>
      <c r="M154" s="58">
        <f>[2]S1!M155</f>
        <v>1</v>
      </c>
      <c r="N154" s="49">
        <f>[2]S1!P155</f>
        <v>8949606003</v>
      </c>
      <c r="O154" s="14"/>
    </row>
    <row r="155" spans="1:15" x14ac:dyDescent="0.3">
      <c r="A155" s="11">
        <v>3202</v>
      </c>
      <c r="B155" s="12" t="str">
        <f>[3]Name!E2206</f>
        <v>Yas Kumar Bunkar</v>
      </c>
      <c r="C155" s="13">
        <f>[2]S1!C156</f>
        <v>1000</v>
      </c>
      <c r="D155" s="13">
        <f>[2]S1!D156</f>
        <v>0</v>
      </c>
      <c r="E155" s="26">
        <f>[2]S1!E156</f>
        <v>0</v>
      </c>
      <c r="F155" s="26">
        <f>[2]S1!F156</f>
        <v>0</v>
      </c>
      <c r="G155" s="22">
        <f>[2]S1!G156</f>
        <v>1000</v>
      </c>
      <c r="H155" s="22">
        <f>[2]S1!H156</f>
        <v>0</v>
      </c>
      <c r="I155" s="22">
        <f>[2]S1!I156</f>
        <v>300</v>
      </c>
      <c r="J155" s="13">
        <f>[2]S1!J156</f>
        <v>0</v>
      </c>
      <c r="K155" s="19">
        <f>[2]S1!K156</f>
        <v>1300</v>
      </c>
      <c r="L155" s="52">
        <f>[2]S1!L156</f>
        <v>30000</v>
      </c>
      <c r="M155" s="58">
        <f>[2]S1!M156</f>
        <v>1</v>
      </c>
      <c r="N155" s="49">
        <f>[2]S1!P156</f>
        <v>8949606003</v>
      </c>
      <c r="O155" s="14"/>
    </row>
    <row r="156" spans="1:15" x14ac:dyDescent="0.3">
      <c r="A156" s="11">
        <v>3203</v>
      </c>
      <c r="B156" s="12" t="str">
        <f>[3]Name!E2207</f>
        <v>Kajod Mal Bunkar</v>
      </c>
      <c r="C156" s="13">
        <f>[2]S1!C157</f>
        <v>1000</v>
      </c>
      <c r="D156" s="13">
        <f>[2]S1!D157</f>
        <v>0</v>
      </c>
      <c r="E156" s="26">
        <f>[2]S1!E157</f>
        <v>0</v>
      </c>
      <c r="F156" s="26">
        <f>[2]S1!F157</f>
        <v>0</v>
      </c>
      <c r="G156" s="22">
        <f>[2]S1!G157</f>
        <v>1000</v>
      </c>
      <c r="H156" s="22">
        <f>[2]S1!H157</f>
        <v>0</v>
      </c>
      <c r="I156" s="22">
        <f>[2]S1!I157</f>
        <v>300</v>
      </c>
      <c r="J156" s="13">
        <f>[2]S1!J157</f>
        <v>0</v>
      </c>
      <c r="K156" s="19">
        <f>[2]S1!K157</f>
        <v>1300</v>
      </c>
      <c r="L156" s="52">
        <f>[2]S1!L157</f>
        <v>30000</v>
      </c>
      <c r="M156" s="58">
        <f>[2]S1!M157</f>
        <v>1</v>
      </c>
      <c r="N156" s="49">
        <f>[2]S1!P157</f>
        <v>8949606003</v>
      </c>
      <c r="O156" s="14"/>
    </row>
    <row r="157" spans="1:15" x14ac:dyDescent="0.3">
      <c r="A157" s="11">
        <v>3204</v>
      </c>
      <c r="B157" s="12" t="str">
        <f>[3]Name!E2208</f>
        <v>radip Kumar Pachariya</v>
      </c>
      <c r="C157" s="13">
        <f>[2]S1!C158</f>
        <v>1000</v>
      </c>
      <c r="D157" s="13">
        <f>[2]S1!D158</f>
        <v>0</v>
      </c>
      <c r="E157" s="26">
        <f>[2]S1!E158</f>
        <v>200</v>
      </c>
      <c r="F157" s="26">
        <f>[2]S1!F158</f>
        <v>0</v>
      </c>
      <c r="G157" s="22">
        <f>[2]S1!G158</f>
        <v>0</v>
      </c>
      <c r="H157" s="22">
        <f>[2]S1!H158</f>
        <v>0</v>
      </c>
      <c r="I157" s="22">
        <f>[2]S1!I158</f>
        <v>0</v>
      </c>
      <c r="J157" s="13">
        <f>[2]S1!J158</f>
        <v>0</v>
      </c>
      <c r="K157" s="19">
        <f>[2]S1!K158</f>
        <v>200</v>
      </c>
      <c r="L157" s="52">
        <f>[2]S1!L158</f>
        <v>13849</v>
      </c>
      <c r="M157" s="58">
        <f>[2]S1!M158</f>
        <v>16</v>
      </c>
      <c r="N157" s="49">
        <f>[2]S1!P158</f>
        <v>9314298877</v>
      </c>
      <c r="O157" s="14"/>
    </row>
    <row r="158" spans="1:15" x14ac:dyDescent="0.3">
      <c r="A158" s="11">
        <v>3205</v>
      </c>
      <c r="B158" s="12" t="str">
        <f>[3]Name!E2209</f>
        <v>Birdi Chand Pachariya</v>
      </c>
      <c r="C158" s="13">
        <f>[2]S1!C159</f>
        <v>1000</v>
      </c>
      <c r="D158" s="13">
        <f>[2]S1!D159</f>
        <v>0</v>
      </c>
      <c r="E158" s="26">
        <f>[2]S1!E159</f>
        <v>200</v>
      </c>
      <c r="F158" s="26">
        <f>[2]S1!F159</f>
        <v>0</v>
      </c>
      <c r="G158" s="22">
        <f>[2]S1!G159</f>
        <v>1000</v>
      </c>
      <c r="H158" s="22">
        <f>[2]S1!H159</f>
        <v>0</v>
      </c>
      <c r="I158" s="22">
        <f>[2]S1!I159</f>
        <v>150</v>
      </c>
      <c r="J158" s="13">
        <f>[2]S1!J159</f>
        <v>0</v>
      </c>
      <c r="K158" s="19">
        <f>[2]S1!K159</f>
        <v>1350</v>
      </c>
      <c r="L158" s="52">
        <f>[2]S1!L159</f>
        <v>15000</v>
      </c>
      <c r="M158" s="58">
        <f>[2]S1!M159</f>
        <v>16</v>
      </c>
      <c r="N158" s="49">
        <f>[2]S1!P159</f>
        <v>9314298877</v>
      </c>
      <c r="O158" s="14"/>
    </row>
    <row r="159" spans="1:15" x14ac:dyDescent="0.3">
      <c r="A159" s="11">
        <v>3206</v>
      </c>
      <c r="B159" s="12" t="str">
        <f>[3]Name!E2210</f>
        <v>Manphuli Devi Pachariya</v>
      </c>
      <c r="C159" s="13">
        <f>[2]S1!C160</f>
        <v>1000</v>
      </c>
      <c r="D159" s="13">
        <f>[2]S1!D160</f>
        <v>0</v>
      </c>
      <c r="E159" s="26">
        <f>[2]S1!E160</f>
        <v>200</v>
      </c>
      <c r="F159" s="26">
        <f>[2]S1!F160</f>
        <v>0</v>
      </c>
      <c r="G159" s="22">
        <f>[2]S1!G160</f>
        <v>1000</v>
      </c>
      <c r="H159" s="22">
        <f>[2]S1!H160</f>
        <v>0</v>
      </c>
      <c r="I159" s="22">
        <f>[2]S1!I160</f>
        <v>150</v>
      </c>
      <c r="J159" s="13">
        <f>[2]S1!J160</f>
        <v>0</v>
      </c>
      <c r="K159" s="19">
        <f>[2]S1!K160</f>
        <v>1350</v>
      </c>
      <c r="L159" s="52">
        <f>[2]S1!L160</f>
        <v>15000</v>
      </c>
      <c r="M159" s="58">
        <f>[2]S1!M160</f>
        <v>16</v>
      </c>
      <c r="N159" s="49">
        <f>[2]S1!P160</f>
        <v>9314298877</v>
      </c>
      <c r="O159" s="14"/>
    </row>
    <row r="160" spans="1:15" x14ac:dyDescent="0.3">
      <c r="A160" s="11">
        <v>3207</v>
      </c>
      <c r="B160" s="12" t="str">
        <f>[3]Name!E2211</f>
        <v>Aasa Kumari Pachariya</v>
      </c>
      <c r="C160" s="13">
        <f>[2]S1!C161</f>
        <v>1000</v>
      </c>
      <c r="D160" s="13">
        <f>[2]S1!D161</f>
        <v>0</v>
      </c>
      <c r="E160" s="26">
        <f>[2]S1!E161</f>
        <v>200</v>
      </c>
      <c r="F160" s="26">
        <f>[2]S1!F161</f>
        <v>0</v>
      </c>
      <c r="G160" s="22">
        <f>[2]S1!G161</f>
        <v>1000</v>
      </c>
      <c r="H160" s="22">
        <f>[2]S1!H161</f>
        <v>0</v>
      </c>
      <c r="I160" s="22">
        <f>[2]S1!I161</f>
        <v>150</v>
      </c>
      <c r="J160" s="13">
        <f>[2]S1!J161</f>
        <v>0</v>
      </c>
      <c r="K160" s="19">
        <f>[2]S1!K161</f>
        <v>1350</v>
      </c>
      <c r="L160" s="52">
        <f>[2]S1!L161</f>
        <v>15000</v>
      </c>
      <c r="M160" s="58">
        <f>[2]S1!M161</f>
        <v>16</v>
      </c>
      <c r="N160" s="49">
        <f>[2]S1!P161</f>
        <v>9314298877</v>
      </c>
      <c r="O160" s="14"/>
    </row>
    <row r="161" spans="1:15" x14ac:dyDescent="0.3">
      <c r="A161" s="11">
        <v>3208</v>
      </c>
      <c r="B161" s="12" t="str">
        <f>[3]Name!E2212</f>
        <v>Rosan Pachariya</v>
      </c>
      <c r="C161" s="13">
        <f>[2]S1!C162</f>
        <v>1000</v>
      </c>
      <c r="D161" s="13">
        <f>[2]S1!D162</f>
        <v>0</v>
      </c>
      <c r="E161" s="26">
        <f>[2]S1!E162</f>
        <v>200</v>
      </c>
      <c r="F161" s="26">
        <f>[2]S1!F162</f>
        <v>0</v>
      </c>
      <c r="G161" s="22">
        <f>[2]S1!G162</f>
        <v>1000</v>
      </c>
      <c r="H161" s="22">
        <f>[2]S1!H162</f>
        <v>0</v>
      </c>
      <c r="I161" s="22">
        <f>[2]S1!I162</f>
        <v>150</v>
      </c>
      <c r="J161" s="13">
        <f>[2]S1!J162</f>
        <v>0</v>
      </c>
      <c r="K161" s="19">
        <f>[2]S1!K162</f>
        <v>1350</v>
      </c>
      <c r="L161" s="52">
        <f>[2]S1!L162</f>
        <v>15000</v>
      </c>
      <c r="M161" s="58">
        <f>[2]S1!M162</f>
        <v>16</v>
      </c>
      <c r="N161" s="49">
        <f>[2]S1!P162</f>
        <v>9314298877</v>
      </c>
      <c r="O161" s="14"/>
    </row>
    <row r="162" spans="1:15" x14ac:dyDescent="0.3">
      <c r="A162" s="11">
        <v>3209</v>
      </c>
      <c r="B162" s="12" t="str">
        <f>[3]Name!E2213</f>
        <v>Lavyansi Kandela</v>
      </c>
      <c r="C162" s="13">
        <f>[2]S1!C163</f>
        <v>1000</v>
      </c>
      <c r="D162" s="13">
        <f>[2]S1!D163</f>
        <v>0</v>
      </c>
      <c r="E162" s="26">
        <f>[2]S1!E163</f>
        <v>200</v>
      </c>
      <c r="F162" s="26">
        <f>[2]S1!F163</f>
        <v>0</v>
      </c>
      <c r="G162" s="22">
        <f>[2]S1!G163</f>
        <v>797</v>
      </c>
      <c r="H162" s="22">
        <f>[2]S1!H163</f>
        <v>0</v>
      </c>
      <c r="I162" s="22">
        <f>[2]S1!I163</f>
        <v>178</v>
      </c>
      <c r="J162" s="13">
        <f>[2]S1!J163</f>
        <v>0</v>
      </c>
      <c r="K162" s="19">
        <f>[2]S1!K163</f>
        <v>1175</v>
      </c>
      <c r="L162" s="52">
        <f>[2]S1!L163</f>
        <v>17797</v>
      </c>
      <c r="M162" s="58">
        <f>[2]S1!M163</f>
        <v>3</v>
      </c>
      <c r="N162" s="49">
        <f>[2]S1!P163</f>
        <v>8279298677</v>
      </c>
      <c r="O162" s="14"/>
    </row>
    <row r="163" spans="1:15" x14ac:dyDescent="0.3">
      <c r="A163" s="11">
        <v>3210</v>
      </c>
      <c r="B163" s="12" t="str">
        <f>[3]Name!E2214</f>
        <v>Ramesh chand Balai</v>
      </c>
      <c r="C163" s="13">
        <f>[2]S1!C164</f>
        <v>0</v>
      </c>
      <c r="D163" s="13">
        <f>[2]S1!D164</f>
        <v>0</v>
      </c>
      <c r="E163" s="26">
        <f>[2]S1!E164</f>
        <v>0</v>
      </c>
      <c r="F163" s="26">
        <f>[2]S1!F164</f>
        <v>0</v>
      </c>
      <c r="G163" s="22">
        <f>[2]S1!G164</f>
        <v>0</v>
      </c>
      <c r="H163" s="22">
        <f>[2]S1!H164</f>
        <v>0</v>
      </c>
      <c r="I163" s="22">
        <f>[2]S1!I164</f>
        <v>0</v>
      </c>
      <c r="J163" s="13">
        <f>[2]S1!J164</f>
        <v>0</v>
      </c>
      <c r="K163" s="19">
        <f>[2]S1!K164</f>
        <v>0</v>
      </c>
      <c r="L163" s="52">
        <f>[2]S1!L164</f>
        <v>0</v>
      </c>
      <c r="M163" s="58">
        <f>[2]S1!M164</f>
        <v>0</v>
      </c>
      <c r="N163" s="49">
        <f>[2]S1!P164</f>
        <v>9928186887</v>
      </c>
      <c r="O163" s="14"/>
    </row>
    <row r="164" spans="1:15" x14ac:dyDescent="0.3">
      <c r="A164" s="11">
        <v>3211</v>
      </c>
      <c r="B164" s="12" t="str">
        <f>[3]Name!E2215</f>
        <v>Manju Devi Balai</v>
      </c>
      <c r="C164" s="13">
        <f>[2]S1!C165</f>
        <v>0</v>
      </c>
      <c r="D164" s="13">
        <f>[2]S1!D165</f>
        <v>0</v>
      </c>
      <c r="E164" s="26">
        <f>[2]S1!E165</f>
        <v>0</v>
      </c>
      <c r="F164" s="26">
        <f>[2]S1!F165</f>
        <v>0</v>
      </c>
      <c r="G164" s="22">
        <f>[2]S1!G165</f>
        <v>0</v>
      </c>
      <c r="H164" s="22">
        <f>[2]S1!H165</f>
        <v>0</v>
      </c>
      <c r="I164" s="22">
        <f>[2]S1!I165</f>
        <v>0</v>
      </c>
      <c r="J164" s="13">
        <f>[2]S1!J165</f>
        <v>0</v>
      </c>
      <c r="K164" s="19">
        <f>[2]S1!K165</f>
        <v>0</v>
      </c>
      <c r="L164" s="52">
        <f>[2]S1!L165</f>
        <v>0</v>
      </c>
      <c r="M164" s="58">
        <f>[2]S1!M165</f>
        <v>0</v>
      </c>
      <c r="N164" s="49">
        <f>[2]S1!P165</f>
        <v>9928186887</v>
      </c>
      <c r="O164" s="14"/>
    </row>
    <row r="165" spans="1:15" x14ac:dyDescent="0.3">
      <c r="A165" s="11">
        <v>3212</v>
      </c>
      <c r="B165" s="12" t="str">
        <f>[3]Name!E2216</f>
        <v>Ronag Balai</v>
      </c>
      <c r="C165" s="13">
        <f>[2]S1!C166</f>
        <v>0</v>
      </c>
      <c r="D165" s="13">
        <f>[2]S1!D166</f>
        <v>0</v>
      </c>
      <c r="E165" s="26">
        <f>[2]S1!E166</f>
        <v>0</v>
      </c>
      <c r="F165" s="26">
        <f>[2]S1!F166</f>
        <v>0</v>
      </c>
      <c r="G165" s="22">
        <f>[2]S1!G166</f>
        <v>0</v>
      </c>
      <c r="H165" s="22">
        <f>[2]S1!H166</f>
        <v>0</v>
      </c>
      <c r="I165" s="22">
        <f>[2]S1!I166</f>
        <v>0</v>
      </c>
      <c r="J165" s="13">
        <f>[2]S1!J166</f>
        <v>0</v>
      </c>
      <c r="K165" s="19">
        <f>[2]S1!K166</f>
        <v>0</v>
      </c>
      <c r="L165" s="52">
        <f>[2]S1!L166</f>
        <v>0</v>
      </c>
      <c r="M165" s="58">
        <f>[2]S1!M166</f>
        <v>0</v>
      </c>
      <c r="N165" s="49">
        <f>[2]S1!P166</f>
        <v>9928186887</v>
      </c>
      <c r="O165" s="14"/>
    </row>
    <row r="166" spans="1:15" x14ac:dyDescent="0.3">
      <c r="A166" s="11">
        <v>3213</v>
      </c>
      <c r="B166" s="12" t="str">
        <f>[3]Name!E2217</f>
        <v>Sisupal Khadiya</v>
      </c>
      <c r="C166" s="13">
        <f>[2]S1!C167</f>
        <v>0</v>
      </c>
      <c r="D166" s="13">
        <f>[2]S1!D167</f>
        <v>0</v>
      </c>
      <c r="E166" s="26">
        <f>[2]S1!E167</f>
        <v>200</v>
      </c>
      <c r="F166" s="26">
        <f>[2]S1!F167</f>
        <v>0</v>
      </c>
      <c r="G166" s="22">
        <f>[2]S1!G167</f>
        <v>0</v>
      </c>
      <c r="H166" s="22">
        <f>[2]S1!H167</f>
        <v>0</v>
      </c>
      <c r="I166" s="22">
        <f>[2]S1!I167</f>
        <v>180</v>
      </c>
      <c r="J166" s="13">
        <f>[2]S1!J167</f>
        <v>0</v>
      </c>
      <c r="K166" s="19">
        <f>[2]S1!K167</f>
        <v>380</v>
      </c>
      <c r="L166" s="52">
        <f>[2]S1!L167</f>
        <v>18000</v>
      </c>
      <c r="M166" s="58">
        <f>[2]S1!M167</f>
        <v>1</v>
      </c>
      <c r="N166" s="49">
        <f>[2]S1!P167</f>
        <v>7791888847</v>
      </c>
      <c r="O166" s="14"/>
    </row>
    <row r="167" spans="1:15" x14ac:dyDescent="0.3">
      <c r="A167" s="11">
        <v>3214</v>
      </c>
      <c r="B167" s="12" t="str">
        <f>[3]Name!E2218</f>
        <v>Suman Devi Khadiya</v>
      </c>
      <c r="C167" s="13">
        <f>[2]S1!C168</f>
        <v>1000</v>
      </c>
      <c r="D167" s="13">
        <f>[2]S1!D168</f>
        <v>0</v>
      </c>
      <c r="E167" s="26">
        <f>[2]S1!E168</f>
        <v>200</v>
      </c>
      <c r="F167" s="26">
        <f>[2]S1!F168</f>
        <v>0</v>
      </c>
      <c r="G167" s="22">
        <f>[2]S1!G168</f>
        <v>1000</v>
      </c>
      <c r="H167" s="22">
        <f>[2]S1!H168</f>
        <v>0</v>
      </c>
      <c r="I167" s="22">
        <f>[2]S1!I168</f>
        <v>180</v>
      </c>
      <c r="J167" s="13">
        <f>[2]S1!J168</f>
        <v>0</v>
      </c>
      <c r="K167" s="19">
        <f>[2]S1!K168</f>
        <v>1380</v>
      </c>
      <c r="L167" s="52">
        <f>[2]S1!L168</f>
        <v>18000</v>
      </c>
      <c r="M167" s="58">
        <f>[2]S1!M168</f>
        <v>3</v>
      </c>
      <c r="N167" s="49">
        <f>[2]S1!P168</f>
        <v>7791888847</v>
      </c>
      <c r="O167" s="14"/>
    </row>
    <row r="168" spans="1:15" x14ac:dyDescent="0.3">
      <c r="A168" s="11">
        <v>3215</v>
      </c>
      <c r="B168" s="12" t="str">
        <f>[3]Name!E2219</f>
        <v>Chetan Kumar Khadiya</v>
      </c>
      <c r="C168" s="13">
        <f>[2]S1!C169</f>
        <v>0</v>
      </c>
      <c r="D168" s="13">
        <f>[2]S1!D169</f>
        <v>0</v>
      </c>
      <c r="E168" s="26">
        <f>[2]S1!E169</f>
        <v>200</v>
      </c>
      <c r="F168" s="26">
        <f>[2]S1!F169</f>
        <v>0</v>
      </c>
      <c r="G168" s="22">
        <f>[2]S1!G169</f>
        <v>0</v>
      </c>
      <c r="H168" s="22">
        <f>[2]S1!H169</f>
        <v>0</v>
      </c>
      <c r="I168" s="22">
        <f>[2]S1!I169</f>
        <v>0</v>
      </c>
      <c r="J168" s="13">
        <f>[2]S1!J169</f>
        <v>0</v>
      </c>
      <c r="K168" s="19">
        <f>[2]S1!K169</f>
        <v>200</v>
      </c>
      <c r="L168" s="52">
        <f>[2]S1!L169</f>
        <v>0</v>
      </c>
      <c r="M168" s="58">
        <f>[2]S1!M169</f>
        <v>0</v>
      </c>
      <c r="N168" s="49">
        <f>[2]S1!P169</f>
        <v>7791888847</v>
      </c>
      <c r="O168" s="14"/>
    </row>
    <row r="169" spans="1:15" x14ac:dyDescent="0.3">
      <c r="A169" s="11">
        <v>3216</v>
      </c>
      <c r="B169" s="12" t="str">
        <f>[3]Name!E2220</f>
        <v>Gulab Devi Sachoriya</v>
      </c>
      <c r="C169" s="13">
        <f>[2]S1!C170</f>
        <v>0</v>
      </c>
      <c r="D169" s="13">
        <f>[2]S1!D170</f>
        <v>0</v>
      </c>
      <c r="E169" s="26">
        <f>[2]S1!E170</f>
        <v>200</v>
      </c>
      <c r="F169" s="26">
        <f>[2]S1!F170</f>
        <v>0</v>
      </c>
      <c r="G169" s="22">
        <f>[2]S1!G170</f>
        <v>0</v>
      </c>
      <c r="H169" s="22">
        <f>[2]S1!H170</f>
        <v>0</v>
      </c>
      <c r="I169" s="22">
        <f>[2]S1!I170</f>
        <v>0</v>
      </c>
      <c r="J169" s="13">
        <f>[2]S1!J170</f>
        <v>0</v>
      </c>
      <c r="K169" s="19">
        <f>[2]S1!K170</f>
        <v>200</v>
      </c>
      <c r="L169" s="52">
        <f>[2]S1!L170</f>
        <v>0</v>
      </c>
      <c r="M169" s="58">
        <f>[2]S1!M170</f>
        <v>0</v>
      </c>
      <c r="N169" s="49">
        <f>[2]S1!P170</f>
        <v>9602956137</v>
      </c>
      <c r="O169" s="14"/>
    </row>
    <row r="170" spans="1:15" x14ac:dyDescent="0.3">
      <c r="A170" s="11">
        <v>3217</v>
      </c>
      <c r="B170" s="12" t="str">
        <f>[3]Name!E2221</f>
        <v>Manna Devi Kala</v>
      </c>
      <c r="C170" s="13">
        <f>[2]S1!C171</f>
        <v>0</v>
      </c>
      <c r="D170" s="13">
        <f>[2]S1!D171</f>
        <v>0</v>
      </c>
      <c r="E170" s="26">
        <f>[2]S1!E171</f>
        <v>200</v>
      </c>
      <c r="F170" s="26">
        <f>[2]S1!F171</f>
        <v>0</v>
      </c>
      <c r="G170" s="22">
        <f>[2]S1!G171</f>
        <v>0</v>
      </c>
      <c r="H170" s="22">
        <f>[2]S1!H171</f>
        <v>0</v>
      </c>
      <c r="I170" s="22">
        <f>[2]S1!I171</f>
        <v>0</v>
      </c>
      <c r="J170" s="13">
        <f>[2]S1!J171</f>
        <v>0</v>
      </c>
      <c r="K170" s="19">
        <f>[2]S1!K171</f>
        <v>200</v>
      </c>
      <c r="L170" s="52">
        <f>[2]S1!L171</f>
        <v>0</v>
      </c>
      <c r="M170" s="58">
        <f>[2]S1!M171</f>
        <v>0</v>
      </c>
      <c r="N170" s="49">
        <f>[2]S1!P171</f>
        <v>9799808935</v>
      </c>
      <c r="O170" s="14"/>
    </row>
    <row r="171" spans="1:15" x14ac:dyDescent="0.3">
      <c r="A171" s="11">
        <v>3218</v>
      </c>
      <c r="B171" s="12" t="str">
        <f>[3]Name!E2222</f>
        <v>Ramotar Balai</v>
      </c>
      <c r="C171" s="13">
        <f>[2]S1!C172</f>
        <v>1000</v>
      </c>
      <c r="D171" s="13">
        <f>[2]S1!D172</f>
        <v>0</v>
      </c>
      <c r="E171" s="26">
        <f>[2]S1!E172</f>
        <v>200</v>
      </c>
      <c r="F171" s="26">
        <f>[2]S1!F172</f>
        <v>0</v>
      </c>
      <c r="G171" s="22">
        <f>[2]S1!G172</f>
        <v>1000</v>
      </c>
      <c r="H171" s="22">
        <f>[2]S1!H172</f>
        <v>0</v>
      </c>
      <c r="I171" s="22">
        <f>[2]S1!I172</f>
        <v>130</v>
      </c>
      <c r="J171" s="13">
        <f>[2]S1!J172</f>
        <v>0</v>
      </c>
      <c r="K171" s="19">
        <f>[2]S1!K172</f>
        <v>1330</v>
      </c>
      <c r="L171" s="52">
        <f>[2]S1!L172</f>
        <v>13000</v>
      </c>
      <c r="M171" s="58">
        <f>[2]S1!M172</f>
        <v>8</v>
      </c>
      <c r="N171" s="49">
        <f>[2]S1!P172</f>
        <v>9950082891</v>
      </c>
      <c r="O171" s="14"/>
    </row>
    <row r="172" spans="1:15" x14ac:dyDescent="0.3">
      <c r="A172" s="11">
        <v>3219</v>
      </c>
      <c r="B172" s="12" t="str">
        <f>[3]Name!E2223</f>
        <v>Puja Devi Balai</v>
      </c>
      <c r="C172" s="13">
        <f>[2]S1!C173</f>
        <v>1000</v>
      </c>
      <c r="D172" s="13">
        <f>[2]S1!D173</f>
        <v>0</v>
      </c>
      <c r="E172" s="26">
        <f>[2]S1!E173</f>
        <v>200</v>
      </c>
      <c r="F172" s="26">
        <f>[2]S1!F173</f>
        <v>0</v>
      </c>
      <c r="G172" s="22">
        <f>[2]S1!G173</f>
        <v>694</v>
      </c>
      <c r="H172" s="22">
        <f>[2]S1!H173</f>
        <v>0</v>
      </c>
      <c r="I172" s="22">
        <f>[2]S1!I173</f>
        <v>127</v>
      </c>
      <c r="J172" s="13">
        <f>[2]S1!J173</f>
        <v>0</v>
      </c>
      <c r="K172" s="19">
        <f>[2]S1!K173</f>
        <v>1021</v>
      </c>
      <c r="L172" s="52">
        <f>[2]S1!L173</f>
        <v>12694</v>
      </c>
      <c r="M172" s="58">
        <f>[2]S1!M173</f>
        <v>8</v>
      </c>
      <c r="N172" s="49">
        <f>[2]S1!P173</f>
        <v>9950082891</v>
      </c>
      <c r="O172" s="14"/>
    </row>
    <row r="173" spans="1:15" x14ac:dyDescent="0.3">
      <c r="A173" s="11">
        <v>3220</v>
      </c>
      <c r="B173" s="12" t="str">
        <f>[3]Name!E2224</f>
        <v>Yas Kumar Balai</v>
      </c>
      <c r="C173" s="13">
        <f>[2]S1!C174</f>
        <v>1000</v>
      </c>
      <c r="D173" s="13">
        <f>[2]S1!D174</f>
        <v>0</v>
      </c>
      <c r="E173" s="26">
        <f>[2]S1!E174</f>
        <v>200</v>
      </c>
      <c r="F173" s="26">
        <f>[2]S1!F174</f>
        <v>0</v>
      </c>
      <c r="G173" s="22">
        <f>[2]S1!G174</f>
        <v>1000</v>
      </c>
      <c r="H173" s="22">
        <f>[2]S1!H174</f>
        <v>0</v>
      </c>
      <c r="I173" s="22">
        <f>[2]S1!I174</f>
        <v>130</v>
      </c>
      <c r="J173" s="13">
        <f>[2]S1!J174</f>
        <v>0</v>
      </c>
      <c r="K173" s="19">
        <f>[2]S1!K174</f>
        <v>1330</v>
      </c>
      <c r="L173" s="52">
        <f>[2]S1!L174</f>
        <v>13000</v>
      </c>
      <c r="M173" s="58">
        <f>[2]S1!M174</f>
        <v>8</v>
      </c>
      <c r="N173" s="49">
        <f>[2]S1!P174</f>
        <v>9950082891</v>
      </c>
      <c r="O173" s="14"/>
    </row>
    <row r="174" spans="1:15" x14ac:dyDescent="0.3">
      <c r="A174" s="11">
        <v>3221</v>
      </c>
      <c r="B174" s="12" t="str">
        <f>[3]Name!E2225</f>
        <v>Dhanna Lal Balai</v>
      </c>
      <c r="C174" s="13">
        <f>[2]S1!C175</f>
        <v>1000</v>
      </c>
      <c r="D174" s="13">
        <f>[2]S1!D175</f>
        <v>0</v>
      </c>
      <c r="E174" s="26">
        <f>[2]S1!E175</f>
        <v>200</v>
      </c>
      <c r="F174" s="26">
        <f>[2]S1!F175</f>
        <v>0</v>
      </c>
      <c r="G174" s="22">
        <f>[2]S1!G175</f>
        <v>1000</v>
      </c>
      <c r="H174" s="22">
        <f>[2]S1!H175</f>
        <v>0</v>
      </c>
      <c r="I174" s="22">
        <f>[2]S1!I175</f>
        <v>130</v>
      </c>
      <c r="J174" s="13">
        <f>[2]S1!J175</f>
        <v>0</v>
      </c>
      <c r="K174" s="19">
        <f>[2]S1!K175</f>
        <v>1330</v>
      </c>
      <c r="L174" s="52">
        <f>[2]S1!L175</f>
        <v>13000</v>
      </c>
      <c r="M174" s="58">
        <f>[2]S1!M175</f>
        <v>8</v>
      </c>
      <c r="N174" s="49">
        <f>[2]S1!P175</f>
        <v>9950082891</v>
      </c>
      <c r="O174" s="14"/>
    </row>
    <row r="175" spans="1:15" x14ac:dyDescent="0.3">
      <c r="A175" s="11">
        <v>3222</v>
      </c>
      <c r="B175" s="12" t="str">
        <f>[3]Name!E2226</f>
        <v>Surgyani Devi Balai</v>
      </c>
      <c r="C175" s="13">
        <f>[2]S1!C176</f>
        <v>1000</v>
      </c>
      <c r="D175" s="13">
        <f>[2]S1!D176</f>
        <v>0</v>
      </c>
      <c r="E175" s="26">
        <f>[2]S1!E176</f>
        <v>200</v>
      </c>
      <c r="F175" s="26">
        <f>[2]S1!F176</f>
        <v>0</v>
      </c>
      <c r="G175" s="22">
        <f>[2]S1!G176</f>
        <v>1000</v>
      </c>
      <c r="H175" s="22">
        <f>[2]S1!H176</f>
        <v>0</v>
      </c>
      <c r="I175" s="22">
        <f>[2]S1!I176</f>
        <v>130</v>
      </c>
      <c r="J175" s="13">
        <f>[2]S1!J176</f>
        <v>0</v>
      </c>
      <c r="K175" s="19">
        <f>[2]S1!K176</f>
        <v>1330</v>
      </c>
      <c r="L175" s="52">
        <f>[2]S1!L176</f>
        <v>13000</v>
      </c>
      <c r="M175" s="58">
        <f>[2]S1!M176</f>
        <v>8</v>
      </c>
      <c r="N175" s="49">
        <f>[2]S1!P176</f>
        <v>9950082891</v>
      </c>
      <c r="O175" s="14"/>
    </row>
    <row r="176" spans="1:15" x14ac:dyDescent="0.3">
      <c r="A176" s="11">
        <v>3223</v>
      </c>
      <c r="B176" s="12" t="str">
        <f>[3]Name!E2227</f>
        <v>Hanuman Sahay Bayala</v>
      </c>
      <c r="C176" s="13">
        <f>[2]S1!C177</f>
        <v>0</v>
      </c>
      <c r="D176" s="13">
        <f>[2]S1!D177</f>
        <v>0</v>
      </c>
      <c r="E176" s="26">
        <f>[2]S1!E177</f>
        <v>200</v>
      </c>
      <c r="F176" s="26">
        <f>[2]S1!F177</f>
        <v>0</v>
      </c>
      <c r="G176" s="22">
        <f>[2]S1!G177</f>
        <v>0</v>
      </c>
      <c r="H176" s="22">
        <f>[2]S1!H177</f>
        <v>0</v>
      </c>
      <c r="I176" s="22">
        <f>[2]S1!I177</f>
        <v>193</v>
      </c>
      <c r="J176" s="13">
        <f>[2]S1!J177</f>
        <v>0</v>
      </c>
      <c r="K176" s="19">
        <f>[2]S1!K177</f>
        <v>393</v>
      </c>
      <c r="L176" s="52">
        <f>[2]S1!L177</f>
        <v>19300</v>
      </c>
      <c r="M176" s="58">
        <f>[2]S1!M177</f>
        <v>2</v>
      </c>
      <c r="N176" s="49">
        <f>[2]S1!P177</f>
        <v>9887923580</v>
      </c>
      <c r="O176" s="14"/>
    </row>
    <row r="177" spans="1:15" x14ac:dyDescent="0.3">
      <c r="A177" s="11">
        <v>3224</v>
      </c>
      <c r="B177" s="12" t="str">
        <f>[3]Name!E2228</f>
        <v>Sarda Devi Bayala</v>
      </c>
      <c r="C177" s="13">
        <f>[2]S1!C178</f>
        <v>3700</v>
      </c>
      <c r="D177" s="13">
        <f>[2]S1!D178</f>
        <v>0</v>
      </c>
      <c r="E177" s="26">
        <f>[2]S1!E178</f>
        <v>200</v>
      </c>
      <c r="F177" s="26">
        <f>[2]S1!F178</f>
        <v>0</v>
      </c>
      <c r="G177" s="22">
        <f>[2]S1!G178</f>
        <v>0</v>
      </c>
      <c r="H177" s="22">
        <f>[2]S1!H178</f>
        <v>0</v>
      </c>
      <c r="I177" s="22">
        <f>[2]S1!I178</f>
        <v>0</v>
      </c>
      <c r="J177" s="13">
        <f>[2]S1!J178</f>
        <v>0</v>
      </c>
      <c r="K177" s="19">
        <f>[2]S1!K178</f>
        <v>200</v>
      </c>
      <c r="L177" s="52">
        <f>[2]S1!L178</f>
        <v>0</v>
      </c>
      <c r="M177" s="58">
        <f>[2]S1!M178</f>
        <v>0</v>
      </c>
      <c r="N177" s="49">
        <f>[2]S1!P178</f>
        <v>9887923580</v>
      </c>
      <c r="O177" s="14"/>
    </row>
    <row r="178" spans="1:15" x14ac:dyDescent="0.3">
      <c r="A178" s="11">
        <v>3225</v>
      </c>
      <c r="B178" s="12" t="str">
        <f>[3]Name!E2229</f>
        <v>Neha Kumari Bayala</v>
      </c>
      <c r="C178" s="13">
        <f>[2]S1!C179</f>
        <v>21000</v>
      </c>
      <c r="D178" s="13">
        <f>[2]S1!D179</f>
        <v>0</v>
      </c>
      <c r="E178" s="26">
        <f>[2]S1!E179</f>
        <v>0</v>
      </c>
      <c r="F178" s="26">
        <f>[2]S1!F179</f>
        <v>0</v>
      </c>
      <c r="G178" s="22">
        <f>[2]S1!G179</f>
        <v>1000</v>
      </c>
      <c r="H178" s="22">
        <f>[2]S1!H179</f>
        <v>0</v>
      </c>
      <c r="I178" s="22">
        <f>[2]S1!I179</f>
        <v>220</v>
      </c>
      <c r="J178" s="13">
        <f>[2]S1!J179</f>
        <v>0</v>
      </c>
      <c r="K178" s="19">
        <f>[2]S1!K179</f>
        <v>1220</v>
      </c>
      <c r="L178" s="52">
        <f>[2]S1!L179</f>
        <v>22000</v>
      </c>
      <c r="M178" s="58">
        <f>[2]S1!M179</f>
        <v>9</v>
      </c>
      <c r="N178" s="49">
        <f>[2]S1!P179</f>
        <v>9887923580</v>
      </c>
      <c r="O178" s="14"/>
    </row>
    <row r="179" spans="1:15" x14ac:dyDescent="0.3">
      <c r="A179" s="11">
        <v>3226</v>
      </c>
      <c r="B179" s="12" t="str">
        <f>[3]Name!E2230</f>
        <v>Tani Parihar</v>
      </c>
      <c r="C179" s="13">
        <f>[2]S1!C180</f>
        <v>0</v>
      </c>
      <c r="D179" s="13">
        <f>[2]S1!D180</f>
        <v>0</v>
      </c>
      <c r="E179" s="26">
        <f>[2]S1!E180</f>
        <v>0</v>
      </c>
      <c r="F179" s="26">
        <f>[2]S1!F180</f>
        <v>0</v>
      </c>
      <c r="G179" s="22">
        <f>[2]S1!G180</f>
        <v>3000</v>
      </c>
      <c r="H179" s="22">
        <f>[2]S1!H180</f>
        <v>0</v>
      </c>
      <c r="I179" s="22">
        <f>[2]S1!I180</f>
        <v>30</v>
      </c>
      <c r="J179" s="13">
        <f>[2]S1!J180</f>
        <v>0</v>
      </c>
      <c r="K179" s="19">
        <f>[2]S1!K180</f>
        <v>3030</v>
      </c>
      <c r="L179" s="52">
        <f>[2]S1!L180</f>
        <v>3000</v>
      </c>
      <c r="M179" s="58">
        <f>[2]S1!M180</f>
        <v>10</v>
      </c>
      <c r="N179" s="49">
        <f>[2]S1!P180</f>
        <v>7792847541</v>
      </c>
      <c r="O179" s="14"/>
    </row>
    <row r="180" spans="1:15" x14ac:dyDescent="0.3">
      <c r="A180" s="11">
        <v>3227</v>
      </c>
      <c r="B180" s="12" t="str">
        <f>[3]Name!E2231</f>
        <v>Axay Parihar</v>
      </c>
      <c r="C180" s="13">
        <f>[2]S1!C181</f>
        <v>0</v>
      </c>
      <c r="D180" s="13">
        <f>[2]S1!D181</f>
        <v>0</v>
      </c>
      <c r="E180" s="26">
        <f>[2]S1!E181</f>
        <v>200</v>
      </c>
      <c r="F180" s="26">
        <f>[2]S1!F181</f>
        <v>0</v>
      </c>
      <c r="G180" s="22">
        <f>[2]S1!G181</f>
        <v>0</v>
      </c>
      <c r="H180" s="22">
        <f>[2]S1!H181</f>
        <v>0</v>
      </c>
      <c r="I180" s="22">
        <f>[2]S1!I181</f>
        <v>0</v>
      </c>
      <c r="J180" s="13">
        <f>[2]S1!J181</f>
        <v>0</v>
      </c>
      <c r="K180" s="19">
        <f>[2]S1!K181</f>
        <v>200</v>
      </c>
      <c r="L180" s="52">
        <f>[2]S1!L181</f>
        <v>0</v>
      </c>
      <c r="M180" s="58">
        <f>[2]S1!M181</f>
        <v>0</v>
      </c>
      <c r="N180" s="49">
        <f>[2]S1!P181</f>
        <v>7792847541</v>
      </c>
      <c r="O180" s="14"/>
    </row>
    <row r="181" spans="1:15" x14ac:dyDescent="0.3">
      <c r="A181" s="11">
        <v>3228</v>
      </c>
      <c r="B181" s="12" t="str">
        <f>[3]Name!E2232</f>
        <v>Kasturi Devi Parihar</v>
      </c>
      <c r="C181" s="13">
        <f>[2]S1!C182</f>
        <v>0</v>
      </c>
      <c r="D181" s="13">
        <f>[2]S1!D182</f>
        <v>0</v>
      </c>
      <c r="E181" s="26">
        <f>[2]S1!E182</f>
        <v>200</v>
      </c>
      <c r="F181" s="26">
        <f>[2]S1!F182</f>
        <v>0</v>
      </c>
      <c r="G181" s="22">
        <f>[2]S1!G182</f>
        <v>0</v>
      </c>
      <c r="H181" s="22">
        <f>[2]S1!H182</f>
        <v>0</v>
      </c>
      <c r="I181" s="22">
        <f>[2]S1!I182</f>
        <v>0</v>
      </c>
      <c r="J181" s="13">
        <f>[2]S1!J182</f>
        <v>0</v>
      </c>
      <c r="K181" s="19">
        <f>[2]S1!K182</f>
        <v>200</v>
      </c>
      <c r="L181" s="52">
        <f>[2]S1!L182</f>
        <v>0</v>
      </c>
      <c r="M181" s="58">
        <f>[2]S1!M182</f>
        <v>0</v>
      </c>
      <c r="N181" s="49">
        <f>[2]S1!P182</f>
        <v>7792847541</v>
      </c>
      <c r="O181" s="14"/>
    </row>
    <row r="182" spans="1:15" x14ac:dyDescent="0.3">
      <c r="A182" s="11">
        <v>3229</v>
      </c>
      <c r="B182" s="12" t="str">
        <f>[3]Name!E2233</f>
        <v>Ratan Lal Khatti</v>
      </c>
      <c r="C182" s="13">
        <f>[2]S1!C183</f>
        <v>0</v>
      </c>
      <c r="D182" s="13">
        <f>[2]S1!D183</f>
        <v>0</v>
      </c>
      <c r="E182" s="26">
        <f>[2]S1!E183</f>
        <v>200</v>
      </c>
      <c r="F182" s="26">
        <f>[2]S1!F183</f>
        <v>0</v>
      </c>
      <c r="G182" s="22">
        <f>[2]S1!G183</f>
        <v>0</v>
      </c>
      <c r="H182" s="22">
        <f>[2]S1!H183</f>
        <v>0</v>
      </c>
      <c r="I182" s="22">
        <f>[2]S1!I183</f>
        <v>198</v>
      </c>
      <c r="J182" s="13">
        <f>[2]S1!J183</f>
        <v>0</v>
      </c>
      <c r="K182" s="19">
        <f>[2]S1!K183</f>
        <v>398</v>
      </c>
      <c r="L182" s="52">
        <f>[2]S1!L183</f>
        <v>19800</v>
      </c>
      <c r="M182" s="58">
        <f>[2]S1!M183</f>
        <v>3</v>
      </c>
      <c r="N182" s="49">
        <f>[2]S1!P183</f>
        <v>9057567018</v>
      </c>
      <c r="O182" s="14"/>
    </row>
    <row r="183" spans="1:15" x14ac:dyDescent="0.3">
      <c r="A183" s="11">
        <v>3230</v>
      </c>
      <c r="B183" s="12" t="str">
        <f>[3]Name!E2234</f>
        <v>Maya Devi Khatti</v>
      </c>
      <c r="C183" s="13">
        <f>[2]S1!C184</f>
        <v>0</v>
      </c>
      <c r="D183" s="13">
        <f>[2]S1!D184</f>
        <v>0</v>
      </c>
      <c r="E183" s="26">
        <f>[2]S1!E184</f>
        <v>186</v>
      </c>
      <c r="F183" s="26">
        <f>[2]S1!F184</f>
        <v>0</v>
      </c>
      <c r="G183" s="22">
        <f>[2]S1!G184</f>
        <v>0</v>
      </c>
      <c r="H183" s="22">
        <f>[2]S1!H184</f>
        <v>0</v>
      </c>
      <c r="I183" s="22">
        <f>[2]S1!I184</f>
        <v>198</v>
      </c>
      <c r="J183" s="13">
        <f>[2]S1!J184</f>
        <v>0</v>
      </c>
      <c r="K183" s="19">
        <f>[2]S1!K184</f>
        <v>384</v>
      </c>
      <c r="L183" s="52">
        <f>[2]S1!L184</f>
        <v>19800</v>
      </c>
      <c r="M183" s="58">
        <f>[2]S1!M184</f>
        <v>3</v>
      </c>
      <c r="N183" s="49">
        <f>[2]S1!P184</f>
        <v>9057567018</v>
      </c>
      <c r="O183" s="14"/>
    </row>
    <row r="184" spans="1:15" x14ac:dyDescent="0.3">
      <c r="A184" s="11">
        <v>3231</v>
      </c>
      <c r="B184" s="12" t="str">
        <f>[3]Name!E2235</f>
        <v>Harinarayan Khatti</v>
      </c>
      <c r="C184" s="13">
        <f>[2]S1!C185</f>
        <v>0</v>
      </c>
      <c r="D184" s="13">
        <f>[2]S1!D185</f>
        <v>0</v>
      </c>
      <c r="E184" s="26">
        <f>[2]S1!E185</f>
        <v>200</v>
      </c>
      <c r="F184" s="26">
        <f>[2]S1!F185</f>
        <v>0</v>
      </c>
      <c r="G184" s="22">
        <f>[2]S1!G185</f>
        <v>0</v>
      </c>
      <c r="H184" s="22">
        <f>[2]S1!H185</f>
        <v>0</v>
      </c>
      <c r="I184" s="22">
        <f>[2]S1!I185</f>
        <v>198</v>
      </c>
      <c r="J184" s="13">
        <f>[2]S1!J185</f>
        <v>0</v>
      </c>
      <c r="K184" s="19">
        <f>[2]S1!K185</f>
        <v>398</v>
      </c>
      <c r="L184" s="52">
        <f>[2]S1!L185</f>
        <v>19800</v>
      </c>
      <c r="M184" s="58">
        <f>[2]S1!M185</f>
        <v>3</v>
      </c>
      <c r="N184" s="49">
        <f>[2]S1!P185</f>
        <v>9057567018</v>
      </c>
      <c r="O184" s="14"/>
    </row>
    <row r="185" spans="1:15" x14ac:dyDescent="0.3">
      <c r="A185" s="11">
        <v>3232</v>
      </c>
      <c r="B185" s="12" t="str">
        <f>[3]Name!E2236</f>
        <v>Ramchandr Khatti</v>
      </c>
      <c r="C185" s="13">
        <f>[2]S1!C186</f>
        <v>0</v>
      </c>
      <c r="D185" s="13">
        <f>[2]S1!D186</f>
        <v>12150</v>
      </c>
      <c r="E185" s="26">
        <f>[2]S1!E186</f>
        <v>1600</v>
      </c>
      <c r="F185" s="26">
        <f>[2]S1!F186</f>
        <v>0</v>
      </c>
      <c r="G185" s="22">
        <f>[2]S1!G186</f>
        <v>26121</v>
      </c>
      <c r="H185" s="22">
        <f>[2]S1!H186</f>
        <v>15188</v>
      </c>
      <c r="I185" s="22">
        <f>[2]S1!I186</f>
        <v>2871</v>
      </c>
      <c r="J185" s="13">
        <f>[2]S1!J186</f>
        <v>0</v>
      </c>
      <c r="K185" s="19">
        <f>[2]S1!K186</f>
        <v>45780</v>
      </c>
      <c r="L185" s="52">
        <f>[2]S1!L186</f>
        <v>26121</v>
      </c>
      <c r="M185" s="58">
        <f>[2]S1!M186</f>
        <v>18</v>
      </c>
      <c r="N185" s="49">
        <f>[2]S1!P186</f>
        <v>6350644839</v>
      </c>
      <c r="O185" s="14"/>
    </row>
    <row r="186" spans="1:15" x14ac:dyDescent="0.3">
      <c r="A186" s="11">
        <v>3233</v>
      </c>
      <c r="B186" s="12" t="str">
        <f>[3]Name!E2237</f>
        <v>Mafuli Khatti</v>
      </c>
      <c r="C186" s="13">
        <f>[2]S1!C187</f>
        <v>0</v>
      </c>
      <c r="D186" s="13">
        <f>[2]S1!D187</f>
        <v>12376</v>
      </c>
      <c r="E186" s="26">
        <f>[2]S1!E187</f>
        <v>1570</v>
      </c>
      <c r="F186" s="26">
        <f>[2]S1!F187</f>
        <v>0</v>
      </c>
      <c r="G186" s="22">
        <f>[2]S1!G187</f>
        <v>26500</v>
      </c>
      <c r="H186" s="22">
        <f>[2]S1!H187</f>
        <v>15470</v>
      </c>
      <c r="I186" s="22">
        <f>[2]S1!I187</f>
        <v>2915</v>
      </c>
      <c r="J186" s="13">
        <f>[2]S1!J187</f>
        <v>0</v>
      </c>
      <c r="K186" s="19">
        <f>[2]S1!K187</f>
        <v>46455</v>
      </c>
      <c r="L186" s="52">
        <f>[2]S1!L187</f>
        <v>26500</v>
      </c>
      <c r="M186" s="58">
        <f>[2]S1!M187</f>
        <v>18</v>
      </c>
      <c r="N186" s="49">
        <f>[2]S1!P187</f>
        <v>6350644839</v>
      </c>
      <c r="O186" s="14"/>
    </row>
    <row r="187" spans="1:15" x14ac:dyDescent="0.3">
      <c r="A187" s="11">
        <v>3234</v>
      </c>
      <c r="B187" s="12" t="str">
        <f>[3]Name!E2238</f>
        <v>Anita Khatti</v>
      </c>
      <c r="C187" s="13">
        <f>[2]S1!C188</f>
        <v>0</v>
      </c>
      <c r="D187" s="13">
        <f>[2]S1!D188</f>
        <v>12376</v>
      </c>
      <c r="E187" s="26">
        <f>[2]S1!E188</f>
        <v>1582</v>
      </c>
      <c r="F187" s="26">
        <f>[2]S1!F188</f>
        <v>0</v>
      </c>
      <c r="G187" s="22">
        <f>[2]S1!G188</f>
        <v>26500</v>
      </c>
      <c r="H187" s="22">
        <f>[2]S1!H188</f>
        <v>15470</v>
      </c>
      <c r="I187" s="22">
        <f>[2]S1!I188</f>
        <v>2915</v>
      </c>
      <c r="J187" s="13">
        <f>[2]S1!J188</f>
        <v>0</v>
      </c>
      <c r="K187" s="19">
        <f>[2]S1!K188</f>
        <v>46467</v>
      </c>
      <c r="L187" s="52">
        <f>[2]S1!L188</f>
        <v>26500</v>
      </c>
      <c r="M187" s="58">
        <f>[2]S1!M188</f>
        <v>18</v>
      </c>
      <c r="N187" s="49">
        <f>[2]S1!P188</f>
        <v>6350644839</v>
      </c>
      <c r="O187" s="14"/>
    </row>
    <row r="188" spans="1:15" x14ac:dyDescent="0.3">
      <c r="A188" s="11">
        <v>3235</v>
      </c>
      <c r="B188" s="12" t="str">
        <f>[3]Name!E2239</f>
        <v>Govind Khatti</v>
      </c>
      <c r="C188" s="13">
        <f>[2]S1!C189</f>
        <v>0</v>
      </c>
      <c r="D188" s="13">
        <f>[2]S1!D189</f>
        <v>12376</v>
      </c>
      <c r="E188" s="26">
        <f>[2]S1!E189</f>
        <v>1600</v>
      </c>
      <c r="F188" s="26">
        <f>[2]S1!F189</f>
        <v>0</v>
      </c>
      <c r="G188" s="22">
        <f>[2]S1!G189</f>
        <v>26500</v>
      </c>
      <c r="H188" s="22">
        <f>[2]S1!H189</f>
        <v>15470</v>
      </c>
      <c r="I188" s="22">
        <f>[2]S1!I189</f>
        <v>2915</v>
      </c>
      <c r="J188" s="13">
        <f>[2]S1!J189</f>
        <v>0</v>
      </c>
      <c r="K188" s="19">
        <f>[2]S1!K189</f>
        <v>46485</v>
      </c>
      <c r="L188" s="52">
        <f>[2]S1!L189</f>
        <v>26500</v>
      </c>
      <c r="M188" s="58">
        <f>[2]S1!M189</f>
        <v>18</v>
      </c>
      <c r="N188" s="49">
        <f>[2]S1!P189</f>
        <v>6350644839</v>
      </c>
      <c r="O188" s="14"/>
    </row>
    <row r="189" spans="1:15" x14ac:dyDescent="0.3">
      <c r="A189" s="11">
        <v>3236</v>
      </c>
      <c r="B189" s="12" t="str">
        <f>[3]Name!E2240</f>
        <v>Fuli Devi Khatti</v>
      </c>
      <c r="C189" s="13">
        <f>[2]S1!C190</f>
        <v>0</v>
      </c>
      <c r="D189" s="13">
        <f>[2]S1!D190</f>
        <v>5625</v>
      </c>
      <c r="E189" s="26">
        <f>[2]S1!E190</f>
        <v>1000</v>
      </c>
      <c r="F189" s="26">
        <f>[2]S1!F190</f>
        <v>0</v>
      </c>
      <c r="G189" s="22">
        <f>[2]S1!G190</f>
        <v>21000</v>
      </c>
      <c r="H189" s="22">
        <f>[2]S1!H190</f>
        <v>7500</v>
      </c>
      <c r="I189" s="22">
        <f>[2]S1!I190</f>
        <v>2310</v>
      </c>
      <c r="J189" s="13">
        <f>[2]S1!J190</f>
        <v>0</v>
      </c>
      <c r="K189" s="19">
        <f>[2]S1!K190</f>
        <v>31810</v>
      </c>
      <c r="L189" s="52">
        <f>[2]S1!L190</f>
        <v>21000</v>
      </c>
      <c r="M189" s="58">
        <f>[2]S1!M190</f>
        <v>20</v>
      </c>
      <c r="N189" s="49">
        <f>[2]S1!P190</f>
        <v>6350644839</v>
      </c>
      <c r="O189" s="14"/>
    </row>
    <row r="190" spans="1:15" x14ac:dyDescent="0.3">
      <c r="A190" s="11">
        <v>3237</v>
      </c>
      <c r="B190" s="12" t="str">
        <f>[3]Name!E2241</f>
        <v>Komal Khatti</v>
      </c>
      <c r="C190" s="13">
        <f>[2]S1!C191</f>
        <v>500</v>
      </c>
      <c r="D190" s="13">
        <f>[2]S1!D191</f>
        <v>0</v>
      </c>
      <c r="E190" s="26">
        <f>[2]S1!E191</f>
        <v>0</v>
      </c>
      <c r="F190" s="26">
        <f>[2]S1!F191</f>
        <v>0</v>
      </c>
      <c r="G190" s="22">
        <f>[2]S1!G191</f>
        <v>0</v>
      </c>
      <c r="H190" s="22">
        <f>[2]S1!H191</f>
        <v>0</v>
      </c>
      <c r="I190" s="22">
        <f>[2]S1!I191</f>
        <v>289</v>
      </c>
      <c r="J190" s="13">
        <f>[2]S1!J191</f>
        <v>0</v>
      </c>
      <c r="K190" s="19">
        <f>[2]S1!K191</f>
        <v>289</v>
      </c>
      <c r="L190" s="52">
        <f>[2]S1!L191</f>
        <v>28883</v>
      </c>
      <c r="M190" s="58">
        <f>[2]S1!M191</f>
        <v>1</v>
      </c>
      <c r="N190" s="49">
        <f>[2]S1!P191</f>
        <v>6367846106</v>
      </c>
      <c r="O190" s="14"/>
    </row>
    <row r="191" spans="1:15" x14ac:dyDescent="0.3">
      <c r="A191" s="11">
        <v>3238</v>
      </c>
      <c r="B191" s="12" t="str">
        <f>[3]Name!E2242</f>
        <v>Guddi Khatti</v>
      </c>
      <c r="C191" s="13">
        <f>[2]S1!C192</f>
        <v>1000</v>
      </c>
      <c r="D191" s="13">
        <f>[2]S1!D192</f>
        <v>0</v>
      </c>
      <c r="E191" s="26">
        <f>[2]S1!E192</f>
        <v>0</v>
      </c>
      <c r="F191" s="26">
        <f>[2]S1!F192</f>
        <v>0</v>
      </c>
      <c r="G191" s="22">
        <f>[2]S1!G192</f>
        <v>0</v>
      </c>
      <c r="H191" s="22">
        <f>[2]S1!H192</f>
        <v>0</v>
      </c>
      <c r="I191" s="22">
        <f>[2]S1!I192</f>
        <v>385</v>
      </c>
      <c r="J191" s="13">
        <f>[2]S1!J192</f>
        <v>0</v>
      </c>
      <c r="K191" s="19">
        <f>[2]S1!K192</f>
        <v>385</v>
      </c>
      <c r="L191" s="52">
        <f>[2]S1!L192</f>
        <v>38500</v>
      </c>
      <c r="M191" s="58">
        <f>[2]S1!M192</f>
        <v>1</v>
      </c>
      <c r="N191" s="49">
        <f>[2]S1!P192</f>
        <v>6367846106</v>
      </c>
      <c r="O191" s="14"/>
    </row>
    <row r="192" spans="1:15" x14ac:dyDescent="0.3">
      <c r="A192" s="11">
        <v>3239</v>
      </c>
      <c r="B192" s="12" t="str">
        <f>[3]Name!E2243</f>
        <v>Sanjay Khatti</v>
      </c>
      <c r="C192" s="13">
        <f>[2]S1!C193</f>
        <v>1000</v>
      </c>
      <c r="D192" s="13">
        <f>[2]S1!D193</f>
        <v>0</v>
      </c>
      <c r="E192" s="26">
        <f>[2]S1!E193</f>
        <v>0</v>
      </c>
      <c r="F192" s="26">
        <f>[2]S1!F193</f>
        <v>0</v>
      </c>
      <c r="G192" s="22">
        <f>[2]S1!G193</f>
        <v>0</v>
      </c>
      <c r="H192" s="22">
        <f>[2]S1!H193</f>
        <v>0</v>
      </c>
      <c r="I192" s="22">
        <f>[2]S1!I193</f>
        <v>385</v>
      </c>
      <c r="J192" s="13">
        <f>[2]S1!J193</f>
        <v>0</v>
      </c>
      <c r="K192" s="19">
        <f>[2]S1!K193</f>
        <v>385</v>
      </c>
      <c r="L192" s="52">
        <f>[2]S1!L193</f>
        <v>38500</v>
      </c>
      <c r="M192" s="58">
        <f>[2]S1!M193</f>
        <v>1</v>
      </c>
      <c r="N192" s="49">
        <f>[2]S1!P193</f>
        <v>6367846106</v>
      </c>
      <c r="O192" s="14"/>
    </row>
    <row r="193" spans="1:15" x14ac:dyDescent="0.3">
      <c r="A193" s="11">
        <v>3240</v>
      </c>
      <c r="B193" s="12" t="str">
        <f>[3]Name!E2244</f>
        <v>Payal Khatti</v>
      </c>
      <c r="C193" s="13">
        <f>[2]S1!C194</f>
        <v>1000</v>
      </c>
      <c r="D193" s="13">
        <f>[2]S1!D194</f>
        <v>0</v>
      </c>
      <c r="E193" s="26">
        <f>[2]S1!E194</f>
        <v>0</v>
      </c>
      <c r="F193" s="26">
        <f>[2]S1!F194</f>
        <v>0</v>
      </c>
      <c r="G193" s="22">
        <f>[2]S1!G194</f>
        <v>0</v>
      </c>
      <c r="H193" s="22">
        <f>[2]S1!H194</f>
        <v>0</v>
      </c>
      <c r="I193" s="22">
        <f>[2]S1!I194</f>
        <v>385</v>
      </c>
      <c r="J193" s="13">
        <f>[2]S1!J194</f>
        <v>0</v>
      </c>
      <c r="K193" s="19">
        <f>[2]S1!K194</f>
        <v>385</v>
      </c>
      <c r="L193" s="52">
        <f>[2]S1!L194</f>
        <v>38500</v>
      </c>
      <c r="M193" s="58">
        <f>[2]S1!M194</f>
        <v>1</v>
      </c>
      <c r="N193" s="49">
        <f>[2]S1!P194</f>
        <v>6367846106</v>
      </c>
      <c r="O193" s="14"/>
    </row>
    <row r="194" spans="1:15" x14ac:dyDescent="0.3">
      <c r="A194" s="11">
        <v>3241</v>
      </c>
      <c r="B194" s="12" t="str">
        <f>[3]Name!E2245</f>
        <v>Sanjay Khatti</v>
      </c>
      <c r="C194" s="13">
        <f>[2]S1!C195</f>
        <v>1000</v>
      </c>
      <c r="D194" s="13">
        <f>[2]S1!D195</f>
        <v>0</v>
      </c>
      <c r="E194" s="26">
        <f>[2]S1!E195</f>
        <v>0</v>
      </c>
      <c r="F194" s="26">
        <f>[2]S1!F195</f>
        <v>0</v>
      </c>
      <c r="G194" s="22">
        <f>[2]S1!G195</f>
        <v>0</v>
      </c>
      <c r="H194" s="22">
        <f>[2]S1!H195</f>
        <v>0</v>
      </c>
      <c r="I194" s="22">
        <f>[2]S1!I195</f>
        <v>385</v>
      </c>
      <c r="J194" s="13">
        <f>[2]S1!J195</f>
        <v>0</v>
      </c>
      <c r="K194" s="19">
        <f>[2]S1!K195</f>
        <v>385</v>
      </c>
      <c r="L194" s="52">
        <f>[2]S1!L195</f>
        <v>38500</v>
      </c>
      <c r="M194" s="58">
        <f>[2]S1!M195</f>
        <v>1</v>
      </c>
      <c r="N194" s="49">
        <f>[2]S1!P195</f>
        <v>6367846106</v>
      </c>
      <c r="O194" s="14"/>
    </row>
    <row r="195" spans="1:15" x14ac:dyDescent="0.3">
      <c r="A195" s="11">
        <v>3242</v>
      </c>
      <c r="B195" s="12" t="str">
        <f>[3]Name!E2246</f>
        <v>Nitesh Sachoriya</v>
      </c>
      <c r="C195" s="13">
        <f>[2]S1!C196</f>
        <v>500</v>
      </c>
      <c r="D195" s="13">
        <f>[2]S1!D196</f>
        <v>0</v>
      </c>
      <c r="E195" s="26">
        <f>[2]S1!E196</f>
        <v>200</v>
      </c>
      <c r="F195" s="26">
        <f>[2]S1!F196</f>
        <v>0</v>
      </c>
      <c r="G195" s="22">
        <f>[2]S1!G196</f>
        <v>0</v>
      </c>
      <c r="H195" s="22">
        <f>[2]S1!H196</f>
        <v>0</v>
      </c>
      <c r="I195" s="22">
        <f>[2]S1!I196</f>
        <v>215</v>
      </c>
      <c r="J195" s="13">
        <f>[2]S1!J196</f>
        <v>0</v>
      </c>
      <c r="K195" s="19">
        <f>[2]S1!K196</f>
        <v>415</v>
      </c>
      <c r="L195" s="52">
        <f>[2]S1!L196</f>
        <v>21500</v>
      </c>
      <c r="M195" s="58">
        <f>[2]S1!M196</f>
        <v>11</v>
      </c>
      <c r="N195" s="49">
        <f>[2]S1!P196</f>
        <v>9571650476</v>
      </c>
      <c r="O195" s="14"/>
    </row>
    <row r="196" spans="1:15" x14ac:dyDescent="0.3">
      <c r="A196" s="11">
        <v>3243</v>
      </c>
      <c r="B196" s="12" t="str">
        <f>[3]Name!E2247</f>
        <v>Rahul Sachoriya</v>
      </c>
      <c r="C196" s="13">
        <f>[2]S1!C197</f>
        <v>500</v>
      </c>
      <c r="D196" s="13">
        <f>[2]S1!D197</f>
        <v>0</v>
      </c>
      <c r="E196" s="26">
        <f>[2]S1!E197</f>
        <v>200</v>
      </c>
      <c r="F196" s="26">
        <f>[2]S1!F197</f>
        <v>0</v>
      </c>
      <c r="G196" s="22">
        <f>[2]S1!G197</f>
        <v>0</v>
      </c>
      <c r="H196" s="22">
        <f>[2]S1!H197</f>
        <v>0</v>
      </c>
      <c r="I196" s="22">
        <f>[2]S1!I197</f>
        <v>215</v>
      </c>
      <c r="J196" s="13">
        <f>[2]S1!J197</f>
        <v>0</v>
      </c>
      <c r="K196" s="19">
        <f>[2]S1!K197</f>
        <v>415</v>
      </c>
      <c r="L196" s="52">
        <f>[2]S1!L197</f>
        <v>21500</v>
      </c>
      <c r="M196" s="58">
        <f>[2]S1!M197</f>
        <v>11</v>
      </c>
      <c r="N196" s="49">
        <f>[2]S1!P197</f>
        <v>9571650476</v>
      </c>
      <c r="O196" s="14"/>
    </row>
    <row r="197" spans="1:15" x14ac:dyDescent="0.3">
      <c r="A197" s="11">
        <v>3244</v>
      </c>
      <c r="B197" s="12" t="str">
        <f>[3]Name!E2248</f>
        <v>Pappu Sachoriya</v>
      </c>
      <c r="C197" s="13">
        <f>[2]S1!C198</f>
        <v>1500</v>
      </c>
      <c r="D197" s="13">
        <f>[2]S1!D198</f>
        <v>0</v>
      </c>
      <c r="E197" s="26">
        <f>[2]S1!E198</f>
        <v>0</v>
      </c>
      <c r="F197" s="26">
        <f>[2]S1!F198</f>
        <v>0</v>
      </c>
      <c r="G197" s="22">
        <f>[2]S1!G198</f>
        <v>1000</v>
      </c>
      <c r="H197" s="22">
        <f>[2]S1!H198</f>
        <v>0</v>
      </c>
      <c r="I197" s="22">
        <f>[2]S1!I198</f>
        <v>131</v>
      </c>
      <c r="J197" s="13">
        <f>[2]S1!J198</f>
        <v>0</v>
      </c>
      <c r="K197" s="19">
        <f>[2]S1!K198</f>
        <v>1131</v>
      </c>
      <c r="L197" s="52">
        <f>[2]S1!L198</f>
        <v>13000</v>
      </c>
      <c r="M197" s="58">
        <f>[2]S1!M198</f>
        <v>12</v>
      </c>
      <c r="N197" s="49">
        <f>[2]S1!P198</f>
        <v>8233671554</v>
      </c>
      <c r="O197" s="14"/>
    </row>
    <row r="198" spans="1:15" x14ac:dyDescent="0.3">
      <c r="A198" s="11">
        <v>3245</v>
      </c>
      <c r="B198" s="12" t="str">
        <f>[3]Name!E2249</f>
        <v>Kamala  Sachoriya</v>
      </c>
      <c r="C198" s="13">
        <f>[2]S1!C199</f>
        <v>1500</v>
      </c>
      <c r="D198" s="13">
        <f>[2]S1!D199</f>
        <v>0</v>
      </c>
      <c r="E198" s="26">
        <f>[2]S1!E199</f>
        <v>0</v>
      </c>
      <c r="F198" s="26">
        <f>[2]S1!F199</f>
        <v>0</v>
      </c>
      <c r="G198" s="22">
        <f>[2]S1!G199</f>
        <v>431</v>
      </c>
      <c r="H198" s="22">
        <f>[2]S1!H199</f>
        <v>0</v>
      </c>
      <c r="I198" s="22">
        <f>[2]S1!I199</f>
        <v>124</v>
      </c>
      <c r="J198" s="13">
        <f>[2]S1!J199</f>
        <v>0</v>
      </c>
      <c r="K198" s="19">
        <f>[2]S1!K199</f>
        <v>555</v>
      </c>
      <c r="L198" s="52">
        <f>[2]S1!L199</f>
        <v>12431</v>
      </c>
      <c r="M198" s="58">
        <f>[2]S1!M199</f>
        <v>12</v>
      </c>
      <c r="N198" s="49">
        <f>[2]S1!P199</f>
        <v>8233671554</v>
      </c>
      <c r="O198" s="14"/>
    </row>
    <row r="199" spans="1:15" x14ac:dyDescent="0.3">
      <c r="A199" s="11">
        <v>3246</v>
      </c>
      <c r="B199" s="12" t="str">
        <f>[3]Name!E2250</f>
        <v>Suva Lal Narnoliya</v>
      </c>
      <c r="C199" s="13">
        <f>[2]S1!C200</f>
        <v>21000</v>
      </c>
      <c r="D199" s="13">
        <f>[2]S1!D200</f>
        <v>0</v>
      </c>
      <c r="E199" s="26">
        <f>[2]S1!E200</f>
        <v>0</v>
      </c>
      <c r="F199" s="26">
        <f>[2]S1!F200</f>
        <v>0</v>
      </c>
      <c r="G199" s="22">
        <f>[2]S1!G200</f>
        <v>1000</v>
      </c>
      <c r="H199" s="22">
        <f>[2]S1!H200</f>
        <v>0</v>
      </c>
      <c r="I199" s="22">
        <f>[2]S1!I200</f>
        <v>220</v>
      </c>
      <c r="J199" s="13">
        <f>[2]S1!J200</f>
        <v>0</v>
      </c>
      <c r="K199" s="19">
        <f>[2]S1!K200</f>
        <v>1220</v>
      </c>
      <c r="L199" s="52">
        <f>[2]S1!L200</f>
        <v>22000</v>
      </c>
      <c r="M199" s="58">
        <f>[2]S1!M200</f>
        <v>9</v>
      </c>
      <c r="N199" s="49">
        <f>[2]S1!P200</f>
        <v>9782323306</v>
      </c>
      <c r="O199" s="14"/>
    </row>
    <row r="200" spans="1:15" x14ac:dyDescent="0.3">
      <c r="A200" s="11">
        <v>3247</v>
      </c>
      <c r="B200" s="12" t="str">
        <f>[3]Name!E2251</f>
        <v>Gorv Narnoliya</v>
      </c>
      <c r="C200" s="13">
        <f>[2]S1!C201</f>
        <v>21000</v>
      </c>
      <c r="D200" s="13">
        <f>[2]S1!D201</f>
        <v>0</v>
      </c>
      <c r="E200" s="26">
        <f>[2]S1!E201</f>
        <v>0</v>
      </c>
      <c r="F200" s="26">
        <f>[2]S1!F201</f>
        <v>0</v>
      </c>
      <c r="G200" s="22">
        <f>[2]S1!G201</f>
        <v>1000</v>
      </c>
      <c r="H200" s="22">
        <f>[2]S1!H201</f>
        <v>0</v>
      </c>
      <c r="I200" s="22">
        <f>[2]S1!I201</f>
        <v>220</v>
      </c>
      <c r="J200" s="13">
        <f>[2]S1!J201</f>
        <v>0</v>
      </c>
      <c r="K200" s="19">
        <f>[2]S1!K201</f>
        <v>1220</v>
      </c>
      <c r="L200" s="52">
        <f>[2]S1!L201</f>
        <v>22000</v>
      </c>
      <c r="M200" s="58">
        <f>[2]S1!M201</f>
        <v>9</v>
      </c>
      <c r="N200" s="49">
        <f>[2]S1!P201</f>
        <v>9782323306</v>
      </c>
      <c r="O200" s="14"/>
    </row>
    <row r="201" spans="1:15" x14ac:dyDescent="0.3">
      <c r="A201" s="11">
        <v>3248</v>
      </c>
      <c r="B201" s="12" t="str">
        <f>[3]Name!E2252</f>
        <v>Sampati Devi Narnoliya</v>
      </c>
      <c r="C201" s="13">
        <f>[2]S1!C202</f>
        <v>21000</v>
      </c>
      <c r="D201" s="13">
        <f>[2]S1!D202</f>
        <v>0</v>
      </c>
      <c r="E201" s="26">
        <f>[2]S1!E202</f>
        <v>0</v>
      </c>
      <c r="F201" s="26">
        <f>[2]S1!F202</f>
        <v>0</v>
      </c>
      <c r="G201" s="22">
        <f>[2]S1!G202</f>
        <v>1000</v>
      </c>
      <c r="H201" s="22">
        <f>[2]S1!H202</f>
        <v>0</v>
      </c>
      <c r="I201" s="22">
        <f>[2]S1!I202</f>
        <v>220</v>
      </c>
      <c r="J201" s="13">
        <f>[2]S1!J202</f>
        <v>0</v>
      </c>
      <c r="K201" s="19">
        <f>[2]S1!K202</f>
        <v>1220</v>
      </c>
      <c r="L201" s="52">
        <f>[2]S1!L202</f>
        <v>22000</v>
      </c>
      <c r="M201" s="58">
        <f>[2]S1!M202</f>
        <v>9</v>
      </c>
      <c r="N201" s="49">
        <f>[2]S1!P202</f>
        <v>9782323306</v>
      </c>
      <c r="O201" s="14"/>
    </row>
    <row r="202" spans="1:15" x14ac:dyDescent="0.3">
      <c r="A202" s="11">
        <v>3249</v>
      </c>
      <c r="B202" s="12" t="str">
        <f>[3]Name!E2253</f>
        <v>Priyansu Narnoliya</v>
      </c>
      <c r="C202" s="13">
        <f>[2]S1!C203</f>
        <v>21000</v>
      </c>
      <c r="D202" s="13">
        <f>[2]S1!D203</f>
        <v>0</v>
      </c>
      <c r="E202" s="26">
        <f>[2]S1!E203</f>
        <v>0</v>
      </c>
      <c r="F202" s="26">
        <f>[2]S1!F203</f>
        <v>0</v>
      </c>
      <c r="G202" s="22">
        <f>[2]S1!G203</f>
        <v>1000</v>
      </c>
      <c r="H202" s="22">
        <f>[2]S1!H203</f>
        <v>0</v>
      </c>
      <c r="I202" s="22">
        <f>[2]S1!I203</f>
        <v>220</v>
      </c>
      <c r="J202" s="13">
        <f>[2]S1!J203</f>
        <v>0</v>
      </c>
      <c r="K202" s="19">
        <f>[2]S1!K203</f>
        <v>1220</v>
      </c>
      <c r="L202" s="52">
        <f>[2]S1!L203</f>
        <v>22000</v>
      </c>
      <c r="M202" s="58">
        <f>[2]S1!M203</f>
        <v>9</v>
      </c>
      <c r="N202" s="49">
        <f>[2]S1!P203</f>
        <v>9782323306</v>
      </c>
      <c r="O202" s="14"/>
    </row>
    <row r="203" spans="1:15" x14ac:dyDescent="0.3">
      <c r="A203" s="11">
        <v>3250</v>
      </c>
      <c r="B203" s="12" t="str">
        <f>[3]Name!E2254</f>
        <v>Mohan Lal Maharda</v>
      </c>
      <c r="C203" s="13">
        <f>[2]S1!C204</f>
        <v>250</v>
      </c>
      <c r="D203" s="13">
        <f>[2]S1!D204</f>
        <v>0</v>
      </c>
      <c r="E203" s="26">
        <f>[2]S1!E204</f>
        <v>200</v>
      </c>
      <c r="F203" s="26">
        <f>[2]S1!F204</f>
        <v>0</v>
      </c>
      <c r="G203" s="22">
        <f>[2]S1!G204</f>
        <v>0</v>
      </c>
      <c r="H203" s="22">
        <f>[2]S1!H204</f>
        <v>0</v>
      </c>
      <c r="I203" s="22">
        <f>[2]S1!I204</f>
        <v>0</v>
      </c>
      <c r="J203" s="13">
        <f>[2]S1!J204</f>
        <v>0</v>
      </c>
      <c r="K203" s="19">
        <f>[2]S1!K204</f>
        <v>200</v>
      </c>
      <c r="L203" s="52">
        <f>[2]S1!L204</f>
        <v>0</v>
      </c>
      <c r="M203" s="58">
        <f>[2]S1!M204</f>
        <v>0</v>
      </c>
      <c r="N203" s="49">
        <f>[2]S1!P204</f>
        <v>9929194619</v>
      </c>
      <c r="O203" s="14"/>
    </row>
    <row r="204" spans="1:15" x14ac:dyDescent="0.3">
      <c r="A204" s="11">
        <v>3251</v>
      </c>
      <c r="B204" s="12" t="str">
        <f>[3]Name!E2255</f>
        <v>Ajay Kumar Meharda</v>
      </c>
      <c r="C204" s="13">
        <f>[2]S1!C205</f>
        <v>250</v>
      </c>
      <c r="D204" s="13">
        <f>[2]S1!D205</f>
        <v>0</v>
      </c>
      <c r="E204" s="26">
        <f>[2]S1!E205</f>
        <v>200</v>
      </c>
      <c r="F204" s="26">
        <f>[2]S1!F205</f>
        <v>0</v>
      </c>
      <c r="G204" s="22">
        <f>[2]S1!G205</f>
        <v>0</v>
      </c>
      <c r="H204" s="22">
        <f>[2]S1!H205</f>
        <v>0</v>
      </c>
      <c r="I204" s="22">
        <f>[2]S1!I205</f>
        <v>0</v>
      </c>
      <c r="J204" s="13">
        <f>[2]S1!J205</f>
        <v>0</v>
      </c>
      <c r="K204" s="19">
        <f>[2]S1!K205</f>
        <v>200</v>
      </c>
      <c r="L204" s="52">
        <f>[2]S1!L205</f>
        <v>0</v>
      </c>
      <c r="M204" s="58">
        <f>[2]S1!M205</f>
        <v>0</v>
      </c>
      <c r="N204" s="49">
        <f>[2]S1!P205</f>
        <v>9929194619</v>
      </c>
      <c r="O204" s="14"/>
    </row>
    <row r="205" spans="1:15" x14ac:dyDescent="0.3">
      <c r="A205" s="11">
        <v>3252</v>
      </c>
      <c r="B205" s="12" t="str">
        <f>[3]Name!E2256</f>
        <v>Vijay Lal Maharda</v>
      </c>
      <c r="C205" s="13">
        <f>[2]S1!C206</f>
        <v>250</v>
      </c>
      <c r="D205" s="13">
        <f>[2]S1!D206</f>
        <v>0</v>
      </c>
      <c r="E205" s="26">
        <f>[2]S1!E206</f>
        <v>200</v>
      </c>
      <c r="F205" s="26">
        <f>[2]S1!F206</f>
        <v>0</v>
      </c>
      <c r="G205" s="22">
        <f>[2]S1!G206</f>
        <v>0</v>
      </c>
      <c r="H205" s="22">
        <f>[2]S1!H206</f>
        <v>0</v>
      </c>
      <c r="I205" s="22">
        <f>[2]S1!I206</f>
        <v>0</v>
      </c>
      <c r="J205" s="13">
        <f>[2]S1!J206</f>
        <v>0</v>
      </c>
      <c r="K205" s="19">
        <f>[2]S1!K206</f>
        <v>200</v>
      </c>
      <c r="L205" s="52">
        <f>[2]S1!L206</f>
        <v>0</v>
      </c>
      <c r="M205" s="58">
        <f>[2]S1!M206</f>
        <v>0</v>
      </c>
      <c r="N205" s="49">
        <f>[2]S1!P206</f>
        <v>9929194619</v>
      </c>
      <c r="O205" s="14"/>
    </row>
    <row r="206" spans="1:15" x14ac:dyDescent="0.3">
      <c r="A206" s="11">
        <v>3253</v>
      </c>
      <c r="B206" s="12" t="str">
        <f>[3]Name!E2257</f>
        <v>Sankar Lal Devanda</v>
      </c>
      <c r="C206" s="13">
        <f>[2]S1!C207</f>
        <v>0</v>
      </c>
      <c r="D206" s="13">
        <f>[2]S1!D207</f>
        <v>29634</v>
      </c>
      <c r="E206" s="26">
        <f>[2]S1!E207</f>
        <v>6000</v>
      </c>
      <c r="F206" s="26">
        <f>[2]S1!F207</f>
        <v>7287</v>
      </c>
      <c r="G206" s="22">
        <f>[2]S1!G207</f>
        <v>18000</v>
      </c>
      <c r="H206" s="22">
        <f>[2]S1!H207</f>
        <v>29756</v>
      </c>
      <c r="I206" s="22">
        <f>[2]S1!I207</f>
        <v>5546</v>
      </c>
      <c r="J206" s="13">
        <f>[2]S1!J207</f>
        <v>0</v>
      </c>
      <c r="K206" s="19">
        <f>[2]S1!K207</f>
        <v>66589</v>
      </c>
      <c r="L206" s="52">
        <f>[2]S1!L207</f>
        <v>18000</v>
      </c>
      <c r="M206" s="58">
        <f>[2]S1!M207</f>
        <v>30</v>
      </c>
      <c r="N206" s="49">
        <f>[2]S1!P207</f>
        <v>6362901919</v>
      </c>
      <c r="O206" s="14"/>
    </row>
    <row r="207" spans="1:15" x14ac:dyDescent="0.3">
      <c r="A207" s="11">
        <v>3254</v>
      </c>
      <c r="B207" s="12" t="str">
        <f>[3]Name!E2258</f>
        <v>Lala Ram Devanda</v>
      </c>
      <c r="C207" s="13">
        <f>[2]S1!C208</f>
        <v>0</v>
      </c>
      <c r="D207" s="13">
        <f>[2]S1!D208</f>
        <v>29742</v>
      </c>
      <c r="E207" s="26">
        <f>[2]S1!E208</f>
        <v>6000</v>
      </c>
      <c r="F207" s="26">
        <f>[2]S1!F208</f>
        <v>7287</v>
      </c>
      <c r="G207" s="22">
        <f>[2]S1!G208</f>
        <v>18000</v>
      </c>
      <c r="H207" s="22">
        <f>[2]S1!H208</f>
        <v>29890</v>
      </c>
      <c r="I207" s="22">
        <f>[2]S1!I208</f>
        <v>5650</v>
      </c>
      <c r="J207" s="13">
        <f>[2]S1!J208</f>
        <v>0</v>
      </c>
      <c r="K207" s="19">
        <f>[2]S1!K208</f>
        <v>66827</v>
      </c>
      <c r="L207" s="52">
        <f>[2]S1!L208</f>
        <v>18000</v>
      </c>
      <c r="M207" s="58">
        <f>[2]S1!M208</f>
        <v>30</v>
      </c>
      <c r="N207" s="49">
        <f>[2]S1!P208</f>
        <v>6362901919</v>
      </c>
      <c r="O207" s="14"/>
    </row>
    <row r="208" spans="1:15" x14ac:dyDescent="0.3">
      <c r="A208" s="11">
        <v>3255</v>
      </c>
      <c r="B208" s="12" t="str">
        <f>[3]Name!E2259</f>
        <v>Lali Devi Devanda</v>
      </c>
      <c r="C208" s="13">
        <f>[2]S1!C209</f>
        <v>0</v>
      </c>
      <c r="D208" s="13">
        <f>[2]S1!D209</f>
        <v>29742</v>
      </c>
      <c r="E208" s="26">
        <f>[2]S1!E209</f>
        <v>6000</v>
      </c>
      <c r="F208" s="26">
        <f>[2]S1!F209</f>
        <v>7287</v>
      </c>
      <c r="G208" s="22">
        <f>[2]S1!G209</f>
        <v>18000</v>
      </c>
      <c r="H208" s="22">
        <f>[2]S1!H209</f>
        <v>29890</v>
      </c>
      <c r="I208" s="22">
        <f>[2]S1!I209</f>
        <v>5650</v>
      </c>
      <c r="J208" s="13">
        <f>[2]S1!J209</f>
        <v>0</v>
      </c>
      <c r="K208" s="19">
        <f>[2]S1!K209</f>
        <v>66827</v>
      </c>
      <c r="L208" s="52">
        <f>[2]S1!L209</f>
        <v>18000</v>
      </c>
      <c r="M208" s="58">
        <f>[2]S1!M209</f>
        <v>30</v>
      </c>
      <c r="N208" s="49">
        <f>[2]S1!P209</f>
        <v>6362901919</v>
      </c>
      <c r="O208" s="14"/>
    </row>
    <row r="209" spans="1:15" x14ac:dyDescent="0.3">
      <c r="A209" s="11">
        <v>3256</v>
      </c>
      <c r="B209" s="12">
        <f>[3]Name!E2260</f>
        <v>0</v>
      </c>
      <c r="C209" s="13">
        <f>[2]S1!C210</f>
        <v>0</v>
      </c>
      <c r="D209" s="13">
        <f>[2]S1!D210</f>
        <v>4049</v>
      </c>
      <c r="E209" s="26">
        <f>[2]S1!E210</f>
        <v>3556</v>
      </c>
      <c r="F209" s="26">
        <f>[2]S1!F210</f>
        <v>1920</v>
      </c>
      <c r="G209" s="22">
        <f>[2]S1!G210</f>
        <v>0</v>
      </c>
      <c r="H209" s="22">
        <f>[2]S1!H210</f>
        <v>3479</v>
      </c>
      <c r="I209" s="22">
        <f>[2]S1!I210</f>
        <v>0</v>
      </c>
      <c r="J209" s="13">
        <f>[2]S1!J210</f>
        <v>0</v>
      </c>
      <c r="K209" s="19">
        <f>[2]S1!K210</f>
        <v>8955</v>
      </c>
      <c r="L209" s="52">
        <f>[2]S1!L210</f>
        <v>0</v>
      </c>
      <c r="M209" s="58">
        <f>[2]S1!M210</f>
        <v>0</v>
      </c>
      <c r="N209" s="49">
        <f>[2]S1!P210</f>
        <v>7023150277</v>
      </c>
      <c r="O209" s="14"/>
    </row>
    <row r="210" spans="1:15" x14ac:dyDescent="0.3">
      <c r="A210" s="11">
        <v>3257</v>
      </c>
      <c r="B210" s="12">
        <f>[3]Name!E2261</f>
        <v>0</v>
      </c>
      <c r="C210" s="13">
        <f>[2]S1!C211</f>
        <v>0</v>
      </c>
      <c r="D210" s="13">
        <f>[2]S1!D211</f>
        <v>28826</v>
      </c>
      <c r="E210" s="26">
        <f>[2]S1!E211</f>
        <v>5975</v>
      </c>
      <c r="F210" s="26">
        <f>[2]S1!F211</f>
        <v>7208</v>
      </c>
      <c r="G210" s="22">
        <f>[2]S1!G211</f>
        <v>12460</v>
      </c>
      <c r="H210" s="22">
        <f>[2]S1!H211</f>
        <v>28825</v>
      </c>
      <c r="I210" s="22">
        <f>[2]S1!I211</f>
        <v>5455</v>
      </c>
      <c r="J210" s="13">
        <f>[2]S1!J211</f>
        <v>0</v>
      </c>
      <c r="K210" s="19">
        <f>[2]S1!K211</f>
        <v>59923</v>
      </c>
      <c r="L210" s="52">
        <f>[2]S1!L211</f>
        <v>12460</v>
      </c>
      <c r="M210" s="58">
        <f>[2]S1!M211</f>
        <v>30</v>
      </c>
      <c r="N210" s="49">
        <f>[2]S1!P211</f>
        <v>7023150277</v>
      </c>
      <c r="O210" s="14"/>
    </row>
    <row r="211" spans="1:15" x14ac:dyDescent="0.3">
      <c r="A211" s="11">
        <v>3258</v>
      </c>
      <c r="B211" s="12">
        <f>[3]Name!E2262</f>
        <v>0</v>
      </c>
      <c r="C211" s="13">
        <f>[2]S1!C212</f>
        <v>0</v>
      </c>
      <c r="D211" s="13">
        <f>[2]S1!D212</f>
        <v>29678</v>
      </c>
      <c r="E211" s="26">
        <f>[2]S1!E212</f>
        <v>5975</v>
      </c>
      <c r="F211" s="26">
        <f>[2]S1!F212</f>
        <v>7208</v>
      </c>
      <c r="G211" s="22">
        <f>[2]S1!G212</f>
        <v>18000</v>
      </c>
      <c r="H211" s="22">
        <f>[2]S1!H212</f>
        <v>29890</v>
      </c>
      <c r="I211" s="22">
        <f>[2]S1!I212</f>
        <v>5650</v>
      </c>
      <c r="J211" s="13">
        <f>[2]S1!J212</f>
        <v>0</v>
      </c>
      <c r="K211" s="19">
        <f>[2]S1!K212</f>
        <v>66723</v>
      </c>
      <c r="L211" s="52">
        <f>[2]S1!L212</f>
        <v>18000</v>
      </c>
      <c r="M211" s="58">
        <f>[2]S1!M212</f>
        <v>30</v>
      </c>
      <c r="N211" s="49">
        <f>[2]S1!P212</f>
        <v>7023150277</v>
      </c>
      <c r="O211" s="14"/>
    </row>
    <row r="212" spans="1:15" x14ac:dyDescent="0.3">
      <c r="A212" s="11">
        <v>3259</v>
      </c>
      <c r="B212" s="12" t="str">
        <f>[3]Name!E2263</f>
        <v>Rahul Kumar Dokhoriya</v>
      </c>
      <c r="C212" s="13">
        <f>[2]S1!C213</f>
        <v>500</v>
      </c>
      <c r="D212" s="13">
        <f>[2]S1!D213</f>
        <v>0</v>
      </c>
      <c r="E212" s="26">
        <f>[2]S1!E213</f>
        <v>200</v>
      </c>
      <c r="F212" s="26">
        <f>[2]S1!F213</f>
        <v>0</v>
      </c>
      <c r="G212" s="22">
        <f>[2]S1!G213</f>
        <v>0</v>
      </c>
      <c r="H212" s="22">
        <f>[2]S1!H213</f>
        <v>0</v>
      </c>
      <c r="I212" s="22">
        <f>[2]S1!I213</f>
        <v>265</v>
      </c>
      <c r="J212" s="13">
        <f>[2]S1!J213</f>
        <v>0</v>
      </c>
      <c r="K212" s="19">
        <f>[2]S1!K213</f>
        <v>465</v>
      </c>
      <c r="L212" s="52">
        <f>[2]S1!L213</f>
        <v>26500</v>
      </c>
      <c r="M212" s="58">
        <f>[2]S1!M213</f>
        <v>7</v>
      </c>
      <c r="N212" s="49">
        <f>[2]S1!P213</f>
        <v>9982447051</v>
      </c>
      <c r="O212" s="14"/>
    </row>
    <row r="213" spans="1:15" x14ac:dyDescent="0.3">
      <c r="A213" s="11">
        <v>3260</v>
      </c>
      <c r="B213" s="12" t="str">
        <f>[3]Name!E2264</f>
        <v>Jagadish Kumar Dokhoriya</v>
      </c>
      <c r="C213" s="13">
        <f>[2]S1!C214</f>
        <v>500</v>
      </c>
      <c r="D213" s="13">
        <f>[2]S1!D214</f>
        <v>0</v>
      </c>
      <c r="E213" s="26">
        <f>[2]S1!E214</f>
        <v>200</v>
      </c>
      <c r="F213" s="26">
        <f>[2]S1!F214</f>
        <v>0</v>
      </c>
      <c r="G213" s="22">
        <f>[2]S1!G214</f>
        <v>0</v>
      </c>
      <c r="H213" s="22">
        <f>[2]S1!H214</f>
        <v>0</v>
      </c>
      <c r="I213" s="22">
        <f>[2]S1!I214</f>
        <v>265</v>
      </c>
      <c r="J213" s="13">
        <f>[2]S1!J214</f>
        <v>0</v>
      </c>
      <c r="K213" s="19">
        <f>[2]S1!K214</f>
        <v>465</v>
      </c>
      <c r="L213" s="52">
        <f>[2]S1!L214</f>
        <v>26500</v>
      </c>
      <c r="M213" s="58">
        <f>[2]S1!M214</f>
        <v>7</v>
      </c>
      <c r="N213" s="49">
        <f>[2]S1!P214</f>
        <v>9982447051</v>
      </c>
      <c r="O213" s="14"/>
    </row>
    <row r="214" spans="1:15" x14ac:dyDescent="0.3">
      <c r="A214" s="11">
        <v>3261</v>
      </c>
      <c r="B214" s="12" t="str">
        <f>[3]Name!E2265</f>
        <v>Mahendr Kumar Lohiya</v>
      </c>
      <c r="C214" s="13">
        <f>[2]S1!C215</f>
        <v>1000</v>
      </c>
      <c r="D214" s="13">
        <f>[2]S1!D215</f>
        <v>0</v>
      </c>
      <c r="E214" s="26">
        <f>[2]S1!E215</f>
        <v>200</v>
      </c>
      <c r="F214" s="26">
        <f>[2]S1!F215</f>
        <v>0</v>
      </c>
      <c r="G214" s="22">
        <f>[2]S1!G215</f>
        <v>1000</v>
      </c>
      <c r="H214" s="22">
        <f>[2]S1!H215</f>
        <v>0</v>
      </c>
      <c r="I214" s="22">
        <f>[2]S1!I215</f>
        <v>200</v>
      </c>
      <c r="J214" s="13">
        <f>[2]S1!J215</f>
        <v>0</v>
      </c>
      <c r="K214" s="19">
        <f>[2]S1!K215</f>
        <v>1400</v>
      </c>
      <c r="L214" s="52">
        <f>[2]S1!L215</f>
        <v>20000</v>
      </c>
      <c r="M214" s="58">
        <f>[2]S1!M215</f>
        <v>1</v>
      </c>
      <c r="N214" s="49">
        <f>[2]S1!P215</f>
        <v>9667061763</v>
      </c>
      <c r="O214" s="14"/>
    </row>
    <row r="215" spans="1:15" x14ac:dyDescent="0.3">
      <c r="A215" s="11">
        <v>3262</v>
      </c>
      <c r="B215" s="12" t="str">
        <f>[3]Name!E2266</f>
        <v>Sima Devi Lohiya</v>
      </c>
      <c r="C215" s="13">
        <f>[2]S1!C216</f>
        <v>1600</v>
      </c>
      <c r="D215" s="13">
        <f>[2]S1!D216</f>
        <v>0</v>
      </c>
      <c r="E215" s="26">
        <f>[2]S1!E216</f>
        <v>200</v>
      </c>
      <c r="F215" s="26">
        <f>[2]S1!F216</f>
        <v>0</v>
      </c>
      <c r="G215" s="22">
        <f>[2]S1!G216</f>
        <v>0</v>
      </c>
      <c r="H215" s="22">
        <f>[2]S1!H216</f>
        <v>0</v>
      </c>
      <c r="I215" s="22">
        <f>[2]S1!I216</f>
        <v>162</v>
      </c>
      <c r="J215" s="13">
        <f>[2]S1!J216</f>
        <v>0</v>
      </c>
      <c r="K215" s="19">
        <f>[2]S1!K216</f>
        <v>362</v>
      </c>
      <c r="L215" s="52">
        <f>[2]S1!L216</f>
        <v>16182</v>
      </c>
      <c r="M215" s="58">
        <f>[2]S1!M216</f>
        <v>4</v>
      </c>
      <c r="N215" s="49">
        <f>[2]S1!P216</f>
        <v>9667061763</v>
      </c>
      <c r="O215" s="14"/>
    </row>
    <row r="216" spans="1:15" x14ac:dyDescent="0.3">
      <c r="A216" s="11">
        <v>3263</v>
      </c>
      <c r="B216" s="12" t="str">
        <f>[3]Name!E2267</f>
        <v>Kisan Lal Varma</v>
      </c>
      <c r="C216" s="13">
        <f>[2]S1!C217</f>
        <v>0</v>
      </c>
      <c r="D216" s="13">
        <f>[2]S1!D217</f>
        <v>0</v>
      </c>
      <c r="E216" s="26">
        <f>[2]S1!E217</f>
        <v>200</v>
      </c>
      <c r="F216" s="26">
        <f>[2]S1!F217</f>
        <v>0</v>
      </c>
      <c r="G216" s="22">
        <f>[2]S1!G217</f>
        <v>0</v>
      </c>
      <c r="H216" s="22">
        <f>[2]S1!H217</f>
        <v>0</v>
      </c>
      <c r="I216" s="22">
        <f>[2]S1!I217</f>
        <v>0</v>
      </c>
      <c r="J216" s="13">
        <f>[2]S1!J217</f>
        <v>0</v>
      </c>
      <c r="K216" s="19">
        <f>[2]S1!K217</f>
        <v>200</v>
      </c>
      <c r="L216" s="52">
        <f>[2]S1!L217</f>
        <v>0</v>
      </c>
      <c r="M216" s="58">
        <f>[2]S1!M217</f>
        <v>0</v>
      </c>
      <c r="N216" s="49">
        <f>[2]S1!P217</f>
        <v>9351427021</v>
      </c>
      <c r="O216" s="14"/>
    </row>
    <row r="217" spans="1:15" x14ac:dyDescent="0.3">
      <c r="A217" s="11">
        <v>3264</v>
      </c>
      <c r="B217" s="12" t="str">
        <f>[3]Name!E2268</f>
        <v>Manju Devi Varma</v>
      </c>
      <c r="C217" s="13">
        <f>[2]S1!C218</f>
        <v>0</v>
      </c>
      <c r="D217" s="13">
        <f>[2]S1!D218</f>
        <v>0</v>
      </c>
      <c r="E217" s="26">
        <f>[2]S1!E218</f>
        <v>200</v>
      </c>
      <c r="F217" s="26">
        <f>[2]S1!F218</f>
        <v>0</v>
      </c>
      <c r="G217" s="22">
        <f>[2]S1!G218</f>
        <v>0</v>
      </c>
      <c r="H217" s="22">
        <f>[2]S1!H218</f>
        <v>0</v>
      </c>
      <c r="I217" s="22">
        <f>[2]S1!I218</f>
        <v>0</v>
      </c>
      <c r="J217" s="13">
        <f>[2]S1!J218</f>
        <v>0</v>
      </c>
      <c r="K217" s="19">
        <f>[2]S1!K218</f>
        <v>200</v>
      </c>
      <c r="L217" s="52">
        <f>[2]S1!L218</f>
        <v>0</v>
      </c>
      <c r="M217" s="58">
        <f>[2]S1!M218</f>
        <v>0</v>
      </c>
      <c r="N217" s="49">
        <f>[2]S1!P218</f>
        <v>9351427021</v>
      </c>
      <c r="O217" s="14"/>
    </row>
    <row r="218" spans="1:15" x14ac:dyDescent="0.3">
      <c r="A218" s="11">
        <v>3265</v>
      </c>
      <c r="B218" s="12" t="str">
        <f>[3]Name!E2269</f>
        <v>Ram Kisor Varma</v>
      </c>
      <c r="C218" s="13">
        <f>[2]S1!C219</f>
        <v>2000</v>
      </c>
      <c r="D218" s="13">
        <f>[2]S1!D219</f>
        <v>0</v>
      </c>
      <c r="E218" s="26">
        <f>[2]S1!E219</f>
        <v>200</v>
      </c>
      <c r="F218" s="26">
        <f>[2]S1!F219</f>
        <v>0</v>
      </c>
      <c r="G218" s="22">
        <f>[2]S1!G219</f>
        <v>1000</v>
      </c>
      <c r="H218" s="22">
        <f>[2]S1!H219</f>
        <v>0</v>
      </c>
      <c r="I218" s="22">
        <f>[2]S1!I219</f>
        <v>70</v>
      </c>
      <c r="J218" s="13">
        <f>[2]S1!J219</f>
        <v>0</v>
      </c>
      <c r="K218" s="19">
        <f>[2]S1!K219</f>
        <v>1270</v>
      </c>
      <c r="L218" s="52">
        <f>[2]S1!L219</f>
        <v>7000</v>
      </c>
      <c r="M218" s="58">
        <f>[2]S1!M219</f>
        <v>7</v>
      </c>
      <c r="N218" s="49">
        <f>[2]S1!P219</f>
        <v>9680695940</v>
      </c>
      <c r="O218" s="14"/>
    </row>
    <row r="219" spans="1:15" x14ac:dyDescent="0.3">
      <c r="A219" s="11">
        <v>3266</v>
      </c>
      <c r="B219" s="12" t="str">
        <f>[3]Name!E2270</f>
        <v>Manoj Varma</v>
      </c>
      <c r="C219" s="13">
        <f>[2]S1!C220</f>
        <v>2000</v>
      </c>
      <c r="D219" s="13">
        <f>[2]S1!D220</f>
        <v>0</v>
      </c>
      <c r="E219" s="26">
        <f>[2]S1!E220</f>
        <v>200</v>
      </c>
      <c r="F219" s="26">
        <f>[2]S1!F220</f>
        <v>0</v>
      </c>
      <c r="G219" s="22">
        <f>[2]S1!G220</f>
        <v>1235</v>
      </c>
      <c r="H219" s="22">
        <f>[2]S1!H220</f>
        <v>0</v>
      </c>
      <c r="I219" s="22">
        <f>[2]S1!I220</f>
        <v>72</v>
      </c>
      <c r="J219" s="13">
        <f>[2]S1!J220</f>
        <v>0</v>
      </c>
      <c r="K219" s="19">
        <f>[2]S1!K220</f>
        <v>1507</v>
      </c>
      <c r="L219" s="52">
        <f>[2]S1!L220</f>
        <v>7235</v>
      </c>
      <c r="M219" s="58">
        <f>[2]S1!M220</f>
        <v>7</v>
      </c>
      <c r="N219" s="49">
        <f>[2]S1!P220</f>
        <v>9680695940</v>
      </c>
      <c r="O219" s="14"/>
    </row>
    <row r="220" spans="1:15" x14ac:dyDescent="0.3">
      <c r="A220" s="11">
        <v>3267</v>
      </c>
      <c r="B220" s="12" t="str">
        <f>[3]Name!E2271</f>
        <v>Suresh Kumar Gudesar</v>
      </c>
      <c r="C220" s="13">
        <f>[2]S1!C221</f>
        <v>1000</v>
      </c>
      <c r="D220" s="13">
        <f>[2]S1!D221</f>
        <v>0</v>
      </c>
      <c r="E220" s="26">
        <f>[2]S1!E221</f>
        <v>128</v>
      </c>
      <c r="F220" s="26">
        <f>[2]S1!F221</f>
        <v>0</v>
      </c>
      <c r="G220" s="22">
        <f>[2]S1!G221</f>
        <v>1000</v>
      </c>
      <c r="H220" s="22">
        <f>[2]S1!H221</f>
        <v>0</v>
      </c>
      <c r="I220" s="22">
        <f>[2]S1!I221</f>
        <v>190</v>
      </c>
      <c r="J220" s="13">
        <f>[2]S1!J221</f>
        <v>0</v>
      </c>
      <c r="K220" s="19">
        <f>[2]S1!K221</f>
        <v>1318</v>
      </c>
      <c r="L220" s="52">
        <f>[2]S1!L221</f>
        <v>19000</v>
      </c>
      <c r="M220" s="58">
        <f>[2]S1!M221</f>
        <v>2</v>
      </c>
      <c r="N220" s="49">
        <f>[2]S1!P221</f>
        <v>9799585352</v>
      </c>
      <c r="O220" s="14"/>
    </row>
    <row r="221" spans="1:15" x14ac:dyDescent="0.3">
      <c r="A221" s="11">
        <v>3268</v>
      </c>
      <c r="B221" s="12" t="str">
        <f>[3]Name!E2272</f>
        <v>Mamta Gudesar</v>
      </c>
      <c r="C221" s="13">
        <f>[2]S1!C222</f>
        <v>1000</v>
      </c>
      <c r="D221" s="13">
        <f>[2]S1!D222</f>
        <v>0</v>
      </c>
      <c r="E221" s="26">
        <f>[2]S1!E222</f>
        <v>200</v>
      </c>
      <c r="F221" s="26">
        <f>[2]S1!F222</f>
        <v>0</v>
      </c>
      <c r="G221" s="22">
        <f>[2]S1!G222</f>
        <v>1000</v>
      </c>
      <c r="H221" s="22">
        <f>[2]S1!H222</f>
        <v>0</v>
      </c>
      <c r="I221" s="22">
        <f>[2]S1!I222</f>
        <v>190</v>
      </c>
      <c r="J221" s="13">
        <f>[2]S1!J222</f>
        <v>0</v>
      </c>
      <c r="K221" s="19">
        <f>[2]S1!K222</f>
        <v>1390</v>
      </c>
      <c r="L221" s="52">
        <f>[2]S1!L222</f>
        <v>19000</v>
      </c>
      <c r="M221" s="58">
        <f>[2]S1!M222</f>
        <v>2</v>
      </c>
      <c r="N221" s="49">
        <f>[2]S1!P222</f>
        <v>9799585352</v>
      </c>
      <c r="O221" s="14"/>
    </row>
    <row r="222" spans="1:15" x14ac:dyDescent="0.3">
      <c r="A222" s="11">
        <v>3269</v>
      </c>
      <c r="B222" s="12" t="str">
        <f>[3]Name!E2273</f>
        <v>Prahalad Ladana</v>
      </c>
      <c r="C222" s="13">
        <f>[2]S1!C223</f>
        <v>1000</v>
      </c>
      <c r="D222" s="13">
        <f>[2]S1!D223</f>
        <v>0</v>
      </c>
      <c r="E222" s="26">
        <f>[2]S1!E223</f>
        <v>0</v>
      </c>
      <c r="F222" s="26">
        <f>[2]S1!F223</f>
        <v>0</v>
      </c>
      <c r="G222" s="22">
        <f>[2]S1!G223</f>
        <v>1000</v>
      </c>
      <c r="H222" s="22">
        <f>[2]S1!H223</f>
        <v>0</v>
      </c>
      <c r="I222" s="22">
        <f>[2]S1!I223</f>
        <v>280</v>
      </c>
      <c r="J222" s="13">
        <f>[2]S1!J223</f>
        <v>0</v>
      </c>
      <c r="K222" s="19">
        <f>[2]S1!K223</f>
        <v>1280</v>
      </c>
      <c r="L222" s="52">
        <f>[2]S1!L223</f>
        <v>28000</v>
      </c>
      <c r="M222" s="58">
        <f>[2]S1!M223</f>
        <v>3</v>
      </c>
      <c r="N222" s="49">
        <f>[2]S1!P223</f>
        <v>9828072198</v>
      </c>
      <c r="O222" s="14"/>
    </row>
    <row r="223" spans="1:15" x14ac:dyDescent="0.3">
      <c r="A223" s="11">
        <v>3270</v>
      </c>
      <c r="B223" s="12" t="str">
        <f>[3]Name!E2274</f>
        <v>Lokesh Kumar Ladana</v>
      </c>
      <c r="C223" s="13">
        <f>[2]S1!C224</f>
        <v>1000</v>
      </c>
      <c r="D223" s="13">
        <f>[2]S1!D224</f>
        <v>0</v>
      </c>
      <c r="E223" s="26">
        <f>[2]S1!E224</f>
        <v>0</v>
      </c>
      <c r="F223" s="26">
        <f>[2]S1!F224</f>
        <v>0</v>
      </c>
      <c r="G223" s="22">
        <f>[2]S1!G224</f>
        <v>1000</v>
      </c>
      <c r="H223" s="22">
        <f>[2]S1!H224</f>
        <v>0</v>
      </c>
      <c r="I223" s="22">
        <f>[2]S1!I224</f>
        <v>240</v>
      </c>
      <c r="J223" s="13">
        <f>[2]S1!J224</f>
        <v>0</v>
      </c>
      <c r="K223" s="19">
        <f>[2]S1!K224</f>
        <v>1240</v>
      </c>
      <c r="L223" s="52">
        <f>[2]S1!L224</f>
        <v>24000</v>
      </c>
      <c r="M223" s="58">
        <f>[2]S1!M224</f>
        <v>7</v>
      </c>
      <c r="N223" s="49">
        <f>[2]S1!P224</f>
        <v>9828072198</v>
      </c>
      <c r="O223" s="14"/>
    </row>
    <row r="224" spans="1:15" x14ac:dyDescent="0.3">
      <c r="A224" s="11">
        <v>3271</v>
      </c>
      <c r="B224" s="12" t="str">
        <f>[3]Name!E2275</f>
        <v>Rajesh Kumar Saravata</v>
      </c>
      <c r="C224" s="13">
        <f>[2]S1!C225</f>
        <v>0</v>
      </c>
      <c r="D224" s="13">
        <f>[2]S1!D225</f>
        <v>0</v>
      </c>
      <c r="E224" s="26">
        <f>[2]S1!E225</f>
        <v>200</v>
      </c>
      <c r="F224" s="26">
        <f>[2]S1!F225</f>
        <v>0</v>
      </c>
      <c r="G224" s="22">
        <f>[2]S1!G225</f>
        <v>0</v>
      </c>
      <c r="H224" s="22">
        <f>[2]S1!H225</f>
        <v>0</v>
      </c>
      <c r="I224" s="22">
        <f>[2]S1!I225</f>
        <v>0</v>
      </c>
      <c r="J224" s="13">
        <f>[2]S1!J225</f>
        <v>0</v>
      </c>
      <c r="K224" s="19">
        <f>[2]S1!K225</f>
        <v>200</v>
      </c>
      <c r="L224" s="52">
        <f>[2]S1!L225</f>
        <v>0</v>
      </c>
      <c r="M224" s="58">
        <f>[2]S1!M225</f>
        <v>0</v>
      </c>
      <c r="N224" s="49">
        <f>[2]S1!P225</f>
        <v>8560046266</v>
      </c>
      <c r="O224" s="14"/>
    </row>
    <row r="225" spans="1:15" x14ac:dyDescent="0.3">
      <c r="A225" s="11">
        <v>3272</v>
      </c>
      <c r="B225" s="12" t="str">
        <f>[3]Name!E2276</f>
        <v>Laxi Devi Saravata</v>
      </c>
      <c r="C225" s="13">
        <f>[2]S1!C226</f>
        <v>0</v>
      </c>
      <c r="D225" s="13">
        <f>[2]S1!D226</f>
        <v>0</v>
      </c>
      <c r="E225" s="26">
        <f>[2]S1!E226</f>
        <v>200</v>
      </c>
      <c r="F225" s="26">
        <f>[2]S1!F226</f>
        <v>0</v>
      </c>
      <c r="G225" s="22">
        <f>[2]S1!G226</f>
        <v>0</v>
      </c>
      <c r="H225" s="22">
        <f>[2]S1!H226</f>
        <v>0</v>
      </c>
      <c r="I225" s="22">
        <f>[2]S1!I226</f>
        <v>0</v>
      </c>
      <c r="J225" s="13">
        <f>[2]S1!J226</f>
        <v>0</v>
      </c>
      <c r="K225" s="19">
        <f>[2]S1!K226</f>
        <v>200</v>
      </c>
      <c r="L225" s="52">
        <f>[2]S1!L226</f>
        <v>0</v>
      </c>
      <c r="M225" s="58">
        <f>[2]S1!M226</f>
        <v>0</v>
      </c>
      <c r="N225" s="49">
        <f>[2]S1!P226</f>
        <v>8560046266</v>
      </c>
      <c r="O225" s="14"/>
    </row>
    <row r="226" spans="1:15" x14ac:dyDescent="0.3">
      <c r="A226" s="11">
        <v>3273</v>
      </c>
      <c r="B226" s="12" t="str">
        <f>[3]Name!E2277</f>
        <v>Arjun Lal Saravata</v>
      </c>
      <c r="C226" s="13">
        <f>[2]S1!C227</f>
        <v>0</v>
      </c>
      <c r="D226" s="13">
        <f>[2]S1!D227</f>
        <v>0</v>
      </c>
      <c r="E226" s="26">
        <f>[2]S1!E227</f>
        <v>200</v>
      </c>
      <c r="F226" s="26">
        <f>[2]S1!F227</f>
        <v>0</v>
      </c>
      <c r="G226" s="22">
        <f>[2]S1!G227</f>
        <v>0</v>
      </c>
      <c r="H226" s="22">
        <f>[2]S1!H227</f>
        <v>0</v>
      </c>
      <c r="I226" s="22">
        <f>[2]S1!I227</f>
        <v>0</v>
      </c>
      <c r="J226" s="13">
        <f>[2]S1!J227</f>
        <v>0</v>
      </c>
      <c r="K226" s="19">
        <f>[2]S1!K227</f>
        <v>200</v>
      </c>
      <c r="L226" s="52">
        <f>[2]S1!L227</f>
        <v>0</v>
      </c>
      <c r="M226" s="58">
        <f>[2]S1!M227</f>
        <v>0</v>
      </c>
      <c r="N226" s="49">
        <f>[2]S1!P227</f>
        <v>8560046266</v>
      </c>
      <c r="O226" s="14"/>
    </row>
    <row r="227" spans="1:15" x14ac:dyDescent="0.3">
      <c r="A227" s="11">
        <v>3274</v>
      </c>
      <c r="B227" s="12" t="str">
        <f>[3]Name!E2278</f>
        <v>Priti Kumari Saravata</v>
      </c>
      <c r="C227" s="13">
        <f>[2]S1!C228</f>
        <v>0</v>
      </c>
      <c r="D227" s="13">
        <f>[2]S1!D228</f>
        <v>0</v>
      </c>
      <c r="E227" s="26">
        <f>[2]S1!E228</f>
        <v>189</v>
      </c>
      <c r="F227" s="26">
        <f>[2]S1!F228</f>
        <v>0</v>
      </c>
      <c r="G227" s="22">
        <f>[2]S1!G228</f>
        <v>0</v>
      </c>
      <c r="H227" s="22">
        <f>[2]S1!H228</f>
        <v>0</v>
      </c>
      <c r="I227" s="22">
        <f>[2]S1!I228</f>
        <v>0</v>
      </c>
      <c r="J227" s="13">
        <f>[2]S1!J228</f>
        <v>0</v>
      </c>
      <c r="K227" s="19">
        <f>[2]S1!K228</f>
        <v>189</v>
      </c>
      <c r="L227" s="52">
        <f>[2]S1!L228</f>
        <v>0</v>
      </c>
      <c r="M227" s="58">
        <f>[2]S1!M228</f>
        <v>0</v>
      </c>
      <c r="N227" s="49">
        <f>[2]S1!P228</f>
        <v>8560046266</v>
      </c>
      <c r="O227" s="14"/>
    </row>
    <row r="228" spans="1:15" x14ac:dyDescent="0.3">
      <c r="A228" s="11">
        <v>3275</v>
      </c>
      <c r="B228" s="12" t="str">
        <f>[3]Name!E2279</f>
        <v>Yas Kumar Saravata</v>
      </c>
      <c r="C228" s="13">
        <f>[2]S1!C229</f>
        <v>0</v>
      </c>
      <c r="D228" s="13">
        <f>[2]S1!D229</f>
        <v>0</v>
      </c>
      <c r="E228" s="26">
        <f>[2]S1!E229</f>
        <v>200</v>
      </c>
      <c r="F228" s="26">
        <f>[2]S1!F229</f>
        <v>0</v>
      </c>
      <c r="G228" s="22">
        <f>[2]S1!G229</f>
        <v>0</v>
      </c>
      <c r="H228" s="22">
        <f>[2]S1!H229</f>
        <v>0</v>
      </c>
      <c r="I228" s="22">
        <f>[2]S1!I229</f>
        <v>0</v>
      </c>
      <c r="J228" s="13">
        <f>[2]S1!J229</f>
        <v>0</v>
      </c>
      <c r="K228" s="19">
        <f>[2]S1!K229</f>
        <v>200</v>
      </c>
      <c r="L228" s="52">
        <f>[2]S1!L229</f>
        <v>0</v>
      </c>
      <c r="M228" s="58">
        <f>[2]S1!M229</f>
        <v>0</v>
      </c>
      <c r="N228" s="49">
        <f>[2]S1!P229</f>
        <v>8560046266</v>
      </c>
      <c r="O228" s="14"/>
    </row>
    <row r="229" spans="1:15" x14ac:dyDescent="0.3">
      <c r="A229" s="11">
        <v>3276</v>
      </c>
      <c r="B229" s="12" t="str">
        <f>[3]Name!E2280</f>
        <v>Banvari Lal Baravad</v>
      </c>
      <c r="C229" s="13">
        <f>[2]S1!C230</f>
        <v>1000</v>
      </c>
      <c r="D229" s="13">
        <f>[2]S1!D230</f>
        <v>0</v>
      </c>
      <c r="E229" s="26">
        <f>[2]S1!E230</f>
        <v>198</v>
      </c>
      <c r="F229" s="26">
        <f>[2]S1!F230</f>
        <v>0</v>
      </c>
      <c r="G229" s="22">
        <f>[2]S1!G230</f>
        <v>1000</v>
      </c>
      <c r="H229" s="22">
        <f>[2]S1!H230</f>
        <v>0</v>
      </c>
      <c r="I229" s="22">
        <f>[2]S1!I230</f>
        <v>50</v>
      </c>
      <c r="J229" s="13">
        <f>[2]S1!J230</f>
        <v>0</v>
      </c>
      <c r="K229" s="19">
        <f>[2]S1!K230</f>
        <v>1248</v>
      </c>
      <c r="L229" s="52">
        <f>[2]S1!L230</f>
        <v>5000</v>
      </c>
      <c r="M229" s="58">
        <f>[2]S1!M230</f>
        <v>26</v>
      </c>
      <c r="N229" s="49">
        <f>[2]S1!P230</f>
        <v>8963006525</v>
      </c>
      <c r="O229" s="14"/>
    </row>
    <row r="230" spans="1:15" x14ac:dyDescent="0.3">
      <c r="A230" s="11">
        <v>3277</v>
      </c>
      <c r="B230" s="12" t="str">
        <f>[3]Name!E2281</f>
        <v>Puja kumari  Baravad</v>
      </c>
      <c r="C230" s="13">
        <f>[2]S1!C231</f>
        <v>1000</v>
      </c>
      <c r="D230" s="13">
        <f>[2]S1!D231</f>
        <v>0</v>
      </c>
      <c r="E230" s="26">
        <f>[2]S1!E231</f>
        <v>200</v>
      </c>
      <c r="F230" s="26">
        <f>[2]S1!F231</f>
        <v>0</v>
      </c>
      <c r="G230" s="22">
        <f>[2]S1!G231</f>
        <v>1000</v>
      </c>
      <c r="H230" s="22">
        <f>[2]S1!H231</f>
        <v>0</v>
      </c>
      <c r="I230" s="22">
        <f>[2]S1!I231</f>
        <v>50</v>
      </c>
      <c r="J230" s="13">
        <f>[2]S1!J231</f>
        <v>0</v>
      </c>
      <c r="K230" s="19">
        <f>[2]S1!K231</f>
        <v>1250</v>
      </c>
      <c r="L230" s="52">
        <f>[2]S1!L231</f>
        <v>5000</v>
      </c>
      <c r="M230" s="58">
        <f>[2]S1!M231</f>
        <v>26</v>
      </c>
      <c r="N230" s="49">
        <f>[2]S1!P231</f>
        <v>7877191250</v>
      </c>
      <c r="O230" s="14"/>
    </row>
    <row r="231" spans="1:15" x14ac:dyDescent="0.3">
      <c r="A231" s="11">
        <v>3278</v>
      </c>
      <c r="B231" s="12" t="str">
        <f>[3]Name!E2282</f>
        <v>Varun Baravad</v>
      </c>
      <c r="C231" s="13">
        <f>[2]S1!C232</f>
        <v>1000</v>
      </c>
      <c r="D231" s="13">
        <f>[2]S1!D232</f>
        <v>0</v>
      </c>
      <c r="E231" s="26">
        <f>[2]S1!E232</f>
        <v>200</v>
      </c>
      <c r="F231" s="26">
        <f>[2]S1!F232</f>
        <v>0</v>
      </c>
      <c r="G231" s="22">
        <f>[2]S1!G232</f>
        <v>1000</v>
      </c>
      <c r="H231" s="22">
        <f>[2]S1!H232</f>
        <v>0</v>
      </c>
      <c r="I231" s="22">
        <f>[2]S1!I232</f>
        <v>50</v>
      </c>
      <c r="J231" s="13">
        <f>[2]S1!J232</f>
        <v>0</v>
      </c>
      <c r="K231" s="19">
        <f>[2]S1!K232</f>
        <v>1250</v>
      </c>
      <c r="L231" s="52">
        <f>[2]S1!L232</f>
        <v>5000</v>
      </c>
      <c r="M231" s="58">
        <f>[2]S1!M232</f>
        <v>26</v>
      </c>
      <c r="N231" s="49">
        <f>[2]S1!P232</f>
        <v>7877191250</v>
      </c>
      <c r="O231" s="14"/>
    </row>
    <row r="232" spans="1:15" x14ac:dyDescent="0.3">
      <c r="A232" s="11">
        <v>3279</v>
      </c>
      <c r="B232" s="12" t="str">
        <f>[3]Name!E2283</f>
        <v>Ram Lal Baravad</v>
      </c>
      <c r="C232" s="13">
        <f>[2]S1!C233</f>
        <v>1000</v>
      </c>
      <c r="D232" s="13">
        <f>[2]S1!D233</f>
        <v>0</v>
      </c>
      <c r="E232" s="26">
        <f>[2]S1!E233</f>
        <v>200</v>
      </c>
      <c r="F232" s="26">
        <f>[2]S1!F233</f>
        <v>0</v>
      </c>
      <c r="G232" s="22">
        <f>[2]S1!G233</f>
        <v>1000</v>
      </c>
      <c r="H232" s="22">
        <f>[2]S1!H233</f>
        <v>0</v>
      </c>
      <c r="I232" s="22">
        <f>[2]S1!I233</f>
        <v>50</v>
      </c>
      <c r="J232" s="13">
        <f>[2]S1!J233</f>
        <v>0</v>
      </c>
      <c r="K232" s="19">
        <f>[2]S1!K233</f>
        <v>1250</v>
      </c>
      <c r="L232" s="52">
        <f>[2]S1!L233</f>
        <v>5000</v>
      </c>
      <c r="M232" s="58">
        <f>[2]S1!M233</f>
        <v>26</v>
      </c>
      <c r="N232" s="49">
        <f>[2]S1!P233</f>
        <v>7877191250</v>
      </c>
      <c r="O232" s="14"/>
    </row>
    <row r="233" spans="1:15" x14ac:dyDescent="0.3">
      <c r="A233" s="11">
        <v>3280</v>
      </c>
      <c r="B233" s="12" t="str">
        <f>[3]Name!E2284</f>
        <v>Punam Devi Baravad</v>
      </c>
      <c r="C233" s="13">
        <f>[2]S1!C234</f>
        <v>1000</v>
      </c>
      <c r="D233" s="13">
        <f>[2]S1!D234</f>
        <v>0</v>
      </c>
      <c r="E233" s="26">
        <f>[2]S1!E234</f>
        <v>200</v>
      </c>
      <c r="F233" s="26">
        <f>[2]S1!F234</f>
        <v>0</v>
      </c>
      <c r="G233" s="22">
        <f>[2]S1!G234</f>
        <v>1000</v>
      </c>
      <c r="H233" s="22">
        <f>[2]S1!H234</f>
        <v>0</v>
      </c>
      <c r="I233" s="22">
        <f>[2]S1!I234</f>
        <v>50</v>
      </c>
      <c r="J233" s="13">
        <f>[2]S1!J234</f>
        <v>0</v>
      </c>
      <c r="K233" s="19">
        <f>[2]S1!K234</f>
        <v>1250</v>
      </c>
      <c r="L233" s="52">
        <f>[2]S1!L234</f>
        <v>5000</v>
      </c>
      <c r="M233" s="58">
        <f>[2]S1!M234</f>
        <v>26</v>
      </c>
      <c r="N233" s="49">
        <f>[2]S1!P234</f>
        <v>7877191250</v>
      </c>
      <c r="O233" s="14"/>
    </row>
    <row r="234" spans="1:15" x14ac:dyDescent="0.3">
      <c r="A234" s="11">
        <v>3281</v>
      </c>
      <c r="B234" s="12" t="str">
        <f>[3]Name!E2285</f>
        <v>Prins Kumar Baravad</v>
      </c>
      <c r="C234" s="13">
        <f>[2]S1!C235</f>
        <v>1000</v>
      </c>
      <c r="D234" s="13">
        <f>[2]S1!D235</f>
        <v>0</v>
      </c>
      <c r="E234" s="26">
        <f>[2]S1!E235</f>
        <v>200</v>
      </c>
      <c r="F234" s="26">
        <f>[2]S1!F235</f>
        <v>0</v>
      </c>
      <c r="G234" s="22">
        <f>[2]S1!G235</f>
        <v>1000</v>
      </c>
      <c r="H234" s="22">
        <f>[2]S1!H235</f>
        <v>0</v>
      </c>
      <c r="I234" s="22">
        <f>[2]S1!I235</f>
        <v>50</v>
      </c>
      <c r="J234" s="13">
        <f>[2]S1!J235</f>
        <v>0</v>
      </c>
      <c r="K234" s="19">
        <f>[2]S1!K235</f>
        <v>1250</v>
      </c>
      <c r="L234" s="52">
        <f>[2]S1!L235</f>
        <v>5000</v>
      </c>
      <c r="M234" s="58">
        <f>[2]S1!M235</f>
        <v>26</v>
      </c>
      <c r="N234" s="49">
        <f>[2]S1!P235</f>
        <v>7877191250</v>
      </c>
      <c r="O234" s="14"/>
    </row>
    <row r="235" spans="1:15" x14ac:dyDescent="0.3">
      <c r="A235" s="11">
        <v>3282</v>
      </c>
      <c r="B235" s="12" t="str">
        <f>[3]Name!E2286</f>
        <v>Natu Ram Chohan</v>
      </c>
      <c r="C235" s="13">
        <f>[2]S1!C236</f>
        <v>1000</v>
      </c>
      <c r="D235" s="13">
        <f>[2]S1!D236</f>
        <v>0</v>
      </c>
      <c r="E235" s="26">
        <f>[2]S1!E236</f>
        <v>200</v>
      </c>
      <c r="F235" s="26">
        <f>[2]S1!F236</f>
        <v>0</v>
      </c>
      <c r="G235" s="22">
        <f>[2]S1!G236</f>
        <v>921</v>
      </c>
      <c r="H235" s="22">
        <f>[2]S1!H236</f>
        <v>0</v>
      </c>
      <c r="I235" s="22">
        <f>[2]S1!I236</f>
        <v>59</v>
      </c>
      <c r="J235" s="13">
        <f>[2]S1!J236</f>
        <v>0</v>
      </c>
      <c r="K235" s="19">
        <f>[2]S1!K236</f>
        <v>1180</v>
      </c>
      <c r="L235" s="52">
        <f>[2]S1!L236</f>
        <v>5921</v>
      </c>
      <c r="M235" s="58">
        <f>[2]S1!M236</f>
        <v>25</v>
      </c>
      <c r="N235" s="49">
        <f>[2]S1!P236</f>
        <v>9784451938</v>
      </c>
      <c r="O235" s="14"/>
    </row>
    <row r="236" spans="1:15" x14ac:dyDescent="0.3">
      <c r="A236" s="11">
        <v>3283</v>
      </c>
      <c r="B236" s="12" t="str">
        <f>[3]Name!E2287</f>
        <v>Vikash Kumar Chohan</v>
      </c>
      <c r="C236" s="13">
        <f>[2]S1!C237</f>
        <v>1000</v>
      </c>
      <c r="D236" s="13">
        <f>[2]S1!D237</f>
        <v>0</v>
      </c>
      <c r="E236" s="26">
        <f>[2]S1!E237</f>
        <v>200</v>
      </c>
      <c r="F236" s="26">
        <f>[2]S1!F237</f>
        <v>0</v>
      </c>
      <c r="G236" s="22">
        <f>[2]S1!G237</f>
        <v>1000</v>
      </c>
      <c r="H236" s="22">
        <f>[2]S1!H237</f>
        <v>0</v>
      </c>
      <c r="I236" s="22">
        <f>[2]S1!I237</f>
        <v>60</v>
      </c>
      <c r="J236" s="13">
        <f>[2]S1!J237</f>
        <v>0</v>
      </c>
      <c r="K236" s="19">
        <f>[2]S1!K237</f>
        <v>1260</v>
      </c>
      <c r="L236" s="52">
        <f>[2]S1!L237</f>
        <v>6000</v>
      </c>
      <c r="M236" s="58">
        <f>[2]S1!M237</f>
        <v>25</v>
      </c>
      <c r="N236" s="49">
        <f>[2]S1!P237</f>
        <v>9784451938</v>
      </c>
      <c r="O236" s="14"/>
    </row>
    <row r="237" spans="1:15" x14ac:dyDescent="0.3">
      <c r="A237" s="11">
        <v>3284</v>
      </c>
      <c r="B237" s="12" t="str">
        <f>[3]Name!E2288</f>
        <v>Vinod Kumar Chohan</v>
      </c>
      <c r="C237" s="13">
        <f>[2]S1!C238</f>
        <v>1000</v>
      </c>
      <c r="D237" s="13">
        <f>[2]S1!D238</f>
        <v>0</v>
      </c>
      <c r="E237" s="26">
        <f>[2]S1!E238</f>
        <v>200</v>
      </c>
      <c r="F237" s="26">
        <f>[2]S1!F238</f>
        <v>0</v>
      </c>
      <c r="G237" s="22">
        <f>[2]S1!G238</f>
        <v>1000</v>
      </c>
      <c r="H237" s="22">
        <f>[2]S1!H238</f>
        <v>0</v>
      </c>
      <c r="I237" s="22">
        <f>[2]S1!I238</f>
        <v>140</v>
      </c>
      <c r="J237" s="13">
        <f>[2]S1!J238</f>
        <v>0</v>
      </c>
      <c r="K237" s="19">
        <f>[2]S1!K238</f>
        <v>1340</v>
      </c>
      <c r="L237" s="52">
        <f>[2]S1!L238</f>
        <v>14000</v>
      </c>
      <c r="M237" s="58">
        <f>[2]S1!M238</f>
        <v>17</v>
      </c>
      <c r="N237" s="49">
        <f>[2]S1!P238</f>
        <v>9784451938</v>
      </c>
      <c r="O237" s="14"/>
    </row>
    <row r="238" spans="1:15" x14ac:dyDescent="0.3">
      <c r="A238" s="11">
        <v>3285</v>
      </c>
      <c r="B238" s="12" t="str">
        <f>[3]Name!E2289</f>
        <v>Kamalesh Kumar Chohan</v>
      </c>
      <c r="C238" s="13">
        <f>[2]S1!C239</f>
        <v>1000</v>
      </c>
      <c r="D238" s="13">
        <f>[2]S1!D239</f>
        <v>0</v>
      </c>
      <c r="E238" s="26">
        <f>[2]S1!E239</f>
        <v>200</v>
      </c>
      <c r="F238" s="26">
        <f>[2]S1!F239</f>
        <v>0</v>
      </c>
      <c r="G238" s="22">
        <f>[2]S1!G239</f>
        <v>1000</v>
      </c>
      <c r="H238" s="22">
        <f>[2]S1!H239</f>
        <v>0</v>
      </c>
      <c r="I238" s="22">
        <f>[2]S1!I239</f>
        <v>60</v>
      </c>
      <c r="J238" s="13">
        <f>[2]S1!J239</f>
        <v>0</v>
      </c>
      <c r="K238" s="19">
        <f>[2]S1!K239</f>
        <v>1260</v>
      </c>
      <c r="L238" s="52">
        <f>[2]S1!L239</f>
        <v>6000</v>
      </c>
      <c r="M238" s="58">
        <f>[2]S1!M239</f>
        <v>25</v>
      </c>
      <c r="N238" s="49">
        <f>[2]S1!P239</f>
        <v>9784451938</v>
      </c>
      <c r="O238" s="14"/>
    </row>
    <row r="239" spans="1:15" x14ac:dyDescent="0.3">
      <c r="A239" s="11">
        <v>3286</v>
      </c>
      <c r="B239" s="12" t="str">
        <f>[3]Name!E2290</f>
        <v>Barji Devi Chohan</v>
      </c>
      <c r="C239" s="13">
        <f>[2]S1!C240</f>
        <v>1000</v>
      </c>
      <c r="D239" s="13">
        <f>[2]S1!D240</f>
        <v>0</v>
      </c>
      <c r="E239" s="26">
        <f>[2]S1!E240</f>
        <v>200</v>
      </c>
      <c r="F239" s="26">
        <f>[2]S1!F240</f>
        <v>0</v>
      </c>
      <c r="G239" s="22">
        <f>[2]S1!G240</f>
        <v>1000</v>
      </c>
      <c r="H239" s="22">
        <f>[2]S1!H240</f>
        <v>0</v>
      </c>
      <c r="I239" s="22">
        <f>[2]S1!I240</f>
        <v>60</v>
      </c>
      <c r="J239" s="13">
        <f>[2]S1!J240</f>
        <v>0</v>
      </c>
      <c r="K239" s="19">
        <f>[2]S1!K240</f>
        <v>1260</v>
      </c>
      <c r="L239" s="52">
        <f>[2]S1!L240</f>
        <v>6000</v>
      </c>
      <c r="M239" s="58">
        <f>[2]S1!M240</f>
        <v>25</v>
      </c>
      <c r="N239" s="49">
        <f>[2]S1!P240</f>
        <v>9784451938</v>
      </c>
      <c r="O239" s="14"/>
    </row>
    <row r="240" spans="1:15" x14ac:dyDescent="0.3">
      <c r="A240" s="11">
        <v>3287</v>
      </c>
      <c r="B240" s="12" t="str">
        <f>[3]Name!E2291</f>
        <v>Lala Ram Bunkar</v>
      </c>
      <c r="C240" s="13">
        <f>[2]S1!C241</f>
        <v>0</v>
      </c>
      <c r="D240" s="13">
        <f>[2]S1!D241</f>
        <v>0</v>
      </c>
      <c r="E240" s="26">
        <f>[2]S1!E241</f>
        <v>200</v>
      </c>
      <c r="F240" s="26">
        <f>[2]S1!F241</f>
        <v>0</v>
      </c>
      <c r="G240" s="22">
        <f>[2]S1!G241</f>
        <v>0</v>
      </c>
      <c r="H240" s="22">
        <f>[2]S1!H241</f>
        <v>0</v>
      </c>
      <c r="I240" s="22">
        <f>[2]S1!I241</f>
        <v>0</v>
      </c>
      <c r="J240" s="13">
        <f>[2]S1!J241</f>
        <v>0</v>
      </c>
      <c r="K240" s="19">
        <f>[2]S1!K241</f>
        <v>200</v>
      </c>
      <c r="L240" s="52">
        <f>[2]S1!L241</f>
        <v>0</v>
      </c>
      <c r="M240" s="58">
        <f>[2]S1!M241</f>
        <v>0</v>
      </c>
      <c r="N240" s="49">
        <f>[2]S1!P241</f>
        <v>9602816634</v>
      </c>
      <c r="O240" s="14"/>
    </row>
    <row r="241" spans="1:15" x14ac:dyDescent="0.3">
      <c r="A241" s="11">
        <v>3288</v>
      </c>
      <c r="B241" s="12" t="str">
        <f>[3]Name!E2292</f>
        <v>Harsit Kumar Bunkar</v>
      </c>
      <c r="C241" s="13">
        <f>[2]S1!C242</f>
        <v>0</v>
      </c>
      <c r="D241" s="13">
        <f>[2]S1!D242</f>
        <v>0</v>
      </c>
      <c r="E241" s="26">
        <f>[2]S1!E242</f>
        <v>200</v>
      </c>
      <c r="F241" s="26">
        <f>[2]S1!F242</f>
        <v>0</v>
      </c>
      <c r="G241" s="22">
        <f>[2]S1!G242</f>
        <v>0</v>
      </c>
      <c r="H241" s="22">
        <f>[2]S1!H242</f>
        <v>0</v>
      </c>
      <c r="I241" s="22">
        <f>[2]S1!I242</f>
        <v>0</v>
      </c>
      <c r="J241" s="13">
        <f>[2]S1!J242</f>
        <v>0</v>
      </c>
      <c r="K241" s="19">
        <f>[2]S1!K242</f>
        <v>200</v>
      </c>
      <c r="L241" s="52">
        <f>[2]S1!L242</f>
        <v>0</v>
      </c>
      <c r="M241" s="58">
        <f>[2]S1!M242</f>
        <v>0</v>
      </c>
      <c r="N241" s="49">
        <f>[2]S1!P242</f>
        <v>9602816634</v>
      </c>
      <c r="O241" s="14"/>
    </row>
    <row r="242" spans="1:15" x14ac:dyDescent="0.3">
      <c r="A242" s="11">
        <v>3289</v>
      </c>
      <c r="B242" s="12" t="str">
        <f>[3]Name!E2293</f>
        <v>Sohal Lal Meharda</v>
      </c>
      <c r="C242" s="13">
        <f>[2]S1!C243</f>
        <v>0</v>
      </c>
      <c r="D242" s="13">
        <f>[2]S1!D243</f>
        <v>0</v>
      </c>
      <c r="E242" s="26">
        <f>[2]S1!E243</f>
        <v>200</v>
      </c>
      <c r="F242" s="26">
        <f>[2]S1!F243</f>
        <v>0</v>
      </c>
      <c r="G242" s="22">
        <f>[2]S1!G243</f>
        <v>0</v>
      </c>
      <c r="H242" s="22">
        <f>[2]S1!H243</f>
        <v>0</v>
      </c>
      <c r="I242" s="22">
        <f>[2]S1!I243</f>
        <v>0</v>
      </c>
      <c r="J242" s="13">
        <f>[2]S1!J243</f>
        <v>0</v>
      </c>
      <c r="K242" s="19">
        <f>[2]S1!K243</f>
        <v>200</v>
      </c>
      <c r="L242" s="52">
        <f>[2]S1!L243</f>
        <v>0</v>
      </c>
      <c r="M242" s="58">
        <f>[2]S1!M243</f>
        <v>0</v>
      </c>
      <c r="N242" s="49">
        <f>[2]S1!P243</f>
        <v>9928208341</v>
      </c>
      <c r="O242" s="14"/>
    </row>
    <row r="243" spans="1:15" x14ac:dyDescent="0.3">
      <c r="A243" s="11">
        <v>3290</v>
      </c>
      <c r="B243" s="12" t="str">
        <f>[3]Name!E2294</f>
        <v>Babli Devi Meharda</v>
      </c>
      <c r="C243" s="13">
        <f>[2]S1!C244</f>
        <v>0</v>
      </c>
      <c r="D243" s="13">
        <f>[2]S1!D244</f>
        <v>0</v>
      </c>
      <c r="E243" s="26">
        <f>[2]S1!E244</f>
        <v>200</v>
      </c>
      <c r="F243" s="26">
        <f>[2]S1!F244</f>
        <v>0</v>
      </c>
      <c r="G243" s="22">
        <f>[2]S1!G244</f>
        <v>0</v>
      </c>
      <c r="H243" s="22">
        <f>[2]S1!H244</f>
        <v>0</v>
      </c>
      <c r="I243" s="22">
        <f>[2]S1!I244</f>
        <v>0</v>
      </c>
      <c r="J243" s="13">
        <f>[2]S1!J244</f>
        <v>0</v>
      </c>
      <c r="K243" s="19">
        <f>[2]S1!K244</f>
        <v>200</v>
      </c>
      <c r="L243" s="52">
        <f>[2]S1!L244</f>
        <v>0</v>
      </c>
      <c r="M243" s="58">
        <f>[2]S1!M244</f>
        <v>0</v>
      </c>
      <c r="N243" s="49">
        <f>[2]S1!P244</f>
        <v>9928208341</v>
      </c>
      <c r="O243" s="14"/>
    </row>
    <row r="244" spans="1:15" x14ac:dyDescent="0.3">
      <c r="A244" s="11">
        <v>3291</v>
      </c>
      <c r="B244" s="12" t="str">
        <f>[3]Name!E2295</f>
        <v>Anjali Kumari Meharda</v>
      </c>
      <c r="C244" s="13">
        <f>[2]S1!C245</f>
        <v>0</v>
      </c>
      <c r="D244" s="13">
        <f>[2]S1!D245</f>
        <v>0</v>
      </c>
      <c r="E244" s="26">
        <f>[2]S1!E245</f>
        <v>200</v>
      </c>
      <c r="F244" s="26">
        <f>[2]S1!F245</f>
        <v>0</v>
      </c>
      <c r="G244" s="22">
        <f>[2]S1!G245</f>
        <v>0</v>
      </c>
      <c r="H244" s="22">
        <f>[2]S1!H245</f>
        <v>0</v>
      </c>
      <c r="I244" s="22">
        <f>[2]S1!I245</f>
        <v>0</v>
      </c>
      <c r="J244" s="13">
        <f>[2]S1!J245</f>
        <v>0</v>
      </c>
      <c r="K244" s="19">
        <f>[2]S1!K245</f>
        <v>200</v>
      </c>
      <c r="L244" s="52">
        <f>[2]S1!L245</f>
        <v>0</v>
      </c>
      <c r="M244" s="58">
        <f>[2]S1!M245</f>
        <v>0</v>
      </c>
      <c r="N244" s="49">
        <f>[2]S1!P245</f>
        <v>9928208341</v>
      </c>
      <c r="O244" s="14"/>
    </row>
    <row r="245" spans="1:15" x14ac:dyDescent="0.3">
      <c r="A245" s="11">
        <v>3292</v>
      </c>
      <c r="B245" s="12" t="str">
        <f>[3]Name!E2296</f>
        <v>Komal Kumari Meharda</v>
      </c>
      <c r="C245" s="13">
        <f>[2]S1!C246</f>
        <v>0</v>
      </c>
      <c r="D245" s="13">
        <f>[2]S1!D246</f>
        <v>0</v>
      </c>
      <c r="E245" s="26">
        <f>[2]S1!E246</f>
        <v>200</v>
      </c>
      <c r="F245" s="26">
        <f>[2]S1!F246</f>
        <v>0</v>
      </c>
      <c r="G245" s="22">
        <f>[2]S1!G246</f>
        <v>0</v>
      </c>
      <c r="H245" s="22">
        <f>[2]S1!H246</f>
        <v>0</v>
      </c>
      <c r="I245" s="22">
        <f>[2]S1!I246</f>
        <v>0</v>
      </c>
      <c r="J245" s="13">
        <f>[2]S1!J246</f>
        <v>0</v>
      </c>
      <c r="K245" s="19">
        <f>[2]S1!K246</f>
        <v>200</v>
      </c>
      <c r="L245" s="52">
        <f>[2]S1!L246</f>
        <v>0</v>
      </c>
      <c r="M245" s="58">
        <f>[2]S1!M246</f>
        <v>0</v>
      </c>
      <c r="N245" s="49">
        <f>[2]S1!P246</f>
        <v>9928208341</v>
      </c>
      <c r="O245" s="14"/>
    </row>
    <row r="246" spans="1:15" x14ac:dyDescent="0.3">
      <c r="A246" s="11">
        <v>3293</v>
      </c>
      <c r="B246" s="12" t="str">
        <f>[3]Name!E2297</f>
        <v>Arpita Kumari Meharda</v>
      </c>
      <c r="C246" s="13">
        <f>[2]S1!C247</f>
        <v>0</v>
      </c>
      <c r="D246" s="13">
        <f>[2]S1!D247</f>
        <v>0</v>
      </c>
      <c r="E246" s="26">
        <f>[2]S1!E247</f>
        <v>200</v>
      </c>
      <c r="F246" s="26">
        <f>[2]S1!F247</f>
        <v>0</v>
      </c>
      <c r="G246" s="22">
        <f>[2]S1!G247</f>
        <v>0</v>
      </c>
      <c r="H246" s="22">
        <f>[2]S1!H247</f>
        <v>0</v>
      </c>
      <c r="I246" s="22">
        <f>[2]S1!I247</f>
        <v>0</v>
      </c>
      <c r="J246" s="13">
        <f>[2]S1!J247</f>
        <v>0</v>
      </c>
      <c r="K246" s="19">
        <f>[2]S1!K247</f>
        <v>200</v>
      </c>
      <c r="L246" s="52">
        <f>[2]S1!L247</f>
        <v>0</v>
      </c>
      <c r="M246" s="58">
        <f>[2]S1!M247</f>
        <v>0</v>
      </c>
      <c r="N246" s="49">
        <f>[2]S1!P247</f>
        <v>9928208341</v>
      </c>
      <c r="O246" s="14"/>
    </row>
    <row r="247" spans="1:15" x14ac:dyDescent="0.3">
      <c r="A247" s="11">
        <v>3294</v>
      </c>
      <c r="B247" s="12" t="str">
        <f>[3]Name!E2298</f>
        <v>neha Kumari meharada</v>
      </c>
      <c r="C247" s="13">
        <f>[2]S1!C248</f>
        <v>1000</v>
      </c>
      <c r="D247" s="13">
        <f>[2]S1!D248</f>
        <v>0</v>
      </c>
      <c r="E247" s="26">
        <f>[2]S1!E248</f>
        <v>168</v>
      </c>
      <c r="F247" s="26">
        <f>[2]S1!F248</f>
        <v>0</v>
      </c>
      <c r="G247" s="22">
        <f>[2]S1!G248</f>
        <v>1000</v>
      </c>
      <c r="H247" s="22">
        <f>[2]S1!H248</f>
        <v>0</v>
      </c>
      <c r="I247" s="22">
        <f>[2]S1!I248</f>
        <v>290</v>
      </c>
      <c r="J247" s="13">
        <f>[2]S1!J248</f>
        <v>0</v>
      </c>
      <c r="K247" s="19">
        <f>[2]S1!K248</f>
        <v>1458</v>
      </c>
      <c r="L247" s="52">
        <f>[2]S1!L248</f>
        <v>29000</v>
      </c>
      <c r="M247" s="58">
        <f>[2]S1!M248</f>
        <v>2</v>
      </c>
      <c r="N247" s="49">
        <f>[2]S1!P248</f>
        <v>9729252118</v>
      </c>
      <c r="O247" s="14"/>
    </row>
    <row r="248" spans="1:15" x14ac:dyDescent="0.3">
      <c r="A248" s="11">
        <v>3295</v>
      </c>
      <c r="B248" s="12" t="str">
        <f>[3]Name!E2299</f>
        <v>Hanuman Meharda</v>
      </c>
      <c r="C248" s="13">
        <f>[2]S1!C249</f>
        <v>1000</v>
      </c>
      <c r="D248" s="13">
        <f>[2]S1!D249</f>
        <v>0</v>
      </c>
      <c r="E248" s="26">
        <f>[2]S1!E249</f>
        <v>200</v>
      </c>
      <c r="F248" s="26">
        <f>[2]S1!F249</f>
        <v>0</v>
      </c>
      <c r="G248" s="22">
        <f>[2]S1!G249</f>
        <v>1000</v>
      </c>
      <c r="H248" s="22">
        <f>[2]S1!H249</f>
        <v>0</v>
      </c>
      <c r="I248" s="22">
        <f>[2]S1!I249</f>
        <v>290</v>
      </c>
      <c r="J248" s="13">
        <f>[2]S1!J249</f>
        <v>0</v>
      </c>
      <c r="K248" s="19">
        <f>[2]S1!K249</f>
        <v>1490</v>
      </c>
      <c r="L248" s="52">
        <f>[2]S1!L249</f>
        <v>29000</v>
      </c>
      <c r="M248" s="58">
        <f>[2]S1!M249</f>
        <v>2</v>
      </c>
      <c r="N248" s="49">
        <f>[2]S1!P249</f>
        <v>9782606781</v>
      </c>
      <c r="O248" s="14"/>
    </row>
    <row r="249" spans="1:15" x14ac:dyDescent="0.3">
      <c r="A249" s="11">
        <v>3296</v>
      </c>
      <c r="B249" s="12" t="str">
        <f>[3]Name!E2300</f>
        <v>Suman Devi Meharda</v>
      </c>
      <c r="C249" s="13">
        <f>[2]S1!C250</f>
        <v>1000</v>
      </c>
      <c r="D249" s="13">
        <f>[2]S1!D250</f>
        <v>0</v>
      </c>
      <c r="E249" s="26">
        <f>[2]S1!E250</f>
        <v>200</v>
      </c>
      <c r="F249" s="26">
        <f>[2]S1!F250</f>
        <v>0</v>
      </c>
      <c r="G249" s="22">
        <f>[2]S1!G250</f>
        <v>1000</v>
      </c>
      <c r="H249" s="22">
        <f>[2]S1!H250</f>
        <v>0</v>
      </c>
      <c r="I249" s="22">
        <f>[2]S1!I250</f>
        <v>290</v>
      </c>
      <c r="J249" s="13">
        <f>[2]S1!J250</f>
        <v>0</v>
      </c>
      <c r="K249" s="19">
        <f>[2]S1!K250</f>
        <v>1490</v>
      </c>
      <c r="L249" s="52">
        <f>[2]S1!L250</f>
        <v>29000</v>
      </c>
      <c r="M249" s="58">
        <f>[2]S1!M250</f>
        <v>2</v>
      </c>
      <c r="N249" s="49">
        <f>[2]S1!P250</f>
        <v>9782606781</v>
      </c>
      <c r="O249" s="14"/>
    </row>
    <row r="250" spans="1:15" x14ac:dyDescent="0.3">
      <c r="A250" s="11">
        <v>3297</v>
      </c>
      <c r="B250" s="12" t="str">
        <f>[3]Name!E2301</f>
        <v>Hanuman Meharda</v>
      </c>
      <c r="C250" s="13">
        <f>[2]S1!C251</f>
        <v>1000</v>
      </c>
      <c r="D250" s="13">
        <f>[2]S1!D251</f>
        <v>0</v>
      </c>
      <c r="E250" s="26">
        <f>[2]S1!E251</f>
        <v>200</v>
      </c>
      <c r="F250" s="26">
        <f>[2]S1!F251</f>
        <v>0</v>
      </c>
      <c r="G250" s="22">
        <f>[2]S1!G251</f>
        <v>1000</v>
      </c>
      <c r="H250" s="22">
        <f>[2]S1!H251</f>
        <v>0</v>
      </c>
      <c r="I250" s="22">
        <f>[2]S1!I251</f>
        <v>290</v>
      </c>
      <c r="J250" s="13">
        <f>[2]S1!J251</f>
        <v>0</v>
      </c>
      <c r="K250" s="19">
        <f>[2]S1!K251</f>
        <v>1490</v>
      </c>
      <c r="L250" s="52">
        <f>[2]S1!L251</f>
        <v>29000</v>
      </c>
      <c r="M250" s="58">
        <f>[2]S1!M251</f>
        <v>2</v>
      </c>
      <c r="N250" s="49">
        <f>[2]S1!P251</f>
        <v>9782606781</v>
      </c>
      <c r="O250" s="14"/>
    </row>
    <row r="251" spans="1:15" x14ac:dyDescent="0.3">
      <c r="A251" s="11">
        <v>3298</v>
      </c>
      <c r="B251" s="12" t="str">
        <f>[3]Name!E2302</f>
        <v>Suman Devi Meharda</v>
      </c>
      <c r="C251" s="13">
        <f>[2]S1!C252</f>
        <v>0</v>
      </c>
      <c r="D251" s="13">
        <f>[2]S1!D252</f>
        <v>0</v>
      </c>
      <c r="E251" s="26">
        <f>[2]S1!E252</f>
        <v>200</v>
      </c>
      <c r="F251" s="26">
        <f>[2]S1!F252</f>
        <v>0</v>
      </c>
      <c r="G251" s="22">
        <f>[2]S1!G252</f>
        <v>0</v>
      </c>
      <c r="H251" s="22">
        <f>[2]S1!H252</f>
        <v>0</v>
      </c>
      <c r="I251" s="22">
        <f>[2]S1!I252</f>
        <v>0</v>
      </c>
      <c r="J251" s="13">
        <f>[2]S1!J252</f>
        <v>0</v>
      </c>
      <c r="K251" s="19">
        <f>[2]S1!K252</f>
        <v>200</v>
      </c>
      <c r="L251" s="52">
        <f>[2]S1!L252</f>
        <v>0</v>
      </c>
      <c r="M251" s="58">
        <f>[2]S1!M252</f>
        <v>0</v>
      </c>
      <c r="N251" s="49">
        <f>[2]S1!P252</f>
        <v>9782606781</v>
      </c>
      <c r="O251" s="14"/>
    </row>
    <row r="252" spans="1:15" x14ac:dyDescent="0.3">
      <c r="A252" s="11">
        <v>3299</v>
      </c>
      <c r="B252" s="12" t="str">
        <f>[3]Name!E2303</f>
        <v>Mahendr Kumar Meharda</v>
      </c>
      <c r="C252" s="13">
        <f>[2]S1!C253</f>
        <v>1000</v>
      </c>
      <c r="D252" s="13">
        <f>[2]S1!D253</f>
        <v>0</v>
      </c>
      <c r="E252" s="26">
        <f>[2]S1!E253</f>
        <v>200</v>
      </c>
      <c r="F252" s="26">
        <f>[2]S1!F253</f>
        <v>0</v>
      </c>
      <c r="G252" s="22">
        <f>[2]S1!G253</f>
        <v>1000</v>
      </c>
      <c r="H252" s="22">
        <f>[2]S1!H253</f>
        <v>0</v>
      </c>
      <c r="I252" s="22">
        <f>[2]S1!I253</f>
        <v>60</v>
      </c>
      <c r="J252" s="13">
        <f>[2]S1!J253</f>
        <v>0</v>
      </c>
      <c r="K252" s="19">
        <f>[2]S1!K253</f>
        <v>1260</v>
      </c>
      <c r="L252" s="52">
        <f>[2]S1!L253</f>
        <v>6000</v>
      </c>
      <c r="M252" s="58">
        <f>[2]S1!M253</f>
        <v>25</v>
      </c>
      <c r="N252" s="49">
        <f>[2]S1!P253</f>
        <v>9783982680</v>
      </c>
      <c r="O252" s="14"/>
    </row>
    <row r="253" spans="1:15" x14ac:dyDescent="0.3">
      <c r="A253" s="11">
        <v>3300</v>
      </c>
      <c r="B253" s="12" t="str">
        <f>[3]Name!E2304</f>
        <v>Ganapat Lal Meharda</v>
      </c>
      <c r="C253" s="13">
        <f>[2]S1!C254</f>
        <v>1000</v>
      </c>
      <c r="D253" s="13">
        <f>[2]S1!D254</f>
        <v>0</v>
      </c>
      <c r="E253" s="26">
        <f>[2]S1!E254</f>
        <v>0</v>
      </c>
      <c r="F253" s="26">
        <f>[2]S1!F254</f>
        <v>0</v>
      </c>
      <c r="G253" s="22">
        <f>[2]S1!G254</f>
        <v>1000</v>
      </c>
      <c r="H253" s="22">
        <f>[2]S1!H254</f>
        <v>0</v>
      </c>
      <c r="I253" s="22">
        <f>[2]S1!I254</f>
        <v>60</v>
      </c>
      <c r="J253" s="13">
        <f>[2]S1!J254</f>
        <v>0</v>
      </c>
      <c r="K253" s="19">
        <f>[2]S1!K254</f>
        <v>1060</v>
      </c>
      <c r="L253" s="52">
        <f>[2]S1!L254</f>
        <v>6000</v>
      </c>
      <c r="M253" s="58">
        <f>[2]S1!M254</f>
        <v>25</v>
      </c>
      <c r="N253" s="49">
        <f>[2]S1!P254</f>
        <v>9783982680</v>
      </c>
      <c r="O253" s="14"/>
    </row>
    <row r="254" spans="1:15" x14ac:dyDescent="0.3">
      <c r="A254" s="11">
        <v>3301</v>
      </c>
      <c r="B254" s="12" t="str">
        <f>[3]Name!E2305</f>
        <v>Sonaxi Devi Meharda</v>
      </c>
      <c r="C254" s="13">
        <f>[2]S1!C255</f>
        <v>1000</v>
      </c>
      <c r="D254" s="13">
        <f>[2]S1!D255</f>
        <v>0</v>
      </c>
      <c r="E254" s="26">
        <f>[2]S1!E255</f>
        <v>200</v>
      </c>
      <c r="F254" s="26">
        <f>[2]S1!F255</f>
        <v>0</v>
      </c>
      <c r="G254" s="22">
        <f>[2]S1!G255</f>
        <v>1000</v>
      </c>
      <c r="H254" s="22">
        <f>[2]S1!H255</f>
        <v>0</v>
      </c>
      <c r="I254" s="22">
        <f>[2]S1!I255</f>
        <v>60</v>
      </c>
      <c r="J254" s="13">
        <f>[2]S1!J255</f>
        <v>0</v>
      </c>
      <c r="K254" s="19">
        <f>[2]S1!K255</f>
        <v>1260</v>
      </c>
      <c r="L254" s="52">
        <f>[2]S1!L255</f>
        <v>6000</v>
      </c>
      <c r="M254" s="58">
        <f>[2]S1!M255</f>
        <v>25</v>
      </c>
      <c r="N254" s="49">
        <f>[2]S1!P255</f>
        <v>9783982680</v>
      </c>
      <c r="O254" s="14"/>
    </row>
    <row r="255" spans="1:15" x14ac:dyDescent="0.3">
      <c r="A255" s="11">
        <v>3302</v>
      </c>
      <c r="B255" s="12" t="str">
        <f>[3]Name!E2306</f>
        <v>Balram Meharda</v>
      </c>
      <c r="C255" s="13">
        <f>[2]S1!C256</f>
        <v>1000</v>
      </c>
      <c r="D255" s="13">
        <f>[2]S1!D256</f>
        <v>0</v>
      </c>
      <c r="E255" s="26">
        <f>[2]S1!E256</f>
        <v>200</v>
      </c>
      <c r="F255" s="26">
        <f>[2]S1!F256</f>
        <v>0</v>
      </c>
      <c r="G255" s="22">
        <f>[2]S1!G256</f>
        <v>1000</v>
      </c>
      <c r="H255" s="22">
        <f>[2]S1!H256</f>
        <v>0</v>
      </c>
      <c r="I255" s="22">
        <f>[2]S1!I256</f>
        <v>60</v>
      </c>
      <c r="J255" s="13">
        <f>[2]S1!J256</f>
        <v>0</v>
      </c>
      <c r="K255" s="19">
        <f>[2]S1!K256</f>
        <v>1260</v>
      </c>
      <c r="L255" s="52">
        <f>[2]S1!L256</f>
        <v>6000</v>
      </c>
      <c r="M255" s="58">
        <f>[2]S1!M256</f>
        <v>25</v>
      </c>
      <c r="N255" s="49">
        <f>[2]S1!P256</f>
        <v>9783982680</v>
      </c>
      <c r="O255" s="14"/>
    </row>
    <row r="256" spans="1:15" x14ac:dyDescent="0.3">
      <c r="A256" s="11">
        <v>3303</v>
      </c>
      <c r="B256" s="12" t="str">
        <f>[3]Name!E2307</f>
        <v>Mona Devi Meharda</v>
      </c>
      <c r="C256" s="13">
        <f>[2]S1!C257</f>
        <v>1000</v>
      </c>
      <c r="D256" s="13">
        <f>[2]S1!D257</f>
        <v>0</v>
      </c>
      <c r="E256" s="26">
        <f>[2]S1!E257</f>
        <v>200</v>
      </c>
      <c r="F256" s="26">
        <f>[2]S1!F257</f>
        <v>0</v>
      </c>
      <c r="G256" s="22">
        <f>[2]S1!G257</f>
        <v>1000</v>
      </c>
      <c r="H256" s="22">
        <f>[2]S1!H257</f>
        <v>0</v>
      </c>
      <c r="I256" s="22">
        <f>[2]S1!I257</f>
        <v>60</v>
      </c>
      <c r="J256" s="13">
        <f>[2]S1!J257</f>
        <v>0</v>
      </c>
      <c r="K256" s="19">
        <f>[2]S1!K257</f>
        <v>1260</v>
      </c>
      <c r="L256" s="52">
        <f>[2]S1!L257</f>
        <v>6000</v>
      </c>
      <c r="M256" s="58">
        <f>[2]S1!M257</f>
        <v>25</v>
      </c>
      <c r="N256" s="49">
        <f>[2]S1!P257</f>
        <v>9783982680</v>
      </c>
      <c r="O256" s="14"/>
    </row>
    <row r="257" spans="1:15" x14ac:dyDescent="0.3">
      <c r="A257" s="11">
        <v>3304</v>
      </c>
      <c r="B257" s="12" t="str">
        <f>[3]Name!E2308</f>
        <v>Bhavya Kumari Meharda</v>
      </c>
      <c r="C257" s="13">
        <f>[2]S1!C258</f>
        <v>1000</v>
      </c>
      <c r="D257" s="13">
        <f>[2]S1!D258</f>
        <v>0</v>
      </c>
      <c r="E257" s="26">
        <f>[2]S1!E258</f>
        <v>200</v>
      </c>
      <c r="F257" s="26">
        <f>[2]S1!F258</f>
        <v>0</v>
      </c>
      <c r="G257" s="22">
        <f>[2]S1!G258</f>
        <v>1000</v>
      </c>
      <c r="H257" s="22">
        <f>[2]S1!H258</f>
        <v>0</v>
      </c>
      <c r="I257" s="22">
        <f>[2]S1!I258</f>
        <v>60</v>
      </c>
      <c r="J257" s="13">
        <f>[2]S1!J258</f>
        <v>0</v>
      </c>
      <c r="K257" s="19">
        <f>[2]S1!K258</f>
        <v>1260</v>
      </c>
      <c r="L257" s="52">
        <f>[2]S1!L258</f>
        <v>6000</v>
      </c>
      <c r="M257" s="58">
        <f>[2]S1!M258</f>
        <v>25</v>
      </c>
      <c r="N257" s="49">
        <f>[2]S1!P258</f>
        <v>9783982680</v>
      </c>
      <c r="O257" s="14"/>
    </row>
    <row r="258" spans="1:15" x14ac:dyDescent="0.3">
      <c r="A258" s="11">
        <v>3305</v>
      </c>
      <c r="B258" s="12" t="str">
        <f>[3]Name!E2309</f>
        <v>Bihan Kumar Meharda</v>
      </c>
      <c r="C258" s="13">
        <f>[2]S1!C259</f>
        <v>1000</v>
      </c>
      <c r="D258" s="13">
        <f>[2]S1!D259</f>
        <v>0</v>
      </c>
      <c r="E258" s="26">
        <f>[2]S1!E259</f>
        <v>200</v>
      </c>
      <c r="F258" s="26">
        <f>[2]S1!F259</f>
        <v>0</v>
      </c>
      <c r="G258" s="22">
        <f>[2]S1!G259</f>
        <v>1000</v>
      </c>
      <c r="H258" s="22">
        <f>[2]S1!H259</f>
        <v>0</v>
      </c>
      <c r="I258" s="22">
        <f>[2]S1!I259</f>
        <v>60</v>
      </c>
      <c r="J258" s="13">
        <f>[2]S1!J259</f>
        <v>0</v>
      </c>
      <c r="K258" s="19">
        <f>[2]S1!K259</f>
        <v>1260</v>
      </c>
      <c r="L258" s="52">
        <f>[2]S1!L259</f>
        <v>6000</v>
      </c>
      <c r="M258" s="58">
        <f>[2]S1!M259</f>
        <v>25</v>
      </c>
      <c r="N258" s="49">
        <f>[2]S1!P259</f>
        <v>9783982680</v>
      </c>
      <c r="O258" s="14"/>
    </row>
    <row r="259" spans="1:15" x14ac:dyDescent="0.3">
      <c r="A259" s="11">
        <v>3306</v>
      </c>
      <c r="B259" s="12" t="str">
        <f>[3]Name!E2310</f>
        <v>Kana Ram Khatti</v>
      </c>
      <c r="C259" s="13">
        <f>[2]S1!C260</f>
        <v>1000</v>
      </c>
      <c r="D259" s="13">
        <f>[2]S1!D260</f>
        <v>0</v>
      </c>
      <c r="E259" s="26">
        <f>[2]S1!E260</f>
        <v>0</v>
      </c>
      <c r="F259" s="26">
        <f>[2]S1!F260</f>
        <v>0</v>
      </c>
      <c r="G259" s="22">
        <f>[2]S1!G260</f>
        <v>1000</v>
      </c>
      <c r="H259" s="22">
        <f>[2]S1!H260</f>
        <v>0</v>
      </c>
      <c r="I259" s="22">
        <f>[2]S1!I260</f>
        <v>370</v>
      </c>
      <c r="J259" s="13">
        <f>[2]S1!J260</f>
        <v>0</v>
      </c>
      <c r="K259" s="19">
        <f>[2]S1!K260</f>
        <v>1370</v>
      </c>
      <c r="L259" s="52">
        <f>[2]S1!L260</f>
        <v>37000</v>
      </c>
      <c r="M259" s="58">
        <f>[2]S1!M260</f>
        <v>4</v>
      </c>
      <c r="N259" s="49">
        <f>[2]S1!P260</f>
        <v>6367846106</v>
      </c>
      <c r="O259" s="14"/>
    </row>
    <row r="260" spans="1:15" x14ac:dyDescent="0.3">
      <c r="A260" s="11">
        <v>3307</v>
      </c>
      <c r="B260" s="12" t="str">
        <f>[3]Name!E2311</f>
        <v>Rahul Kumar Khatti</v>
      </c>
      <c r="C260" s="13">
        <f>[2]S1!C261</f>
        <v>1000</v>
      </c>
      <c r="D260" s="13">
        <f>[2]S1!D261</f>
        <v>0</v>
      </c>
      <c r="E260" s="26">
        <f>[2]S1!E261</f>
        <v>0</v>
      </c>
      <c r="F260" s="26">
        <f>[2]S1!F261</f>
        <v>0</v>
      </c>
      <c r="G260" s="22">
        <f>[2]S1!G261</f>
        <v>1000</v>
      </c>
      <c r="H260" s="22">
        <f>[2]S1!H261</f>
        <v>0</v>
      </c>
      <c r="I260" s="22">
        <f>[2]S1!I261</f>
        <v>370</v>
      </c>
      <c r="J260" s="13">
        <f>[2]S1!J261</f>
        <v>0</v>
      </c>
      <c r="K260" s="19">
        <f>[2]S1!K261</f>
        <v>1370</v>
      </c>
      <c r="L260" s="52">
        <f>[2]S1!L261</f>
        <v>37000</v>
      </c>
      <c r="M260" s="58">
        <f>[2]S1!M261</f>
        <v>4</v>
      </c>
      <c r="N260" s="49">
        <f>[2]S1!P261</f>
        <v>6367846106</v>
      </c>
      <c r="O260" s="14"/>
    </row>
    <row r="261" spans="1:15" x14ac:dyDescent="0.3">
      <c r="A261" s="11">
        <v>3308</v>
      </c>
      <c r="B261" s="12" t="str">
        <f>[3]Name!E2312</f>
        <v>Om Prakash Khatti</v>
      </c>
      <c r="C261" s="13">
        <f>[2]S1!C262</f>
        <v>1000</v>
      </c>
      <c r="D261" s="13">
        <f>[2]S1!D262</f>
        <v>0</v>
      </c>
      <c r="E261" s="26">
        <f>[2]S1!E262</f>
        <v>0</v>
      </c>
      <c r="F261" s="26">
        <f>[2]S1!F262</f>
        <v>0</v>
      </c>
      <c r="G261" s="22">
        <f>[2]S1!G262</f>
        <v>1000</v>
      </c>
      <c r="H261" s="22">
        <f>[2]S1!H262</f>
        <v>0</v>
      </c>
      <c r="I261" s="22">
        <f>[2]S1!I262</f>
        <v>370</v>
      </c>
      <c r="J261" s="13">
        <f>[2]S1!J262</f>
        <v>0</v>
      </c>
      <c r="K261" s="19">
        <f>[2]S1!K262</f>
        <v>1370</v>
      </c>
      <c r="L261" s="52">
        <f>[2]S1!L262</f>
        <v>37000</v>
      </c>
      <c r="M261" s="58">
        <f>[2]S1!M262</f>
        <v>4</v>
      </c>
      <c r="N261" s="49">
        <f>[2]S1!P262</f>
        <v>6367846106</v>
      </c>
      <c r="O261" s="14"/>
    </row>
    <row r="262" spans="1:15" x14ac:dyDescent="0.3">
      <c r="A262" s="11">
        <v>3309</v>
      </c>
      <c r="B262" s="12" t="str">
        <f>[3]Name!E2313</f>
        <v>Harinarayan Khatti</v>
      </c>
      <c r="C262" s="13">
        <f>[2]S1!C263</f>
        <v>1000</v>
      </c>
      <c r="D262" s="13">
        <f>[2]S1!D263</f>
        <v>0</v>
      </c>
      <c r="E262" s="26">
        <f>[2]S1!E263</f>
        <v>0</v>
      </c>
      <c r="F262" s="26">
        <f>[2]S1!F263</f>
        <v>0</v>
      </c>
      <c r="G262" s="22">
        <f>[2]S1!G263</f>
        <v>1000</v>
      </c>
      <c r="H262" s="22">
        <f>[2]S1!H263</f>
        <v>0</v>
      </c>
      <c r="I262" s="22">
        <f>[2]S1!I263</f>
        <v>260</v>
      </c>
      <c r="J262" s="13">
        <f>[2]S1!J263</f>
        <v>0</v>
      </c>
      <c r="K262" s="19">
        <f>[2]S1!K263</f>
        <v>1260</v>
      </c>
      <c r="L262" s="52">
        <f>[2]S1!L263</f>
        <v>26000</v>
      </c>
      <c r="M262" s="58">
        <f>[2]S1!M263</f>
        <v>15</v>
      </c>
      <c r="N262" s="49">
        <f>[2]S1!P263</f>
        <v>91667880643</v>
      </c>
      <c r="O262" s="14"/>
    </row>
    <row r="263" spans="1:15" x14ac:dyDescent="0.3">
      <c r="A263" s="11">
        <v>3310</v>
      </c>
      <c r="B263" s="12" t="str">
        <f>[3]Name!E2314</f>
        <v>Rukama Devi Khatti</v>
      </c>
      <c r="C263" s="13">
        <f>[2]S1!C264</f>
        <v>1000</v>
      </c>
      <c r="D263" s="13">
        <f>[2]S1!D264</f>
        <v>0</v>
      </c>
      <c r="E263" s="26">
        <f>[2]S1!E264</f>
        <v>0</v>
      </c>
      <c r="F263" s="26">
        <f>[2]S1!F264</f>
        <v>0</v>
      </c>
      <c r="G263" s="22">
        <f>[2]S1!G264</f>
        <v>1000</v>
      </c>
      <c r="H263" s="22">
        <f>[2]S1!H264</f>
        <v>0</v>
      </c>
      <c r="I263" s="22">
        <f>[2]S1!I264</f>
        <v>260</v>
      </c>
      <c r="J263" s="13">
        <f>[2]S1!J264</f>
        <v>0</v>
      </c>
      <c r="K263" s="19">
        <f>[2]S1!K264</f>
        <v>1260</v>
      </c>
      <c r="L263" s="52">
        <f>[2]S1!L264</f>
        <v>26000</v>
      </c>
      <c r="M263" s="58">
        <f>[2]S1!M264</f>
        <v>15</v>
      </c>
      <c r="N263" s="49">
        <f>[2]S1!P264</f>
        <v>91667880643</v>
      </c>
      <c r="O263" s="14"/>
    </row>
    <row r="264" spans="1:15" x14ac:dyDescent="0.3">
      <c r="A264" s="11">
        <v>3311</v>
      </c>
      <c r="B264" s="12" t="str">
        <f>[3]Name!E2315</f>
        <v>Rajendr Khatti</v>
      </c>
      <c r="C264" s="13">
        <f>[2]S1!C265</f>
        <v>1000</v>
      </c>
      <c r="D264" s="13">
        <f>[2]S1!D265</f>
        <v>0</v>
      </c>
      <c r="E264" s="26">
        <f>[2]S1!E265</f>
        <v>0</v>
      </c>
      <c r="F264" s="26">
        <f>[2]S1!F265</f>
        <v>0</v>
      </c>
      <c r="G264" s="22">
        <f>[2]S1!G265</f>
        <v>1000</v>
      </c>
      <c r="H264" s="22">
        <f>[2]S1!H265</f>
        <v>0</v>
      </c>
      <c r="I264" s="22">
        <f>[2]S1!I265</f>
        <v>260</v>
      </c>
      <c r="J264" s="13">
        <f>[2]S1!J265</f>
        <v>0</v>
      </c>
      <c r="K264" s="19">
        <f>[2]S1!K265</f>
        <v>1260</v>
      </c>
      <c r="L264" s="52">
        <f>[2]S1!L265</f>
        <v>26000</v>
      </c>
      <c r="M264" s="58">
        <f>[2]S1!M265</f>
        <v>15</v>
      </c>
      <c r="N264" s="49">
        <f>[2]S1!P265</f>
        <v>91667880643</v>
      </c>
      <c r="O264" s="14"/>
    </row>
    <row r="265" spans="1:15" x14ac:dyDescent="0.3">
      <c r="A265" s="11">
        <v>3312</v>
      </c>
      <c r="B265" s="12" t="str">
        <f>[3]Name!E2316</f>
        <v>Gopal Lal Khatti</v>
      </c>
      <c r="C265" s="13">
        <f>[2]S1!C266</f>
        <v>1000</v>
      </c>
      <c r="D265" s="13">
        <f>[2]S1!D266</f>
        <v>148</v>
      </c>
      <c r="E265" s="26">
        <f>[2]S1!E266</f>
        <v>2176</v>
      </c>
      <c r="F265" s="26">
        <f>[2]S1!F266</f>
        <v>590</v>
      </c>
      <c r="G265" s="22">
        <f>[2]S1!G266</f>
        <v>11000</v>
      </c>
      <c r="H265" s="22">
        <f>[2]S1!H266</f>
        <v>0</v>
      </c>
      <c r="I265" s="22">
        <f>[2]S1!I266</f>
        <v>1360</v>
      </c>
      <c r="J265" s="13">
        <f>[2]S1!J266</f>
        <v>0</v>
      </c>
      <c r="K265" s="19">
        <f>[2]S1!K266</f>
        <v>15126</v>
      </c>
      <c r="L265" s="52">
        <f>[2]S1!L266</f>
        <v>17000</v>
      </c>
      <c r="M265" s="58">
        <f>[2]S1!M266</f>
        <v>8</v>
      </c>
      <c r="N265" s="49">
        <f>[2]S1!P266</f>
        <v>9928304255</v>
      </c>
      <c r="O265" s="14"/>
    </row>
    <row r="266" spans="1:15" x14ac:dyDescent="0.3">
      <c r="A266" s="11">
        <v>3313</v>
      </c>
      <c r="B266" s="12" t="str">
        <f>[3]Name!E2317</f>
        <v>Puja Khatti</v>
      </c>
      <c r="C266" s="13">
        <f>[2]S1!C267</f>
        <v>1000</v>
      </c>
      <c r="D266" s="13">
        <f>[2]S1!D267</f>
        <v>0</v>
      </c>
      <c r="E266" s="26">
        <f>[2]S1!E267</f>
        <v>1642</v>
      </c>
      <c r="F266" s="26">
        <f>[2]S1!F267</f>
        <v>330</v>
      </c>
      <c r="G266" s="22">
        <f>[2]S1!G267</f>
        <v>11000</v>
      </c>
      <c r="H266" s="22">
        <f>[2]S1!H267</f>
        <v>0</v>
      </c>
      <c r="I266" s="22">
        <f>[2]S1!I267</f>
        <v>1360</v>
      </c>
      <c r="J266" s="13">
        <f>[2]S1!J267</f>
        <v>0</v>
      </c>
      <c r="K266" s="19">
        <f>[2]S1!K267</f>
        <v>14332</v>
      </c>
      <c r="L266" s="52">
        <f>[2]S1!L267</f>
        <v>17000</v>
      </c>
      <c r="M266" s="58">
        <f>[2]S1!M267</f>
        <v>8</v>
      </c>
      <c r="N266" s="49">
        <f>[2]S1!P267</f>
        <v>9928304255</v>
      </c>
      <c r="O266" s="14"/>
    </row>
    <row r="267" spans="1:15" x14ac:dyDescent="0.3">
      <c r="A267" s="11">
        <v>3314</v>
      </c>
      <c r="B267" s="12" t="str">
        <f>[3]Name!E2318</f>
        <v>Birdi Chand Chitaroliya</v>
      </c>
      <c r="C267" s="13">
        <f>[2]S1!C268</f>
        <v>0</v>
      </c>
      <c r="D267" s="13">
        <f>[2]S1!D268</f>
        <v>6430</v>
      </c>
      <c r="E267" s="26">
        <f>[2]S1!E268</f>
        <v>3127</v>
      </c>
      <c r="F267" s="26">
        <f>[2]S1!F268</f>
        <v>1759</v>
      </c>
      <c r="G267" s="22">
        <f>[2]S1!G268</f>
        <v>0</v>
      </c>
      <c r="H267" s="22">
        <f>[2]S1!H268</f>
        <v>6278</v>
      </c>
      <c r="I267" s="22">
        <f>[2]S1!I268</f>
        <v>0</v>
      </c>
      <c r="J267" s="13">
        <f>[2]S1!J268</f>
        <v>0</v>
      </c>
      <c r="K267" s="19">
        <f>[2]S1!K268</f>
        <v>11164</v>
      </c>
      <c r="L267" s="52">
        <f>[2]S1!L268</f>
        <v>0</v>
      </c>
      <c r="M267" s="58">
        <f>[2]S1!M268</f>
        <v>0</v>
      </c>
      <c r="N267" s="49">
        <f>[2]S1!P268</f>
        <v>9660326055</v>
      </c>
      <c r="O267" s="14"/>
    </row>
    <row r="268" spans="1:15" x14ac:dyDescent="0.3">
      <c r="A268" s="11">
        <v>3315</v>
      </c>
      <c r="B268" s="12" t="str">
        <f>[3]Name!E2319</f>
        <v>Santosh Devi Chitaroliya</v>
      </c>
      <c r="C268" s="13">
        <f>[2]S1!C269</f>
        <v>0</v>
      </c>
      <c r="D268" s="13">
        <f>[2]S1!D269</f>
        <v>8448</v>
      </c>
      <c r="E268" s="26">
        <f>[2]S1!E269</f>
        <v>3600</v>
      </c>
      <c r="F268" s="26">
        <f>[2]S1!F269</f>
        <v>2027</v>
      </c>
      <c r="G268" s="22">
        <f>[2]S1!G269</f>
        <v>630</v>
      </c>
      <c r="H268" s="22">
        <f>[2]S1!H269</f>
        <v>8533</v>
      </c>
      <c r="I268" s="22">
        <f>[2]S1!I269</f>
        <v>196</v>
      </c>
      <c r="J268" s="13">
        <f>[2]S1!J269</f>
        <v>0</v>
      </c>
      <c r="K268" s="19">
        <f>[2]S1!K269</f>
        <v>14986</v>
      </c>
      <c r="L268" s="52">
        <f>[2]S1!L269</f>
        <v>630</v>
      </c>
      <c r="M268" s="58">
        <f>[2]S1!M269</f>
        <v>22</v>
      </c>
      <c r="N268" s="49">
        <f>[2]S1!P269</f>
        <v>9660326055</v>
      </c>
      <c r="O268" s="14"/>
    </row>
    <row r="269" spans="1:15" x14ac:dyDescent="0.3">
      <c r="A269" s="11">
        <v>3316</v>
      </c>
      <c r="B269" s="12" t="str">
        <f>[3]Name!E2320</f>
        <v>Payal kumari Chitroliya</v>
      </c>
      <c r="C269" s="13">
        <f>[2]S1!C270</f>
        <v>0</v>
      </c>
      <c r="D269" s="13">
        <f>[2]S1!D270</f>
        <v>10427</v>
      </c>
      <c r="E269" s="26">
        <f>[2]S1!E270</f>
        <v>3600</v>
      </c>
      <c r="F269" s="26">
        <f>[2]S1!F270</f>
        <v>2027</v>
      </c>
      <c r="G269" s="22">
        <f>[2]S1!G270</f>
        <v>8500</v>
      </c>
      <c r="H269" s="22">
        <f>[2]S1!H270</f>
        <v>11007</v>
      </c>
      <c r="I269" s="22">
        <f>[2]S1!I270</f>
        <v>510</v>
      </c>
      <c r="J269" s="13">
        <f>[2]S1!J270</f>
        <v>0</v>
      </c>
      <c r="K269" s="19">
        <f>[2]S1!K270</f>
        <v>25644</v>
      </c>
      <c r="L269" s="52">
        <f>[2]S1!L270</f>
        <v>8500</v>
      </c>
      <c r="M269" s="58">
        <f>[2]S1!M270</f>
        <v>22</v>
      </c>
      <c r="N269" s="49">
        <f>[2]S1!P270</f>
        <v>9660326055</v>
      </c>
      <c r="O269" s="14"/>
    </row>
    <row r="270" spans="1:15" x14ac:dyDescent="0.3">
      <c r="A270" s="11">
        <v>3317</v>
      </c>
      <c r="B270" s="12" t="str">
        <f>[3]Name!E2321</f>
        <v>Ravi Kumar Chitaroliya</v>
      </c>
      <c r="C270" s="13">
        <f>[2]S1!C271</f>
        <v>0</v>
      </c>
      <c r="D270" s="13">
        <f>[2]S1!D271</f>
        <v>10427</v>
      </c>
      <c r="E270" s="26">
        <f>[2]S1!E271</f>
        <v>3600</v>
      </c>
      <c r="F270" s="26">
        <f>[2]S1!F271</f>
        <v>2027</v>
      </c>
      <c r="G270" s="22">
        <f>[2]S1!G271</f>
        <v>8500</v>
      </c>
      <c r="H270" s="22">
        <f>[2]S1!H271</f>
        <v>11007</v>
      </c>
      <c r="I270" s="22">
        <f>[2]S1!I271</f>
        <v>510</v>
      </c>
      <c r="J270" s="13">
        <f>[2]S1!J271</f>
        <v>0</v>
      </c>
      <c r="K270" s="19">
        <f>[2]S1!K271</f>
        <v>25644</v>
      </c>
      <c r="L270" s="52">
        <f>[2]S1!L271</f>
        <v>8500</v>
      </c>
      <c r="M270" s="58">
        <f>[2]S1!M271</f>
        <v>22</v>
      </c>
      <c r="N270" s="49">
        <f>[2]S1!P271</f>
        <v>9660326055</v>
      </c>
      <c r="O270" s="14"/>
    </row>
    <row r="271" spans="1:15" x14ac:dyDescent="0.3">
      <c r="A271" s="11">
        <v>3318</v>
      </c>
      <c r="B271" s="12" t="str">
        <f>[3]Name!E2322</f>
        <v>Prabhati Devi Chitaroliya</v>
      </c>
      <c r="C271" s="13">
        <f>[2]S1!C272</f>
        <v>0</v>
      </c>
      <c r="D271" s="13">
        <f>[2]S1!D272</f>
        <v>10427</v>
      </c>
      <c r="E271" s="26">
        <f>[2]S1!E272</f>
        <v>3600</v>
      </c>
      <c r="F271" s="26">
        <f>[2]S1!F272</f>
        <v>2027</v>
      </c>
      <c r="G271" s="22">
        <f>[2]S1!G272</f>
        <v>8500</v>
      </c>
      <c r="H271" s="22">
        <f>[2]S1!H272</f>
        <v>11007</v>
      </c>
      <c r="I271" s="22">
        <f>[2]S1!I272</f>
        <v>510</v>
      </c>
      <c r="J271" s="13">
        <f>[2]S1!J272</f>
        <v>0</v>
      </c>
      <c r="K271" s="19">
        <f>[2]S1!K272</f>
        <v>25644</v>
      </c>
      <c r="L271" s="52">
        <f>[2]S1!L272</f>
        <v>8500</v>
      </c>
      <c r="M271" s="58">
        <f>[2]S1!M272</f>
        <v>22</v>
      </c>
      <c r="N271" s="49">
        <f>[2]S1!P272</f>
        <v>9660326055</v>
      </c>
      <c r="O271" s="14"/>
    </row>
    <row r="272" spans="1:15" x14ac:dyDescent="0.3">
      <c r="A272" s="11">
        <v>3319</v>
      </c>
      <c r="B272" s="12" t="str">
        <f>[3]Name!E2323</f>
        <v>Khem Chand Meharda</v>
      </c>
      <c r="C272" s="13">
        <f>[2]S1!C273</f>
        <v>0</v>
      </c>
      <c r="D272" s="13">
        <f>[2]S1!D273</f>
        <v>0</v>
      </c>
      <c r="E272" s="26">
        <f>[2]S1!E273</f>
        <v>200</v>
      </c>
      <c r="F272" s="26">
        <f>[2]S1!F273</f>
        <v>0</v>
      </c>
      <c r="G272" s="22">
        <f>[2]S1!G273</f>
        <v>0</v>
      </c>
      <c r="H272" s="22">
        <f>[2]S1!H273</f>
        <v>0</v>
      </c>
      <c r="I272" s="22">
        <f>[2]S1!I273</f>
        <v>0</v>
      </c>
      <c r="J272" s="13">
        <f>[2]S1!J273</f>
        <v>0</v>
      </c>
      <c r="K272" s="19">
        <f>[2]S1!K273</f>
        <v>200</v>
      </c>
      <c r="L272" s="52">
        <f>[2]S1!L273</f>
        <v>0</v>
      </c>
      <c r="M272" s="58">
        <f>[2]S1!M273</f>
        <v>0</v>
      </c>
      <c r="N272" s="49">
        <f>[2]S1!P273</f>
        <v>9929257249</v>
      </c>
      <c r="O272" s="14"/>
    </row>
    <row r="273" spans="1:15" x14ac:dyDescent="0.3">
      <c r="A273" s="11">
        <v>3320</v>
      </c>
      <c r="B273" s="12" t="str">
        <f>[3]Name!E2324</f>
        <v>Roshan Lal Meharda</v>
      </c>
      <c r="C273" s="13">
        <f>[2]S1!C274</f>
        <v>0</v>
      </c>
      <c r="D273" s="13">
        <f>[2]S1!D274</f>
        <v>0</v>
      </c>
      <c r="E273" s="26">
        <f>[2]S1!E274</f>
        <v>200</v>
      </c>
      <c r="F273" s="26">
        <f>[2]S1!F274</f>
        <v>0</v>
      </c>
      <c r="G273" s="22">
        <f>[2]S1!G274</f>
        <v>0</v>
      </c>
      <c r="H273" s="22">
        <f>[2]S1!H274</f>
        <v>0</v>
      </c>
      <c r="I273" s="22">
        <f>[2]S1!I274</f>
        <v>0</v>
      </c>
      <c r="J273" s="13">
        <f>[2]S1!J274</f>
        <v>0</v>
      </c>
      <c r="K273" s="19">
        <f>[2]S1!K274</f>
        <v>200</v>
      </c>
      <c r="L273" s="52">
        <f>[2]S1!L274</f>
        <v>0</v>
      </c>
      <c r="M273" s="58">
        <f>[2]S1!M274</f>
        <v>0</v>
      </c>
      <c r="N273" s="49">
        <f>[2]S1!P274</f>
        <v>9929257249</v>
      </c>
      <c r="O273" s="14"/>
    </row>
    <row r="274" spans="1:15" x14ac:dyDescent="0.3">
      <c r="A274" s="11">
        <v>3321</v>
      </c>
      <c r="B274" s="12" t="str">
        <f>[3]Name!E2325</f>
        <v>Anita Devi Meharda</v>
      </c>
      <c r="C274" s="13">
        <f>[2]S1!C275</f>
        <v>0</v>
      </c>
      <c r="D274" s="13">
        <f>[2]S1!D275</f>
        <v>0</v>
      </c>
      <c r="E274" s="26">
        <f>[2]S1!E275</f>
        <v>200</v>
      </c>
      <c r="F274" s="26">
        <f>[2]S1!F275</f>
        <v>0</v>
      </c>
      <c r="G274" s="22">
        <f>[2]S1!G275</f>
        <v>0</v>
      </c>
      <c r="H274" s="22">
        <f>[2]S1!H275</f>
        <v>0</v>
      </c>
      <c r="I274" s="22">
        <f>[2]S1!I275</f>
        <v>0</v>
      </c>
      <c r="J274" s="13">
        <f>[2]S1!J275</f>
        <v>0</v>
      </c>
      <c r="K274" s="19">
        <f>[2]S1!K275</f>
        <v>200</v>
      </c>
      <c r="L274" s="52">
        <f>[2]S1!L275</f>
        <v>0</v>
      </c>
      <c r="M274" s="58">
        <f>[2]S1!M275</f>
        <v>0</v>
      </c>
      <c r="N274" s="49">
        <f>[2]S1!P275</f>
        <v>9929257249</v>
      </c>
      <c r="O274" s="14"/>
    </row>
    <row r="275" spans="1:15" x14ac:dyDescent="0.3">
      <c r="A275" s="11">
        <v>3322</v>
      </c>
      <c r="B275" s="12" t="str">
        <f>[3]Name!E2326</f>
        <v>Vishal Kumar Meharda</v>
      </c>
      <c r="C275" s="13">
        <f>[2]S1!C276</f>
        <v>0</v>
      </c>
      <c r="D275" s="13">
        <f>[2]S1!D276</f>
        <v>0</v>
      </c>
      <c r="E275" s="26">
        <f>[2]S1!E276</f>
        <v>0</v>
      </c>
      <c r="F275" s="26">
        <f>[2]S1!F276</f>
        <v>0</v>
      </c>
      <c r="G275" s="22">
        <f>[2]S1!G276</f>
        <v>0</v>
      </c>
      <c r="H275" s="22">
        <f>[2]S1!H276</f>
        <v>0</v>
      </c>
      <c r="I275" s="22">
        <f>[2]S1!I276</f>
        <v>0</v>
      </c>
      <c r="J275" s="13">
        <f>[2]S1!J276</f>
        <v>0</v>
      </c>
      <c r="K275" s="19">
        <f>[2]S1!K276</f>
        <v>0</v>
      </c>
      <c r="L275" s="52">
        <f>[2]S1!L276</f>
        <v>0</v>
      </c>
      <c r="M275" s="58">
        <f>[2]S1!M276</f>
        <v>0</v>
      </c>
      <c r="N275" s="49">
        <f>[2]S1!P276</f>
        <v>9929257249</v>
      </c>
      <c r="O275" s="14"/>
    </row>
    <row r="276" spans="1:15" x14ac:dyDescent="0.3">
      <c r="A276" s="11">
        <v>3323</v>
      </c>
      <c r="B276" s="12" t="str">
        <f>[3]Name!E2327</f>
        <v>Muskan Kumari Meharda</v>
      </c>
      <c r="C276" s="13">
        <f>[2]S1!C277</f>
        <v>0</v>
      </c>
      <c r="D276" s="13">
        <f>[2]S1!D277</f>
        <v>0</v>
      </c>
      <c r="E276" s="26">
        <f>[2]S1!E277</f>
        <v>0</v>
      </c>
      <c r="F276" s="26">
        <f>[2]S1!F277</f>
        <v>0</v>
      </c>
      <c r="G276" s="22">
        <f>[2]S1!G277</f>
        <v>0</v>
      </c>
      <c r="H276" s="22">
        <f>[2]S1!H277</f>
        <v>0</v>
      </c>
      <c r="I276" s="22">
        <f>[2]S1!I277</f>
        <v>0</v>
      </c>
      <c r="J276" s="13">
        <f>[2]S1!J277</f>
        <v>0</v>
      </c>
      <c r="K276" s="19">
        <f>[2]S1!K277</f>
        <v>0</v>
      </c>
      <c r="L276" s="52">
        <f>[2]S1!L277</f>
        <v>0</v>
      </c>
      <c r="M276" s="58">
        <f>[2]S1!M277</f>
        <v>0</v>
      </c>
      <c r="N276" s="49">
        <f>[2]S1!P277</f>
        <v>9929257249</v>
      </c>
      <c r="O276" s="14"/>
    </row>
    <row r="277" spans="1:15" x14ac:dyDescent="0.3">
      <c r="A277" s="11">
        <v>3324</v>
      </c>
      <c r="B277" s="12" t="str">
        <f>[3]Name!E2328</f>
        <v>Khem Chand Meharda</v>
      </c>
      <c r="C277" s="13">
        <f>[2]S1!C278</f>
        <v>0</v>
      </c>
      <c r="D277" s="13">
        <f>[2]S1!D278</f>
        <v>0</v>
      </c>
      <c r="E277" s="26">
        <f>[2]S1!E278</f>
        <v>200</v>
      </c>
      <c r="F277" s="26">
        <f>[2]S1!F278</f>
        <v>0</v>
      </c>
      <c r="G277" s="22">
        <f>[2]S1!G278</f>
        <v>0</v>
      </c>
      <c r="H277" s="22">
        <f>[2]S1!H278</f>
        <v>0</v>
      </c>
      <c r="I277" s="22">
        <f>[2]S1!I278</f>
        <v>0</v>
      </c>
      <c r="J277" s="13">
        <f>[2]S1!J278</f>
        <v>0</v>
      </c>
      <c r="K277" s="19">
        <f>[2]S1!K278</f>
        <v>200</v>
      </c>
      <c r="L277" s="52">
        <f>[2]S1!L278</f>
        <v>0</v>
      </c>
      <c r="M277" s="58">
        <f>[2]S1!M278</f>
        <v>0</v>
      </c>
      <c r="N277" s="49">
        <f>[2]S1!P278</f>
        <v>9929257249</v>
      </c>
      <c r="O277" s="14"/>
    </row>
    <row r="278" spans="1:15" x14ac:dyDescent="0.3">
      <c r="A278" s="11">
        <v>3325</v>
      </c>
      <c r="B278" s="12" t="str">
        <f>[3]Name!E2329</f>
        <v>Roshan Lal Meharda</v>
      </c>
      <c r="C278" s="13">
        <f>[2]S1!C279</f>
        <v>0</v>
      </c>
      <c r="D278" s="13">
        <f>[2]S1!D279</f>
        <v>0</v>
      </c>
      <c r="E278" s="26">
        <f>[2]S1!E279</f>
        <v>200</v>
      </c>
      <c r="F278" s="26">
        <f>[2]S1!F279</f>
        <v>0</v>
      </c>
      <c r="G278" s="22">
        <f>[2]S1!G279</f>
        <v>0</v>
      </c>
      <c r="H278" s="22">
        <f>[2]S1!H279</f>
        <v>0</v>
      </c>
      <c r="I278" s="22">
        <f>[2]S1!I279</f>
        <v>0</v>
      </c>
      <c r="J278" s="13">
        <f>[2]S1!J279</f>
        <v>0</v>
      </c>
      <c r="K278" s="19">
        <f>[2]S1!K279</f>
        <v>200</v>
      </c>
      <c r="L278" s="52">
        <f>[2]S1!L279</f>
        <v>0</v>
      </c>
      <c r="M278" s="58">
        <f>[2]S1!M279</f>
        <v>0</v>
      </c>
      <c r="N278" s="49">
        <f>[2]S1!P279</f>
        <v>9929257249</v>
      </c>
      <c r="O278" s="14"/>
    </row>
    <row r="279" spans="1:15" x14ac:dyDescent="0.3">
      <c r="A279" s="11">
        <v>3326</v>
      </c>
      <c r="B279" s="12" t="str">
        <f>[3]Name!E2330</f>
        <v>Anita Devi Meharda</v>
      </c>
      <c r="C279" s="13">
        <f>[2]S1!C280</f>
        <v>0</v>
      </c>
      <c r="D279" s="13">
        <f>[2]S1!D280</f>
        <v>0</v>
      </c>
      <c r="E279" s="26">
        <f>[2]S1!E280</f>
        <v>200</v>
      </c>
      <c r="F279" s="26">
        <f>[2]S1!F280</f>
        <v>0</v>
      </c>
      <c r="G279" s="22">
        <f>[2]S1!G280</f>
        <v>0</v>
      </c>
      <c r="H279" s="22">
        <f>[2]S1!H280</f>
        <v>0</v>
      </c>
      <c r="I279" s="22">
        <f>[2]S1!I280</f>
        <v>0</v>
      </c>
      <c r="J279" s="13">
        <f>[2]S1!J280</f>
        <v>0</v>
      </c>
      <c r="K279" s="19">
        <f>[2]S1!K280</f>
        <v>200</v>
      </c>
      <c r="L279" s="52">
        <f>[2]S1!L280</f>
        <v>0</v>
      </c>
      <c r="M279" s="58">
        <f>[2]S1!M280</f>
        <v>0</v>
      </c>
      <c r="N279" s="49">
        <f>[2]S1!P280</f>
        <v>9929257249</v>
      </c>
      <c r="O279" s="14"/>
    </row>
    <row r="280" spans="1:15" x14ac:dyDescent="0.3">
      <c r="A280" s="11">
        <v>3327</v>
      </c>
      <c r="B280" s="12" t="str">
        <f>[3]Name!E2331</f>
        <v>Birdi Chand Pachariya</v>
      </c>
      <c r="C280" s="13">
        <f>[2]S1!C281</f>
        <v>1000</v>
      </c>
      <c r="D280" s="13">
        <f>[2]S1!D281</f>
        <v>0</v>
      </c>
      <c r="E280" s="26">
        <f>[2]S1!E281</f>
        <v>200</v>
      </c>
      <c r="F280" s="26">
        <f>[2]S1!F281</f>
        <v>0</v>
      </c>
      <c r="G280" s="22">
        <f>[2]S1!G281</f>
        <v>0</v>
      </c>
      <c r="H280" s="22">
        <f>[2]S1!H281</f>
        <v>0</v>
      </c>
      <c r="I280" s="22">
        <f>[2]S1!I281</f>
        <v>0</v>
      </c>
      <c r="J280" s="13">
        <f>[2]S1!J281</f>
        <v>0</v>
      </c>
      <c r="K280" s="19">
        <f>[2]S1!K281</f>
        <v>200</v>
      </c>
      <c r="L280" s="52">
        <f>[2]S1!L281</f>
        <v>0</v>
      </c>
      <c r="M280" s="58">
        <f>[2]S1!M281</f>
        <v>0</v>
      </c>
      <c r="N280" s="49">
        <f>[2]S1!P281</f>
        <v>9314298877</v>
      </c>
      <c r="O280" s="14"/>
    </row>
    <row r="281" spans="1:15" x14ac:dyDescent="0.3">
      <c r="A281" s="11">
        <v>3328</v>
      </c>
      <c r="B281" s="12" t="str">
        <f>[3]Name!E2332</f>
        <v>Manpuli Devi  Pachariya</v>
      </c>
      <c r="C281" s="13">
        <f>[2]S1!C282</f>
        <v>1000</v>
      </c>
      <c r="D281" s="13">
        <f>[2]S1!D282</f>
        <v>0</v>
      </c>
      <c r="E281" s="26">
        <f>[2]S1!E282</f>
        <v>200</v>
      </c>
      <c r="F281" s="26">
        <f>[2]S1!F282</f>
        <v>0</v>
      </c>
      <c r="G281" s="22">
        <f>[2]S1!G282</f>
        <v>0</v>
      </c>
      <c r="H281" s="22">
        <f>[2]S1!H282</f>
        <v>0</v>
      </c>
      <c r="I281" s="22">
        <f>[2]S1!I282</f>
        <v>0</v>
      </c>
      <c r="J281" s="13">
        <f>[2]S1!J282</f>
        <v>0</v>
      </c>
      <c r="K281" s="19">
        <f>[2]S1!K282</f>
        <v>200</v>
      </c>
      <c r="L281" s="52">
        <f>[2]S1!L282</f>
        <v>0</v>
      </c>
      <c r="M281" s="58">
        <f>[2]S1!M282</f>
        <v>0</v>
      </c>
      <c r="N281" s="49">
        <f>[2]S1!P282</f>
        <v>9314298877</v>
      </c>
      <c r="O281" s="14"/>
    </row>
    <row r="282" spans="1:15" x14ac:dyDescent="0.3">
      <c r="A282" s="11">
        <v>3329</v>
      </c>
      <c r="B282" s="12" t="str">
        <f>[3]Name!E2333</f>
        <v>Aasa Kumari Pachariya</v>
      </c>
      <c r="C282" s="13">
        <f>[2]S1!C283</f>
        <v>1000</v>
      </c>
      <c r="D282" s="13">
        <f>[2]S1!D283</f>
        <v>0</v>
      </c>
      <c r="E282" s="26">
        <f>[2]S1!E283</f>
        <v>200</v>
      </c>
      <c r="F282" s="26">
        <f>[2]S1!F283</f>
        <v>0</v>
      </c>
      <c r="G282" s="22">
        <f>[2]S1!G283</f>
        <v>0</v>
      </c>
      <c r="H282" s="22">
        <f>[2]S1!H283</f>
        <v>0</v>
      </c>
      <c r="I282" s="22">
        <f>[2]S1!I283</f>
        <v>0</v>
      </c>
      <c r="J282" s="13">
        <f>[2]S1!J283</f>
        <v>0</v>
      </c>
      <c r="K282" s="19">
        <f>[2]S1!K283</f>
        <v>200</v>
      </c>
      <c r="L282" s="52">
        <f>[2]S1!L283</f>
        <v>0</v>
      </c>
      <c r="M282" s="58">
        <f>[2]S1!M283</f>
        <v>0</v>
      </c>
      <c r="N282" s="49">
        <f>[2]S1!P283</f>
        <v>9314298877</v>
      </c>
      <c r="O282" s="14"/>
    </row>
    <row r="283" spans="1:15" x14ac:dyDescent="0.3">
      <c r="A283" s="11">
        <v>3330</v>
      </c>
      <c r="B283" s="12" t="str">
        <f>[3]Name!E2334</f>
        <v>Bhagavati Devi Pachariya</v>
      </c>
      <c r="C283" s="13">
        <f>[2]S1!C284</f>
        <v>1000</v>
      </c>
      <c r="D283" s="13">
        <f>[2]S1!D284</f>
        <v>0</v>
      </c>
      <c r="E283" s="26">
        <f>[2]S1!E284</f>
        <v>200</v>
      </c>
      <c r="F283" s="26">
        <f>[2]S1!F284</f>
        <v>0</v>
      </c>
      <c r="G283" s="22">
        <f>[2]S1!G284</f>
        <v>0</v>
      </c>
      <c r="H283" s="22">
        <f>[2]S1!H284</f>
        <v>0</v>
      </c>
      <c r="I283" s="22">
        <f>[2]S1!I284</f>
        <v>0</v>
      </c>
      <c r="J283" s="13">
        <f>[2]S1!J284</f>
        <v>0</v>
      </c>
      <c r="K283" s="19">
        <f>[2]S1!K284</f>
        <v>200</v>
      </c>
      <c r="L283" s="52">
        <f>[2]S1!L284</f>
        <v>0</v>
      </c>
      <c r="M283" s="58">
        <f>[2]S1!M284</f>
        <v>0</v>
      </c>
      <c r="N283" s="49">
        <f>[2]S1!P284</f>
        <v>9314298877</v>
      </c>
      <c r="O283" s="14"/>
    </row>
    <row r="284" spans="1:15" x14ac:dyDescent="0.3">
      <c r="A284" s="11">
        <v>3331</v>
      </c>
      <c r="B284" s="12" t="str">
        <f>[3]Name!E2335</f>
        <v>Rosan Pachariya</v>
      </c>
      <c r="C284" s="13">
        <f>[2]S1!C285</f>
        <v>1000</v>
      </c>
      <c r="D284" s="13">
        <f>[2]S1!D285</f>
        <v>0</v>
      </c>
      <c r="E284" s="26">
        <f>[2]S1!E285</f>
        <v>200</v>
      </c>
      <c r="F284" s="26">
        <f>[2]S1!F285</f>
        <v>0</v>
      </c>
      <c r="G284" s="22">
        <f>[2]S1!G285</f>
        <v>0</v>
      </c>
      <c r="H284" s="22">
        <f>[2]S1!H285</f>
        <v>0</v>
      </c>
      <c r="I284" s="22">
        <f>[2]S1!I285</f>
        <v>11</v>
      </c>
      <c r="J284" s="13">
        <f>[2]S1!J285</f>
        <v>0</v>
      </c>
      <c r="K284" s="19">
        <f>[2]S1!K285</f>
        <v>211</v>
      </c>
      <c r="L284" s="52">
        <f>[2]S1!L285</f>
        <v>1100</v>
      </c>
      <c r="M284" s="58">
        <f>[2]S1!M285</f>
        <v>28</v>
      </c>
      <c r="N284" s="49">
        <f>[2]S1!P285</f>
        <v>9314298877</v>
      </c>
      <c r="O284" s="14"/>
    </row>
    <row r="285" spans="1:15" x14ac:dyDescent="0.3">
      <c r="A285" s="11">
        <v>3332</v>
      </c>
      <c r="B285" s="12" t="str">
        <f>[3]Name!E2336</f>
        <v>Muli Devi Meharda</v>
      </c>
      <c r="C285" s="13">
        <f>[2]S1!C286</f>
        <v>0</v>
      </c>
      <c r="D285" s="13">
        <f>[2]S1!D286</f>
        <v>0</v>
      </c>
      <c r="E285" s="26">
        <f>[2]S1!E286</f>
        <v>200</v>
      </c>
      <c r="F285" s="26">
        <f>[2]S1!F286</f>
        <v>0</v>
      </c>
      <c r="G285" s="22">
        <f>[2]S1!G286</f>
        <v>0</v>
      </c>
      <c r="H285" s="22">
        <f>[2]S1!H286</f>
        <v>0</v>
      </c>
      <c r="I285" s="22">
        <f>[2]S1!I286</f>
        <v>300</v>
      </c>
      <c r="J285" s="13">
        <f>[2]S1!J286</f>
        <v>0</v>
      </c>
      <c r="K285" s="19">
        <f>[2]S1!K286</f>
        <v>500</v>
      </c>
      <c r="L285" s="52">
        <f>[2]S1!L286</f>
        <v>30000</v>
      </c>
      <c r="M285" s="58">
        <f>[2]S1!M286</f>
        <v>2</v>
      </c>
      <c r="N285" s="49">
        <f>[2]S1!P286</f>
        <v>9928695433</v>
      </c>
      <c r="O285" s="14"/>
    </row>
    <row r="286" spans="1:15" x14ac:dyDescent="0.3">
      <c r="A286" s="11">
        <v>3333</v>
      </c>
      <c r="B286" s="12" t="str">
        <f>[3]Name!E2337</f>
        <v>Visnu Kumar Meharda</v>
      </c>
      <c r="C286" s="13">
        <f>[2]S1!C287</f>
        <v>0</v>
      </c>
      <c r="D286" s="13">
        <f>[2]S1!D287</f>
        <v>0</v>
      </c>
      <c r="E286" s="26">
        <f>[2]S1!E287</f>
        <v>200</v>
      </c>
      <c r="F286" s="26">
        <f>[2]S1!F287</f>
        <v>0</v>
      </c>
      <c r="G286" s="22">
        <f>[2]S1!G287</f>
        <v>0</v>
      </c>
      <c r="H286" s="22">
        <f>[2]S1!H287</f>
        <v>0</v>
      </c>
      <c r="I286" s="22">
        <f>[2]S1!I287</f>
        <v>300</v>
      </c>
      <c r="J286" s="13">
        <f>[2]S1!J287</f>
        <v>0</v>
      </c>
      <c r="K286" s="19">
        <f>[2]S1!K287</f>
        <v>500</v>
      </c>
      <c r="L286" s="52">
        <f>[2]S1!L287</f>
        <v>30000</v>
      </c>
      <c r="M286" s="58">
        <f>[2]S1!M287</f>
        <v>2</v>
      </c>
      <c r="N286" s="49">
        <f>[2]S1!P287</f>
        <v>9928695433</v>
      </c>
      <c r="O286" s="14"/>
    </row>
    <row r="287" spans="1:15" x14ac:dyDescent="0.3">
      <c r="A287" s="11">
        <v>3334</v>
      </c>
      <c r="B287" s="12" t="str">
        <f>[3]Name!E2338</f>
        <v>Rekha Kumari Meharda</v>
      </c>
      <c r="C287" s="13">
        <f>[2]S1!C288</f>
        <v>0</v>
      </c>
      <c r="D287" s="13">
        <f>[2]S1!D288</f>
        <v>0</v>
      </c>
      <c r="E287" s="26">
        <f>[2]S1!E288</f>
        <v>200</v>
      </c>
      <c r="F287" s="26">
        <f>[2]S1!F288</f>
        <v>0</v>
      </c>
      <c r="G287" s="22">
        <f>[2]S1!G288</f>
        <v>0</v>
      </c>
      <c r="H287" s="22">
        <f>[2]S1!H288</f>
        <v>0</v>
      </c>
      <c r="I287" s="22">
        <f>[2]S1!I288</f>
        <v>300</v>
      </c>
      <c r="J287" s="13">
        <f>[2]S1!J288</f>
        <v>0</v>
      </c>
      <c r="K287" s="19">
        <f>[2]S1!K288</f>
        <v>500</v>
      </c>
      <c r="L287" s="52">
        <f>[2]S1!L288</f>
        <v>30000</v>
      </c>
      <c r="M287" s="58">
        <f>[2]S1!M288</f>
        <v>2</v>
      </c>
      <c r="N287" s="49">
        <f>[2]S1!P288</f>
        <v>9928695433</v>
      </c>
      <c r="O287" s="14"/>
    </row>
    <row r="288" spans="1:15" x14ac:dyDescent="0.3">
      <c r="A288" s="11">
        <v>3335</v>
      </c>
      <c r="B288" s="12" t="str">
        <f>[3]Name!E2339</f>
        <v>Chitar Mal Khandelwal</v>
      </c>
      <c r="C288" s="13">
        <f>[2]S1!C289</f>
        <v>750</v>
      </c>
      <c r="D288" s="13">
        <f>[2]S1!D289</f>
        <v>10910</v>
      </c>
      <c r="E288" s="26">
        <f>[2]S1!E289</f>
        <v>3200</v>
      </c>
      <c r="F288" s="26">
        <f>[2]S1!F289</f>
        <v>1660</v>
      </c>
      <c r="G288" s="22">
        <f>[2]S1!G289</f>
        <v>15000</v>
      </c>
      <c r="H288" s="22">
        <f>[2]S1!H289</f>
        <v>11978</v>
      </c>
      <c r="I288" s="22">
        <f>[2]S1!I289</f>
        <v>4320</v>
      </c>
      <c r="J288" s="13">
        <f>[2]S1!J289</f>
        <v>0</v>
      </c>
      <c r="K288" s="19">
        <f>[2]S1!K289</f>
        <v>36158</v>
      </c>
      <c r="L288" s="52">
        <f>[2]S1!L289</f>
        <v>27000</v>
      </c>
      <c r="M288" s="58">
        <f>[2]S1!M289</f>
        <v>24</v>
      </c>
      <c r="N288" s="49">
        <f>[2]S1!P289</f>
        <v>8094770777</v>
      </c>
      <c r="O288" s="14"/>
    </row>
    <row r="289" spans="1:15" x14ac:dyDescent="0.3">
      <c r="A289" s="11">
        <v>3336</v>
      </c>
      <c r="B289" s="12" t="str">
        <f>[3]Name!E2340</f>
        <v>Gulab Devi Khandelwal</v>
      </c>
      <c r="C289" s="13">
        <f>[2]S1!C290</f>
        <v>750</v>
      </c>
      <c r="D289" s="13">
        <f>[2]S1!D290</f>
        <v>11131</v>
      </c>
      <c r="E289" s="26">
        <f>[2]S1!E290</f>
        <v>3200</v>
      </c>
      <c r="F289" s="26">
        <f>[2]S1!F290</f>
        <v>1667</v>
      </c>
      <c r="G289" s="22">
        <f>[2]S1!G290</f>
        <v>15000</v>
      </c>
      <c r="H289" s="22">
        <f>[2]S1!H290</f>
        <v>12247</v>
      </c>
      <c r="I289" s="22">
        <f>[2]S1!I290</f>
        <v>4498</v>
      </c>
      <c r="J289" s="13">
        <f>[2]S1!J290</f>
        <v>0</v>
      </c>
      <c r="K289" s="19">
        <f>[2]S1!K290</f>
        <v>36612</v>
      </c>
      <c r="L289" s="52">
        <f>[2]S1!L290</f>
        <v>27000</v>
      </c>
      <c r="M289" s="58">
        <f>[2]S1!M290</f>
        <v>24</v>
      </c>
      <c r="N289" s="49">
        <f>[2]S1!P290</f>
        <v>8094770777</v>
      </c>
      <c r="O289" s="14"/>
    </row>
    <row r="290" spans="1:15" x14ac:dyDescent="0.3">
      <c r="A290" s="11">
        <v>3337</v>
      </c>
      <c r="B290" s="12" t="str">
        <f>[3]Name!E2341</f>
        <v>Sispal Khandelwal</v>
      </c>
      <c r="C290" s="13">
        <f>[2]S1!C291</f>
        <v>750</v>
      </c>
      <c r="D290" s="13">
        <f>[2]S1!D291</f>
        <v>11998</v>
      </c>
      <c r="E290" s="26">
        <f>[2]S1!E291</f>
        <v>3200</v>
      </c>
      <c r="F290" s="26">
        <f>[2]S1!F291</f>
        <v>1667</v>
      </c>
      <c r="G290" s="22">
        <f>[2]S1!G291</f>
        <v>15000</v>
      </c>
      <c r="H290" s="22">
        <f>[2]S1!H291</f>
        <v>13331</v>
      </c>
      <c r="I290" s="22">
        <f>[2]S1!I291</f>
        <v>5400</v>
      </c>
      <c r="J290" s="13">
        <f>[2]S1!J291</f>
        <v>0</v>
      </c>
      <c r="K290" s="19">
        <f>[2]S1!K291</f>
        <v>38598</v>
      </c>
      <c r="L290" s="52">
        <f>[2]S1!L291</f>
        <v>27000</v>
      </c>
      <c r="M290" s="58">
        <f>[2]S1!M291</f>
        <v>24</v>
      </c>
      <c r="N290" s="49">
        <f>[2]S1!P291</f>
        <v>8094770777</v>
      </c>
      <c r="O290" s="14"/>
    </row>
    <row r="291" spans="1:15" x14ac:dyDescent="0.3">
      <c r="A291" s="11">
        <v>3338</v>
      </c>
      <c r="B291" s="12" t="str">
        <f>[3]Name!E2342</f>
        <v>Aasu Kumari Khandelwal</v>
      </c>
      <c r="C291" s="13">
        <f>[2]S1!C292</f>
        <v>750</v>
      </c>
      <c r="D291" s="13">
        <f>[2]S1!D292</f>
        <v>11998</v>
      </c>
      <c r="E291" s="26">
        <f>[2]S1!E292</f>
        <v>3200</v>
      </c>
      <c r="F291" s="26">
        <f>[2]S1!F292</f>
        <v>1667</v>
      </c>
      <c r="G291" s="22">
        <f>[2]S1!G292</f>
        <v>15000</v>
      </c>
      <c r="H291" s="22">
        <f>[2]S1!H292</f>
        <v>13331</v>
      </c>
      <c r="I291" s="22">
        <f>[2]S1!I292</f>
        <v>5400</v>
      </c>
      <c r="J291" s="13">
        <f>[2]S1!J292</f>
        <v>0</v>
      </c>
      <c r="K291" s="19">
        <f>[2]S1!K292</f>
        <v>38598</v>
      </c>
      <c r="L291" s="52">
        <f>[2]S1!L292</f>
        <v>27000</v>
      </c>
      <c r="M291" s="58">
        <f>[2]S1!M292</f>
        <v>24</v>
      </c>
      <c r="N291" s="49">
        <f>[2]S1!P292</f>
        <v>8094770777</v>
      </c>
      <c r="O291" s="14"/>
    </row>
    <row r="292" spans="1:15" x14ac:dyDescent="0.3">
      <c r="A292" s="11">
        <v>3339</v>
      </c>
      <c r="B292" s="12" t="str">
        <f>[3]Name!E2343</f>
        <v>Manisa Kumari Khandelwal</v>
      </c>
      <c r="C292" s="13">
        <f>[2]S1!C293</f>
        <v>750</v>
      </c>
      <c r="D292" s="13">
        <f>[2]S1!D293</f>
        <v>11934</v>
      </c>
      <c r="E292" s="26">
        <f>[2]S1!E293</f>
        <v>3200</v>
      </c>
      <c r="F292" s="26">
        <f>[2]S1!F293</f>
        <v>1587</v>
      </c>
      <c r="G292" s="22">
        <f>[2]S1!G293</f>
        <v>15000</v>
      </c>
      <c r="H292" s="22">
        <f>[2]S1!H293</f>
        <v>13331</v>
      </c>
      <c r="I292" s="22">
        <f>[2]S1!I293</f>
        <v>5400</v>
      </c>
      <c r="J292" s="13">
        <f>[2]S1!J293</f>
        <v>0</v>
      </c>
      <c r="K292" s="19">
        <f>[2]S1!K293</f>
        <v>38518</v>
      </c>
      <c r="L292" s="52">
        <f>[2]S1!L293</f>
        <v>27000</v>
      </c>
      <c r="M292" s="58">
        <f>[2]S1!M293</f>
        <v>24</v>
      </c>
      <c r="N292" s="49">
        <f>[2]S1!P293</f>
        <v>8094770777</v>
      </c>
      <c r="O292" s="14"/>
    </row>
    <row r="293" spans="1:15" x14ac:dyDescent="0.3">
      <c r="A293" s="11">
        <v>3340</v>
      </c>
      <c r="B293" s="12" t="str">
        <f>[3]Name!E2344</f>
        <v>Ghansyam Kandela</v>
      </c>
      <c r="C293" s="13">
        <f>[2]S1!C294</f>
        <v>1500</v>
      </c>
      <c r="D293" s="13">
        <f>[2]S1!D294</f>
        <v>0</v>
      </c>
      <c r="E293" s="26">
        <f>[2]S1!E294</f>
        <v>123</v>
      </c>
      <c r="F293" s="26">
        <f>[2]S1!F294</f>
        <v>0</v>
      </c>
      <c r="G293" s="22">
        <f>[2]S1!G294</f>
        <v>0</v>
      </c>
      <c r="H293" s="22">
        <f>[2]S1!H294</f>
        <v>0</v>
      </c>
      <c r="I293" s="22">
        <f>[2]S1!I294</f>
        <v>0</v>
      </c>
      <c r="J293" s="13">
        <f>[2]S1!J294</f>
        <v>0</v>
      </c>
      <c r="K293" s="19">
        <f>[2]S1!K294</f>
        <v>123</v>
      </c>
      <c r="L293" s="52">
        <f>[2]S1!L294</f>
        <v>-735</v>
      </c>
      <c r="M293" s="58">
        <f>[2]S1!M294</f>
        <v>11</v>
      </c>
      <c r="N293" s="49">
        <f>[2]S1!P294</f>
        <v>9928442678</v>
      </c>
      <c r="O293" s="14"/>
    </row>
    <row r="294" spans="1:15" x14ac:dyDescent="0.3">
      <c r="A294" s="11">
        <v>3341</v>
      </c>
      <c r="B294" s="12" t="str">
        <f>[3]Name!E2345</f>
        <v>Hanuman Sahay Kandela</v>
      </c>
      <c r="C294" s="13">
        <f>[2]S1!C295</f>
        <v>1500</v>
      </c>
      <c r="D294" s="13">
        <f>[2]S1!D295</f>
        <v>0</v>
      </c>
      <c r="E294" s="26">
        <f>[2]S1!E295</f>
        <v>200</v>
      </c>
      <c r="F294" s="26">
        <f>[2]S1!F295</f>
        <v>0</v>
      </c>
      <c r="G294" s="22">
        <f>[2]S1!G295</f>
        <v>0</v>
      </c>
      <c r="H294" s="22">
        <f>[2]S1!H295</f>
        <v>0</v>
      </c>
      <c r="I294" s="22">
        <f>[2]S1!I295</f>
        <v>0</v>
      </c>
      <c r="J294" s="13">
        <f>[2]S1!J295</f>
        <v>0</v>
      </c>
      <c r="K294" s="19">
        <f>[2]S1!K295</f>
        <v>200</v>
      </c>
      <c r="L294" s="52">
        <f>[2]S1!L295</f>
        <v>0</v>
      </c>
      <c r="M294" s="58">
        <f>[2]S1!M295</f>
        <v>0</v>
      </c>
      <c r="N294" s="49">
        <f>[2]S1!P295</f>
        <v>9928442678</v>
      </c>
      <c r="O294" s="14"/>
    </row>
    <row r="295" spans="1:15" x14ac:dyDescent="0.3">
      <c r="A295" s="11">
        <v>3342</v>
      </c>
      <c r="B295" s="12" t="str">
        <f>[3]Name!E2346</f>
        <v>Nanchi devi Kandela</v>
      </c>
      <c r="C295" s="13">
        <f>[2]S1!C296</f>
        <v>1500</v>
      </c>
      <c r="D295" s="13">
        <f>[2]S1!D296</f>
        <v>0</v>
      </c>
      <c r="E295" s="26">
        <f>[2]S1!E296</f>
        <v>200</v>
      </c>
      <c r="F295" s="26">
        <f>[2]S1!F296</f>
        <v>0</v>
      </c>
      <c r="G295" s="22">
        <f>[2]S1!G296</f>
        <v>0</v>
      </c>
      <c r="H295" s="22">
        <f>[2]S1!H296</f>
        <v>0</v>
      </c>
      <c r="I295" s="22">
        <f>[2]S1!I296</f>
        <v>0</v>
      </c>
      <c r="J295" s="13">
        <f>[2]S1!J296</f>
        <v>0</v>
      </c>
      <c r="K295" s="19">
        <f>[2]S1!K296</f>
        <v>200</v>
      </c>
      <c r="L295" s="52">
        <f>[2]S1!L296</f>
        <v>0</v>
      </c>
      <c r="M295" s="58">
        <f>[2]S1!M296</f>
        <v>0</v>
      </c>
      <c r="N295" s="49">
        <f>[2]S1!P296</f>
        <v>9928442678</v>
      </c>
      <c r="O295" s="14"/>
    </row>
    <row r="296" spans="1:15" x14ac:dyDescent="0.3">
      <c r="A296" s="11">
        <v>3343</v>
      </c>
      <c r="B296" s="12" t="str">
        <f>[3]Name!E2347</f>
        <v>Rahul Kumar Kandela</v>
      </c>
      <c r="C296" s="13">
        <f>[2]S1!C297</f>
        <v>1500</v>
      </c>
      <c r="D296" s="13">
        <f>[2]S1!D297</f>
        <v>0</v>
      </c>
      <c r="E296" s="26">
        <f>[2]S1!E297</f>
        <v>200</v>
      </c>
      <c r="F296" s="26">
        <f>[2]S1!F297</f>
        <v>0</v>
      </c>
      <c r="G296" s="22">
        <f>[2]S1!G297</f>
        <v>0</v>
      </c>
      <c r="H296" s="22">
        <f>[2]S1!H297</f>
        <v>0</v>
      </c>
      <c r="I296" s="22">
        <f>[2]S1!I297</f>
        <v>0</v>
      </c>
      <c r="J296" s="13">
        <f>[2]S1!J297</f>
        <v>0</v>
      </c>
      <c r="K296" s="19">
        <f>[2]S1!K297</f>
        <v>200</v>
      </c>
      <c r="L296" s="52">
        <f>[2]S1!L297</f>
        <v>0</v>
      </c>
      <c r="M296" s="58">
        <f>[2]S1!M297</f>
        <v>0</v>
      </c>
      <c r="N296" s="49">
        <f>[2]S1!P297</f>
        <v>9928442678</v>
      </c>
      <c r="O296" s="14"/>
    </row>
    <row r="297" spans="1:15" x14ac:dyDescent="0.3">
      <c r="A297" s="11">
        <v>3344</v>
      </c>
      <c r="B297" s="12" t="str">
        <f>[3]Name!E2348</f>
        <v>Sahil Kumar Kandela</v>
      </c>
      <c r="C297" s="13">
        <f>[2]S1!C298</f>
        <v>1500</v>
      </c>
      <c r="D297" s="13">
        <f>[2]S1!D298</f>
        <v>0</v>
      </c>
      <c r="E297" s="26">
        <f>[2]S1!E298</f>
        <v>200</v>
      </c>
      <c r="F297" s="26">
        <f>[2]S1!F298</f>
        <v>0</v>
      </c>
      <c r="G297" s="22">
        <f>[2]S1!G298</f>
        <v>0</v>
      </c>
      <c r="H297" s="22">
        <f>[2]S1!H298</f>
        <v>0</v>
      </c>
      <c r="I297" s="22">
        <f>[2]S1!I298</f>
        <v>0</v>
      </c>
      <c r="J297" s="13">
        <f>[2]S1!J298</f>
        <v>0</v>
      </c>
      <c r="K297" s="19">
        <f>[2]S1!K298</f>
        <v>200</v>
      </c>
      <c r="L297" s="52">
        <f>[2]S1!L298</f>
        <v>0</v>
      </c>
      <c r="M297" s="58">
        <f>[2]S1!M298</f>
        <v>0</v>
      </c>
      <c r="N297" s="49">
        <f>[2]S1!P298</f>
        <v>9928442678</v>
      </c>
      <c r="O297" s="14"/>
    </row>
    <row r="298" spans="1:15" x14ac:dyDescent="0.3">
      <c r="A298" s="11">
        <v>3345</v>
      </c>
      <c r="B298" s="12" t="str">
        <f>[3]Name!E2349</f>
        <v>Sispal Malida</v>
      </c>
      <c r="C298" s="13">
        <f>[2]S1!C299</f>
        <v>27000</v>
      </c>
      <c r="D298" s="13">
        <f>[2]S1!D299</f>
        <v>0</v>
      </c>
      <c r="E298" s="26">
        <f>[2]S1!E299</f>
        <v>198</v>
      </c>
      <c r="F298" s="26">
        <f>[2]S1!F299</f>
        <v>0</v>
      </c>
      <c r="G298" s="22">
        <f>[2]S1!G299</f>
        <v>3000</v>
      </c>
      <c r="H298" s="22">
        <f>[2]S1!H299</f>
        <v>0</v>
      </c>
      <c r="I298" s="22">
        <f>[2]S1!I299</f>
        <v>300</v>
      </c>
      <c r="J298" s="13">
        <f>[2]S1!J299</f>
        <v>0</v>
      </c>
      <c r="K298" s="19">
        <f>[2]S1!K299</f>
        <v>3498</v>
      </c>
      <c r="L298" s="52">
        <f>[2]S1!L299</f>
        <v>30000</v>
      </c>
      <c r="M298" s="58">
        <f>[2]S1!M299</f>
        <v>5</v>
      </c>
      <c r="N298" s="49">
        <f>[2]S1!P299</f>
        <v>9828812727</v>
      </c>
      <c r="O298" s="14"/>
    </row>
    <row r="299" spans="1:15" x14ac:dyDescent="0.3">
      <c r="A299" s="11">
        <v>3346</v>
      </c>
      <c r="B299" s="12" t="str">
        <f>[3]Name!E2350</f>
        <v>Kishan Lal Malinda</v>
      </c>
      <c r="C299" s="13">
        <f>[2]S1!C300</f>
        <v>27000</v>
      </c>
      <c r="D299" s="13">
        <f>[2]S1!D300</f>
        <v>0</v>
      </c>
      <c r="E299" s="26">
        <f>[2]S1!E300</f>
        <v>200</v>
      </c>
      <c r="F299" s="26">
        <f>[2]S1!F300</f>
        <v>0</v>
      </c>
      <c r="G299" s="22">
        <f>[2]S1!G300</f>
        <v>3000</v>
      </c>
      <c r="H299" s="22">
        <f>[2]S1!H300</f>
        <v>0</v>
      </c>
      <c r="I299" s="22">
        <f>[2]S1!I300</f>
        <v>300</v>
      </c>
      <c r="J299" s="13">
        <f>[2]S1!J300</f>
        <v>0</v>
      </c>
      <c r="K299" s="19">
        <f>[2]S1!K300</f>
        <v>3500</v>
      </c>
      <c r="L299" s="52">
        <f>[2]S1!L300</f>
        <v>30000</v>
      </c>
      <c r="M299" s="58">
        <f>[2]S1!M300</f>
        <v>5</v>
      </c>
      <c r="N299" s="49">
        <f>[2]S1!P300</f>
        <v>9828812727</v>
      </c>
      <c r="O299" s="14"/>
    </row>
    <row r="300" spans="1:15" x14ac:dyDescent="0.3">
      <c r="A300" s="11">
        <v>3347</v>
      </c>
      <c r="B300" s="12" t="str">
        <f>[3]Name!E2351</f>
        <v>Mukesh Kumar Malinda</v>
      </c>
      <c r="C300" s="13">
        <f>[2]S1!C301</f>
        <v>27000</v>
      </c>
      <c r="D300" s="13">
        <f>[2]S1!D301</f>
        <v>0</v>
      </c>
      <c r="E300" s="26">
        <f>[2]S1!E301</f>
        <v>200</v>
      </c>
      <c r="F300" s="26">
        <f>[2]S1!F301</f>
        <v>0</v>
      </c>
      <c r="G300" s="22">
        <f>[2]S1!G301</f>
        <v>3000</v>
      </c>
      <c r="H300" s="22">
        <f>[2]S1!H301</f>
        <v>0</v>
      </c>
      <c r="I300" s="22">
        <f>[2]S1!I301</f>
        <v>300</v>
      </c>
      <c r="J300" s="13">
        <f>[2]S1!J301</f>
        <v>0</v>
      </c>
      <c r="K300" s="19">
        <f>[2]S1!K301</f>
        <v>3500</v>
      </c>
      <c r="L300" s="52">
        <f>[2]S1!L301</f>
        <v>30000</v>
      </c>
      <c r="M300" s="58">
        <f>[2]S1!M301</f>
        <v>5</v>
      </c>
      <c r="N300" s="49">
        <f>[2]S1!P301</f>
        <v>9828812727</v>
      </c>
      <c r="O300" s="14"/>
    </row>
    <row r="301" spans="1:15" x14ac:dyDescent="0.3">
      <c r="A301" s="11">
        <v>3348</v>
      </c>
      <c r="B301" s="12" t="str">
        <f>[3]Name!E2352</f>
        <v>Jagadish Chand Malinda</v>
      </c>
      <c r="C301" s="13">
        <f>[2]S1!C302</f>
        <v>27000</v>
      </c>
      <c r="D301" s="13">
        <f>[2]S1!D302</f>
        <v>0</v>
      </c>
      <c r="E301" s="26">
        <f>[2]S1!E302</f>
        <v>200</v>
      </c>
      <c r="F301" s="26">
        <f>[2]S1!F302</f>
        <v>0</v>
      </c>
      <c r="G301" s="22">
        <f>[2]S1!G302</f>
        <v>3000</v>
      </c>
      <c r="H301" s="22">
        <f>[2]S1!H302</f>
        <v>0</v>
      </c>
      <c r="I301" s="22">
        <f>[2]S1!I302</f>
        <v>300</v>
      </c>
      <c r="J301" s="13">
        <f>[2]S1!J302</f>
        <v>0</v>
      </c>
      <c r="K301" s="19">
        <f>[2]S1!K302</f>
        <v>3500</v>
      </c>
      <c r="L301" s="52">
        <f>[2]S1!L302</f>
        <v>30000</v>
      </c>
      <c r="M301" s="58">
        <f>[2]S1!M302</f>
        <v>5</v>
      </c>
      <c r="N301" s="49">
        <f>[2]S1!P302</f>
        <v>9828812727</v>
      </c>
      <c r="O301" s="14"/>
    </row>
    <row r="302" spans="1:15" x14ac:dyDescent="0.3">
      <c r="A302" s="11">
        <v>3349</v>
      </c>
      <c r="B302" s="12" t="str">
        <f>[3]Name!E2353</f>
        <v>Dolat Ram Malinda</v>
      </c>
      <c r="C302" s="13">
        <f>[2]S1!C303</f>
        <v>27000</v>
      </c>
      <c r="D302" s="13">
        <f>[2]S1!D303</f>
        <v>0</v>
      </c>
      <c r="E302" s="26">
        <f>[2]S1!E303</f>
        <v>200</v>
      </c>
      <c r="F302" s="26">
        <f>[2]S1!F303</f>
        <v>0</v>
      </c>
      <c r="G302" s="22">
        <f>[2]S1!G303</f>
        <v>3000</v>
      </c>
      <c r="H302" s="22">
        <f>[2]S1!H303</f>
        <v>0</v>
      </c>
      <c r="I302" s="22">
        <f>[2]S1!I303</f>
        <v>300</v>
      </c>
      <c r="J302" s="13">
        <f>[2]S1!J303</f>
        <v>0</v>
      </c>
      <c r="K302" s="19">
        <f>[2]S1!K303</f>
        <v>3500</v>
      </c>
      <c r="L302" s="52">
        <f>[2]S1!L303</f>
        <v>30000</v>
      </c>
      <c r="M302" s="58">
        <f>[2]S1!M303</f>
        <v>5</v>
      </c>
      <c r="N302" s="49">
        <f>[2]S1!P303</f>
        <v>9828812727</v>
      </c>
      <c r="O302" s="14"/>
    </row>
    <row r="303" spans="1:15" x14ac:dyDescent="0.3">
      <c r="A303" s="11">
        <v>3350</v>
      </c>
      <c r="B303" s="12" t="str">
        <f>[3]Name!E2354</f>
        <v>Koslya devi  Bunkar</v>
      </c>
      <c r="C303" s="13">
        <f>[2]S1!C304</f>
        <v>0</v>
      </c>
      <c r="D303" s="13">
        <f>[2]S1!D304</f>
        <v>0</v>
      </c>
      <c r="E303" s="26">
        <f>[2]S1!E304</f>
        <v>184</v>
      </c>
      <c r="F303" s="26">
        <f>[2]S1!F304</f>
        <v>0</v>
      </c>
      <c r="G303" s="22">
        <f>[2]S1!G304</f>
        <v>21900</v>
      </c>
      <c r="H303" s="22">
        <f>[2]S1!H304</f>
        <v>0</v>
      </c>
      <c r="I303" s="22">
        <f>[2]S1!I304</f>
        <v>219</v>
      </c>
      <c r="J303" s="13">
        <f>[2]S1!J304</f>
        <v>0</v>
      </c>
      <c r="K303" s="19">
        <f>[2]S1!K304</f>
        <v>22303</v>
      </c>
      <c r="L303" s="52">
        <f>[2]S1!L304</f>
        <v>21900</v>
      </c>
      <c r="M303" s="58">
        <f>[2]S1!M304</f>
        <v>6</v>
      </c>
      <c r="N303" s="49">
        <f>[2]S1!P304</f>
        <v>9983883495</v>
      </c>
      <c r="O303" s="14"/>
    </row>
    <row r="304" spans="1:15" x14ac:dyDescent="0.3">
      <c r="A304" s="11">
        <v>3351</v>
      </c>
      <c r="B304" s="12" t="str">
        <f>[3]Name!E2355</f>
        <v>Sanjay Bunkar</v>
      </c>
      <c r="C304" s="13">
        <f>[2]S1!C305</f>
        <v>0</v>
      </c>
      <c r="D304" s="13">
        <f>[2]S1!D305</f>
        <v>0</v>
      </c>
      <c r="E304" s="26">
        <f>[2]S1!E305</f>
        <v>200</v>
      </c>
      <c r="F304" s="26">
        <f>[2]S1!F305</f>
        <v>0</v>
      </c>
      <c r="G304" s="22">
        <f>[2]S1!G305</f>
        <v>21900</v>
      </c>
      <c r="H304" s="22">
        <f>[2]S1!H305</f>
        <v>0</v>
      </c>
      <c r="I304" s="22">
        <f>[2]S1!I305</f>
        <v>219</v>
      </c>
      <c r="J304" s="13">
        <f>[2]S1!J305</f>
        <v>0</v>
      </c>
      <c r="K304" s="19">
        <f>[2]S1!K305</f>
        <v>22319</v>
      </c>
      <c r="L304" s="52">
        <f>[2]S1!L305</f>
        <v>21900</v>
      </c>
      <c r="M304" s="58">
        <f>[2]S1!M305</f>
        <v>6</v>
      </c>
      <c r="N304" s="49">
        <f>[2]S1!P305</f>
        <v>9983883495</v>
      </c>
      <c r="O304" s="14"/>
    </row>
    <row r="305" spans="1:15" x14ac:dyDescent="0.3">
      <c r="A305" s="11">
        <v>3352</v>
      </c>
      <c r="B305" s="12" t="str">
        <f>[3]Name!E2356</f>
        <v>Raju Lal Rathi</v>
      </c>
      <c r="C305" s="13">
        <f>[2]S1!C306</f>
        <v>433</v>
      </c>
      <c r="D305" s="13">
        <f>[2]S1!D306</f>
        <v>0</v>
      </c>
      <c r="E305" s="26">
        <f>[2]S1!E306</f>
        <v>198</v>
      </c>
      <c r="F305" s="26">
        <f>[2]S1!F306</f>
        <v>0</v>
      </c>
      <c r="G305" s="22">
        <f>[2]S1!G306</f>
        <v>0</v>
      </c>
      <c r="H305" s="22">
        <f>[2]S1!H306</f>
        <v>0</v>
      </c>
      <c r="I305" s="22">
        <f>[2]S1!I306</f>
        <v>0</v>
      </c>
      <c r="J305" s="13">
        <f>[2]S1!J306</f>
        <v>0</v>
      </c>
      <c r="K305" s="19">
        <f>[2]S1!K306</f>
        <v>198</v>
      </c>
      <c r="L305" s="52">
        <f>[2]S1!L306</f>
        <v>0</v>
      </c>
      <c r="M305" s="58">
        <f>[2]S1!M306</f>
        <v>0</v>
      </c>
      <c r="N305" s="49">
        <f>[2]S1!P306</f>
        <v>8003245618</v>
      </c>
      <c r="O305" s="14"/>
    </row>
    <row r="306" spans="1:15" x14ac:dyDescent="0.3">
      <c r="A306" s="11">
        <v>3353</v>
      </c>
      <c r="B306" s="12" t="str">
        <f>[3]Name!E2357</f>
        <v>Mul Chand Rathi</v>
      </c>
      <c r="C306" s="13">
        <f>[2]S1!C307</f>
        <v>700</v>
      </c>
      <c r="D306" s="13">
        <f>[2]S1!D307</f>
        <v>0</v>
      </c>
      <c r="E306" s="26">
        <f>[2]S1!E307</f>
        <v>200</v>
      </c>
      <c r="F306" s="26">
        <f>[2]S1!F307</f>
        <v>0</v>
      </c>
      <c r="G306" s="22">
        <f>[2]S1!G307</f>
        <v>0</v>
      </c>
      <c r="H306" s="22">
        <f>[2]S1!H307</f>
        <v>0</v>
      </c>
      <c r="I306" s="22">
        <f>[2]S1!I307</f>
        <v>0</v>
      </c>
      <c r="J306" s="13">
        <f>[2]S1!J307</f>
        <v>0</v>
      </c>
      <c r="K306" s="19">
        <f>[2]S1!K307</f>
        <v>200</v>
      </c>
      <c r="L306" s="52">
        <f>[2]S1!L307</f>
        <v>0</v>
      </c>
      <c r="M306" s="58">
        <f>[2]S1!M307</f>
        <v>0</v>
      </c>
      <c r="N306" s="49">
        <f>[2]S1!P307</f>
        <v>8003245618</v>
      </c>
      <c r="O306" s="14"/>
    </row>
    <row r="307" spans="1:15" x14ac:dyDescent="0.3">
      <c r="A307" s="11">
        <v>3354</v>
      </c>
      <c r="B307" s="12" t="str">
        <f>[3]Name!E2358</f>
        <v>Mukesh Kumar Rathi</v>
      </c>
      <c r="C307" s="13">
        <f>[2]S1!C308</f>
        <v>700</v>
      </c>
      <c r="D307" s="13">
        <f>[2]S1!D308</f>
        <v>0</v>
      </c>
      <c r="E307" s="26">
        <f>[2]S1!E308</f>
        <v>200</v>
      </c>
      <c r="F307" s="26">
        <f>[2]S1!F308</f>
        <v>0</v>
      </c>
      <c r="G307" s="22">
        <f>[2]S1!G308</f>
        <v>0</v>
      </c>
      <c r="H307" s="22">
        <f>[2]S1!H308</f>
        <v>0</v>
      </c>
      <c r="I307" s="22">
        <f>[2]S1!I308</f>
        <v>0</v>
      </c>
      <c r="J307" s="13">
        <f>[2]S1!J308</f>
        <v>0</v>
      </c>
      <c r="K307" s="19">
        <f>[2]S1!K308</f>
        <v>200</v>
      </c>
      <c r="L307" s="52">
        <f>[2]S1!L308</f>
        <v>0</v>
      </c>
      <c r="M307" s="58">
        <f>[2]S1!M308</f>
        <v>0</v>
      </c>
      <c r="N307" s="49">
        <f>[2]S1!P308</f>
        <v>8003245618</v>
      </c>
      <c r="O307" s="14"/>
    </row>
    <row r="308" spans="1:15" x14ac:dyDescent="0.3">
      <c r="A308" s="11">
        <v>3355</v>
      </c>
      <c r="B308" s="12" t="str">
        <f>[3]Name!E2359</f>
        <v>Raju Lal Rathi</v>
      </c>
      <c r="C308" s="13">
        <f>[2]S1!C309</f>
        <v>700</v>
      </c>
      <c r="D308" s="13">
        <f>[2]S1!D309</f>
        <v>0</v>
      </c>
      <c r="E308" s="26">
        <f>[2]S1!E309</f>
        <v>200</v>
      </c>
      <c r="F308" s="26">
        <f>[2]S1!F309</f>
        <v>0</v>
      </c>
      <c r="G308" s="22">
        <f>[2]S1!G309</f>
        <v>0</v>
      </c>
      <c r="H308" s="22">
        <f>[2]S1!H309</f>
        <v>0</v>
      </c>
      <c r="I308" s="22">
        <f>[2]S1!I309</f>
        <v>0</v>
      </c>
      <c r="J308" s="13">
        <f>[2]S1!J309</f>
        <v>0</v>
      </c>
      <c r="K308" s="19">
        <f>[2]S1!K309</f>
        <v>200</v>
      </c>
      <c r="L308" s="52">
        <f>[2]S1!L309</f>
        <v>0</v>
      </c>
      <c r="M308" s="58">
        <f>[2]S1!M309</f>
        <v>0</v>
      </c>
      <c r="N308" s="49">
        <f>[2]S1!P309</f>
        <v>8003245618</v>
      </c>
      <c r="O308" s="14"/>
    </row>
    <row r="309" spans="1:15" x14ac:dyDescent="0.3">
      <c r="A309" s="11">
        <v>3356</v>
      </c>
      <c r="B309" s="12" t="str">
        <f>[3]Name!E2360</f>
        <v>Mul Chand Rathi</v>
      </c>
      <c r="C309" s="13">
        <f>[2]S1!C310</f>
        <v>700</v>
      </c>
      <c r="D309" s="13">
        <f>[2]S1!D310</f>
        <v>0</v>
      </c>
      <c r="E309" s="26">
        <f>[2]S1!E310</f>
        <v>200</v>
      </c>
      <c r="F309" s="26">
        <f>[2]S1!F310</f>
        <v>0</v>
      </c>
      <c r="G309" s="22">
        <f>[2]S1!G310</f>
        <v>0</v>
      </c>
      <c r="H309" s="22">
        <f>[2]S1!H310</f>
        <v>0</v>
      </c>
      <c r="I309" s="22">
        <f>[2]S1!I310</f>
        <v>0</v>
      </c>
      <c r="J309" s="13">
        <f>[2]S1!J310</f>
        <v>0</v>
      </c>
      <c r="K309" s="19">
        <f>[2]S1!K310</f>
        <v>200</v>
      </c>
      <c r="L309" s="52">
        <f>[2]S1!L310</f>
        <v>0</v>
      </c>
      <c r="M309" s="58">
        <f>[2]S1!M310</f>
        <v>0</v>
      </c>
      <c r="N309" s="49">
        <f>[2]S1!P310</f>
        <v>8003245618</v>
      </c>
      <c r="O309" s="14"/>
    </row>
    <row r="310" spans="1:15" x14ac:dyDescent="0.3">
      <c r="A310" s="11">
        <v>3357</v>
      </c>
      <c r="B310" s="12" t="str">
        <f>[3]Name!E2361</f>
        <v>Raj kuamr Varma</v>
      </c>
      <c r="C310" s="13">
        <f>[2]S1!C311</f>
        <v>0</v>
      </c>
      <c r="D310" s="13">
        <f>[2]S1!D311</f>
        <v>0</v>
      </c>
      <c r="E310" s="26">
        <f>[2]S1!E311</f>
        <v>398</v>
      </c>
      <c r="F310" s="26">
        <f>[2]S1!F311</f>
        <v>0</v>
      </c>
      <c r="G310" s="22">
        <f>[2]S1!G311</f>
        <v>18600</v>
      </c>
      <c r="H310" s="22">
        <f>[2]S1!H311</f>
        <v>104</v>
      </c>
      <c r="I310" s="22">
        <f>[2]S1!I311</f>
        <v>372</v>
      </c>
      <c r="J310" s="13">
        <f>[2]S1!J311</f>
        <v>0</v>
      </c>
      <c r="K310" s="19">
        <f>[2]S1!K311</f>
        <v>19474</v>
      </c>
      <c r="L310" s="52">
        <f>[2]S1!L311</f>
        <v>18600</v>
      </c>
      <c r="M310" s="58">
        <f>[2]S1!M311</f>
        <v>6</v>
      </c>
      <c r="N310" s="49">
        <f>[2]S1!P311</f>
        <v>9829669327</v>
      </c>
      <c r="O310" s="14"/>
    </row>
    <row r="311" spans="1:15" x14ac:dyDescent="0.3">
      <c r="A311" s="11">
        <v>3358</v>
      </c>
      <c r="B311" s="12" t="str">
        <f>[3]Name!E2362</f>
        <v>Manish Kumar Varma</v>
      </c>
      <c r="C311" s="13">
        <f>[2]S1!C312</f>
        <v>0</v>
      </c>
      <c r="D311" s="13">
        <f>[2]S1!D312</f>
        <v>0</v>
      </c>
      <c r="E311" s="26">
        <f>[2]S1!E312</f>
        <v>400</v>
      </c>
      <c r="F311" s="26">
        <f>[2]S1!F312</f>
        <v>8</v>
      </c>
      <c r="G311" s="22">
        <f>[2]S1!G312</f>
        <v>19000</v>
      </c>
      <c r="H311" s="22">
        <f>[2]S1!H312</f>
        <v>105</v>
      </c>
      <c r="I311" s="22">
        <f>[2]S1!I312</f>
        <v>380</v>
      </c>
      <c r="J311" s="13">
        <f>[2]S1!J312</f>
        <v>0</v>
      </c>
      <c r="K311" s="19">
        <f>[2]S1!K312</f>
        <v>19893</v>
      </c>
      <c r="L311" s="52">
        <f>[2]S1!L312</f>
        <v>19000</v>
      </c>
      <c r="M311" s="58">
        <f>[2]S1!M312</f>
        <v>6</v>
      </c>
      <c r="N311" s="49">
        <f>[2]S1!P312</f>
        <v>9829669327</v>
      </c>
      <c r="O311" s="14"/>
    </row>
    <row r="312" spans="1:15" x14ac:dyDescent="0.3">
      <c r="A312" s="11">
        <v>3359</v>
      </c>
      <c r="B312" s="12" t="str">
        <f>[3]Name!E2363</f>
        <v>Yuvraj Varma</v>
      </c>
      <c r="C312" s="13">
        <f>[2]S1!C313</f>
        <v>0</v>
      </c>
      <c r="D312" s="13">
        <f>[2]S1!D313</f>
        <v>0</v>
      </c>
      <c r="E312" s="26">
        <f>[2]S1!E313</f>
        <v>400</v>
      </c>
      <c r="F312" s="26">
        <f>[2]S1!F313</f>
        <v>10</v>
      </c>
      <c r="G312" s="22">
        <f>[2]S1!G313</f>
        <v>19000</v>
      </c>
      <c r="H312" s="22">
        <f>[2]S1!H313</f>
        <v>105</v>
      </c>
      <c r="I312" s="22">
        <f>[2]S1!I313</f>
        <v>380</v>
      </c>
      <c r="J312" s="13">
        <f>[2]S1!J313</f>
        <v>0</v>
      </c>
      <c r="K312" s="19">
        <f>[2]S1!K313</f>
        <v>19895</v>
      </c>
      <c r="L312" s="52">
        <f>[2]S1!L313</f>
        <v>19000</v>
      </c>
      <c r="M312" s="58">
        <f>[2]S1!M313</f>
        <v>6</v>
      </c>
      <c r="N312" s="49">
        <f>[2]S1!P313</f>
        <v>9829669327</v>
      </c>
      <c r="O312" s="14"/>
    </row>
    <row r="313" spans="1:15" x14ac:dyDescent="0.3">
      <c r="A313" s="11">
        <v>3360</v>
      </c>
      <c r="B313" s="12" t="str">
        <f>[3]Name!E2364</f>
        <v>Mukesh Kumar Maharda</v>
      </c>
      <c r="C313" s="13">
        <f>[2]S1!C314</f>
        <v>450</v>
      </c>
      <c r="D313" s="13">
        <f>[2]S1!D314</f>
        <v>0</v>
      </c>
      <c r="E313" s="26">
        <f>[2]S1!E314</f>
        <v>400</v>
      </c>
      <c r="F313" s="26">
        <f>[2]S1!F314</f>
        <v>10</v>
      </c>
      <c r="G313" s="22">
        <f>[2]S1!G314</f>
        <v>6600</v>
      </c>
      <c r="H313" s="22">
        <f>[2]S1!H314</f>
        <v>0</v>
      </c>
      <c r="I313" s="22">
        <f>[2]S1!I314</f>
        <v>680</v>
      </c>
      <c r="J313" s="13">
        <f>[2]S1!J314</f>
        <v>0</v>
      </c>
      <c r="K313" s="19">
        <f>[2]S1!K314</f>
        <v>7690</v>
      </c>
      <c r="L313" s="52">
        <f>[2]S1!L314</f>
        <v>34000</v>
      </c>
      <c r="M313" s="58">
        <f>[2]S1!M314</f>
        <v>9</v>
      </c>
      <c r="N313" s="49">
        <f>[2]S1!P314</f>
        <v>7568229819</v>
      </c>
      <c r="O313" s="14"/>
    </row>
    <row r="314" spans="1:15" x14ac:dyDescent="0.3">
      <c r="A314" s="11">
        <v>3361</v>
      </c>
      <c r="B314" s="12" t="str">
        <f>[3]Name!E2365</f>
        <v>Ramdayal Meharda</v>
      </c>
      <c r="C314" s="13">
        <f>[2]S1!C315</f>
        <v>450</v>
      </c>
      <c r="D314" s="13">
        <f>[2]S1!D315</f>
        <v>0</v>
      </c>
      <c r="E314" s="26">
        <f>[2]S1!E315</f>
        <v>398</v>
      </c>
      <c r="F314" s="26">
        <f>[2]S1!F315</f>
        <v>10</v>
      </c>
      <c r="G314" s="22">
        <f>[2]S1!G315</f>
        <v>6600</v>
      </c>
      <c r="H314" s="22">
        <f>[2]S1!H315</f>
        <v>0</v>
      </c>
      <c r="I314" s="22">
        <f>[2]S1!I315</f>
        <v>680</v>
      </c>
      <c r="J314" s="13">
        <f>[2]S1!J315</f>
        <v>0</v>
      </c>
      <c r="K314" s="19">
        <f>[2]S1!K315</f>
        <v>7688</v>
      </c>
      <c r="L314" s="52">
        <f>[2]S1!L315</f>
        <v>34000</v>
      </c>
      <c r="M314" s="58">
        <f>[2]S1!M315</f>
        <v>9</v>
      </c>
      <c r="N314" s="49">
        <f>[2]S1!P315</f>
        <v>7568229819</v>
      </c>
      <c r="O314" s="14"/>
    </row>
    <row r="315" spans="1:15" x14ac:dyDescent="0.3">
      <c r="A315" s="11">
        <v>3362</v>
      </c>
      <c r="B315" s="12" t="str">
        <f>[3]Name!E2366</f>
        <v>Gyarsi Devi Meharda</v>
      </c>
      <c r="C315" s="13">
        <f>[2]S1!C316</f>
        <v>450</v>
      </c>
      <c r="D315" s="13">
        <f>[2]S1!D316</f>
        <v>0</v>
      </c>
      <c r="E315" s="26">
        <f>[2]S1!E316</f>
        <v>400</v>
      </c>
      <c r="F315" s="26">
        <f>[2]S1!F316</f>
        <v>10</v>
      </c>
      <c r="G315" s="22">
        <f>[2]S1!G316</f>
        <v>6600</v>
      </c>
      <c r="H315" s="22">
        <f>[2]S1!H316</f>
        <v>0</v>
      </c>
      <c r="I315" s="22">
        <f>[2]S1!I316</f>
        <v>680</v>
      </c>
      <c r="J315" s="13">
        <f>[2]S1!J316</f>
        <v>0</v>
      </c>
      <c r="K315" s="19">
        <f>[2]S1!K316</f>
        <v>7690</v>
      </c>
      <c r="L315" s="52">
        <f>[2]S1!L316</f>
        <v>34000</v>
      </c>
      <c r="M315" s="58">
        <f>[2]S1!M316</f>
        <v>9</v>
      </c>
      <c r="N315" s="49">
        <f>[2]S1!P316</f>
        <v>7568229819</v>
      </c>
      <c r="O315" s="14"/>
    </row>
    <row r="316" spans="1:15" x14ac:dyDescent="0.3">
      <c r="A316" s="11">
        <v>3363</v>
      </c>
      <c r="B316" s="12" t="str">
        <f>[3]Name!E2367</f>
        <v>Ramesh Kumar Meharda</v>
      </c>
      <c r="C316" s="13">
        <f>[2]S1!C317</f>
        <v>450</v>
      </c>
      <c r="D316" s="13">
        <f>[2]S1!D317</f>
        <v>0</v>
      </c>
      <c r="E316" s="26">
        <f>[2]S1!E317</f>
        <v>400</v>
      </c>
      <c r="F316" s="26">
        <f>[2]S1!F317</f>
        <v>0</v>
      </c>
      <c r="G316" s="22">
        <f>[2]S1!G317</f>
        <v>6600</v>
      </c>
      <c r="H316" s="22">
        <f>[2]S1!H317</f>
        <v>0</v>
      </c>
      <c r="I316" s="22">
        <f>[2]S1!I317</f>
        <v>680</v>
      </c>
      <c r="J316" s="13">
        <f>[2]S1!J317</f>
        <v>0</v>
      </c>
      <c r="K316" s="19">
        <f>[2]S1!K317</f>
        <v>7680</v>
      </c>
      <c r="L316" s="52">
        <f>[2]S1!L317</f>
        <v>34000</v>
      </c>
      <c r="M316" s="58">
        <f>[2]S1!M317</f>
        <v>9</v>
      </c>
      <c r="N316" s="49">
        <f>[2]S1!P317</f>
        <v>9829622211</v>
      </c>
      <c r="O316" s="14"/>
    </row>
    <row r="317" spans="1:15" x14ac:dyDescent="0.3">
      <c r="A317" s="11">
        <v>3364</v>
      </c>
      <c r="B317" s="12" t="str">
        <f>[3]Name!E2368</f>
        <v>Abhisek Kumar Meharda</v>
      </c>
      <c r="C317" s="13">
        <f>[2]S1!C318</f>
        <v>450</v>
      </c>
      <c r="D317" s="13">
        <f>[2]S1!D318</f>
        <v>0</v>
      </c>
      <c r="E317" s="26">
        <f>[2]S1!E318</f>
        <v>400</v>
      </c>
      <c r="F317" s="26">
        <f>[2]S1!F318</f>
        <v>10</v>
      </c>
      <c r="G317" s="22">
        <f>[2]S1!G318</f>
        <v>6600</v>
      </c>
      <c r="H317" s="22">
        <f>[2]S1!H318</f>
        <v>0</v>
      </c>
      <c r="I317" s="22">
        <f>[2]S1!I318</f>
        <v>680</v>
      </c>
      <c r="J317" s="13">
        <f>[2]S1!J318</f>
        <v>0</v>
      </c>
      <c r="K317" s="19">
        <f>[2]S1!K318</f>
        <v>7690</v>
      </c>
      <c r="L317" s="52">
        <f>[2]S1!L318</f>
        <v>34000</v>
      </c>
      <c r="M317" s="58">
        <f>[2]S1!M318</f>
        <v>9</v>
      </c>
      <c r="N317" s="49">
        <f>[2]S1!P318</f>
        <v>9829622211</v>
      </c>
      <c r="O317" s="14"/>
    </row>
    <row r="318" spans="1:15" x14ac:dyDescent="0.3">
      <c r="A318" s="11">
        <v>3365</v>
      </c>
      <c r="B318" s="12" t="str">
        <f>[3]Name!E2369</f>
        <v>Kajod Mal Balai</v>
      </c>
      <c r="C318" s="13">
        <f>[2]S1!C319</f>
        <v>2000</v>
      </c>
      <c r="D318" s="13">
        <f>[2]S1!D319</f>
        <v>0</v>
      </c>
      <c r="E318" s="26">
        <f>[2]S1!E319</f>
        <v>0</v>
      </c>
      <c r="F318" s="26">
        <f>[2]S1!F319</f>
        <v>0</v>
      </c>
      <c r="G318" s="22">
        <f>[2]S1!G319</f>
        <v>3998</v>
      </c>
      <c r="H318" s="22">
        <f>[2]S1!H319</f>
        <v>115</v>
      </c>
      <c r="I318" s="22">
        <f>[2]S1!I319</f>
        <v>640</v>
      </c>
      <c r="J318" s="13">
        <f>[2]S1!J319</f>
        <v>0</v>
      </c>
      <c r="K318" s="19">
        <f>[2]S1!K319</f>
        <v>4753</v>
      </c>
      <c r="L318" s="52">
        <f>[2]S1!L319</f>
        <v>31998</v>
      </c>
      <c r="M318" s="58">
        <f>[2]S1!M319</f>
        <v>6</v>
      </c>
      <c r="N318" s="49">
        <f>[2]S1!P319</f>
        <v>7728037942</v>
      </c>
      <c r="O318" s="14"/>
    </row>
    <row r="319" spans="1:15" x14ac:dyDescent="0.3">
      <c r="A319" s="11">
        <v>3366</v>
      </c>
      <c r="B319" s="12" t="str">
        <f>[3]Name!E2370</f>
        <v>Noratan Balai</v>
      </c>
      <c r="C319" s="13">
        <f>[2]S1!C320</f>
        <v>1000</v>
      </c>
      <c r="D319" s="13">
        <f>[2]S1!D320</f>
        <v>0</v>
      </c>
      <c r="E319" s="26">
        <f>[2]S1!E320</f>
        <v>400</v>
      </c>
      <c r="F319" s="26">
        <f>[2]S1!F320</f>
        <v>0</v>
      </c>
      <c r="G319" s="22">
        <f>[2]S1!G320</f>
        <v>2000</v>
      </c>
      <c r="H319" s="22">
        <f>[2]S1!H320</f>
        <v>63</v>
      </c>
      <c r="I319" s="22">
        <f>[2]S1!I320</f>
        <v>520</v>
      </c>
      <c r="J319" s="13">
        <f>[2]S1!J320</f>
        <v>0</v>
      </c>
      <c r="K319" s="19">
        <f>[2]S1!K320</f>
        <v>2983</v>
      </c>
      <c r="L319" s="52">
        <f>[2]S1!L320</f>
        <v>26000</v>
      </c>
      <c r="M319" s="58">
        <f>[2]S1!M320</f>
        <v>6</v>
      </c>
      <c r="N319" s="49">
        <f>[2]S1!P320</f>
        <v>7728037942</v>
      </c>
      <c r="O319" s="14"/>
    </row>
    <row r="320" spans="1:15" x14ac:dyDescent="0.3">
      <c r="A320" s="11">
        <v>3367</v>
      </c>
      <c r="B320" s="12" t="str">
        <f>[3]Name!E2371</f>
        <v>Suresh Chand Balai</v>
      </c>
      <c r="C320" s="13">
        <f>[2]S1!C321</f>
        <v>1000</v>
      </c>
      <c r="D320" s="13">
        <f>[2]S1!D321</f>
        <v>0</v>
      </c>
      <c r="E320" s="26">
        <f>[2]S1!E321</f>
        <v>400</v>
      </c>
      <c r="F320" s="26">
        <f>[2]S1!F321</f>
        <v>0</v>
      </c>
      <c r="G320" s="22">
        <f>[2]S1!G321</f>
        <v>2000</v>
      </c>
      <c r="H320" s="22">
        <f>[2]S1!H321</f>
        <v>61</v>
      </c>
      <c r="I320" s="22">
        <f>[2]S1!I321</f>
        <v>520</v>
      </c>
      <c r="J320" s="13">
        <f>[2]S1!J321</f>
        <v>0</v>
      </c>
      <c r="K320" s="19">
        <f>[2]S1!K321</f>
        <v>2981</v>
      </c>
      <c r="L320" s="52">
        <f>[2]S1!L321</f>
        <v>26000</v>
      </c>
      <c r="M320" s="58">
        <f>[2]S1!M321</f>
        <v>6</v>
      </c>
      <c r="N320" s="49">
        <f>[2]S1!P321</f>
        <v>7728037942</v>
      </c>
      <c r="O320" s="14"/>
    </row>
    <row r="321" spans="1:15" x14ac:dyDescent="0.3">
      <c r="A321" s="11">
        <v>3368</v>
      </c>
      <c r="B321" s="12" t="str">
        <f>[3]Name!E2372</f>
        <v>Panchu Ram Balai</v>
      </c>
      <c r="C321" s="13">
        <f>[2]S1!C322</f>
        <v>1000</v>
      </c>
      <c r="D321" s="13">
        <f>[2]S1!D322</f>
        <v>0</v>
      </c>
      <c r="E321" s="26">
        <f>[2]S1!E322</f>
        <v>400</v>
      </c>
      <c r="F321" s="26">
        <f>[2]S1!F322</f>
        <v>0</v>
      </c>
      <c r="G321" s="22">
        <f>[2]S1!G322</f>
        <v>2000</v>
      </c>
      <c r="H321" s="22">
        <f>[2]S1!H322</f>
        <v>63</v>
      </c>
      <c r="I321" s="22">
        <f>[2]S1!I322</f>
        <v>520</v>
      </c>
      <c r="J321" s="13">
        <f>[2]S1!J322</f>
        <v>0</v>
      </c>
      <c r="K321" s="19">
        <f>[2]S1!K322</f>
        <v>2983</v>
      </c>
      <c r="L321" s="52">
        <f>[2]S1!L322</f>
        <v>26000</v>
      </c>
      <c r="M321" s="58">
        <f>[2]S1!M322</f>
        <v>6</v>
      </c>
      <c r="N321" s="49">
        <f>[2]S1!P322</f>
        <v>7728037942</v>
      </c>
      <c r="O321" s="14"/>
    </row>
    <row r="322" spans="1:15" x14ac:dyDescent="0.3">
      <c r="A322" s="11">
        <v>3369</v>
      </c>
      <c r="B322" s="12" t="str">
        <f>[3]Name!E2373</f>
        <v>santosh Devi Balai</v>
      </c>
      <c r="C322" s="13">
        <f>[2]S1!C323</f>
        <v>1000</v>
      </c>
      <c r="D322" s="13">
        <f>[2]S1!D323</f>
        <v>0</v>
      </c>
      <c r="E322" s="26">
        <f>[2]S1!E323</f>
        <v>400</v>
      </c>
      <c r="F322" s="26">
        <f>[2]S1!F323</f>
        <v>0</v>
      </c>
      <c r="G322" s="22">
        <f>[2]S1!G323</f>
        <v>2000</v>
      </c>
      <c r="H322" s="22">
        <f>[2]S1!H323</f>
        <v>63</v>
      </c>
      <c r="I322" s="22">
        <f>[2]S1!I323</f>
        <v>520</v>
      </c>
      <c r="J322" s="13">
        <f>[2]S1!J323</f>
        <v>0</v>
      </c>
      <c r="K322" s="19">
        <f>[2]S1!K323</f>
        <v>2983</v>
      </c>
      <c r="L322" s="52">
        <f>[2]S1!L323</f>
        <v>26000</v>
      </c>
      <c r="M322" s="58">
        <f>[2]S1!M323</f>
        <v>6</v>
      </c>
      <c r="N322" s="49">
        <f>[2]S1!P323</f>
        <v>7728037942</v>
      </c>
      <c r="O322" s="14"/>
    </row>
    <row r="323" spans="1:15" x14ac:dyDescent="0.3">
      <c r="A323" s="11">
        <v>3370</v>
      </c>
      <c r="B323" s="12" t="str">
        <f>[3]Name!E2374</f>
        <v>Siv Dayal Debana</v>
      </c>
      <c r="C323" s="13">
        <f>[2]S1!C324</f>
        <v>0</v>
      </c>
      <c r="D323" s="13">
        <f>[2]S1!D324</f>
        <v>0</v>
      </c>
      <c r="E323" s="26">
        <f>[2]S1!E324</f>
        <v>145</v>
      </c>
      <c r="F323" s="26">
        <f>[2]S1!F324</f>
        <v>0</v>
      </c>
      <c r="G323" s="22">
        <f>[2]S1!G324</f>
        <v>0</v>
      </c>
      <c r="H323" s="22">
        <f>[2]S1!H324</f>
        <v>0</v>
      </c>
      <c r="I323" s="22">
        <f>[2]S1!I324</f>
        <v>0</v>
      </c>
      <c r="J323" s="13">
        <f>[2]S1!J324</f>
        <v>0</v>
      </c>
      <c r="K323" s="19">
        <f>[2]S1!K324</f>
        <v>145</v>
      </c>
      <c r="L323" s="52">
        <f>[2]S1!L324</f>
        <v>0</v>
      </c>
      <c r="M323" s="58">
        <f>[2]S1!M324</f>
        <v>0</v>
      </c>
      <c r="N323" s="49">
        <f>[2]S1!P324</f>
        <v>9602834274</v>
      </c>
      <c r="O323" s="14"/>
    </row>
    <row r="324" spans="1:15" x14ac:dyDescent="0.3">
      <c r="A324" s="11">
        <v>3371</v>
      </c>
      <c r="B324" s="12" t="str">
        <f>[3]Name!E2375</f>
        <v>Raju Devi Debana</v>
      </c>
      <c r="C324" s="13">
        <f>[2]S1!C325</f>
        <v>0</v>
      </c>
      <c r="D324" s="13">
        <f>[2]S1!D325</f>
        <v>0</v>
      </c>
      <c r="E324" s="26">
        <f>[2]S1!E325</f>
        <v>200</v>
      </c>
      <c r="F324" s="26">
        <f>[2]S1!F325</f>
        <v>0</v>
      </c>
      <c r="G324" s="22">
        <f>[2]S1!G325</f>
        <v>0</v>
      </c>
      <c r="H324" s="22">
        <f>[2]S1!H325</f>
        <v>0</v>
      </c>
      <c r="I324" s="22">
        <f>[2]S1!I325</f>
        <v>0</v>
      </c>
      <c r="J324" s="13">
        <f>[2]S1!J325</f>
        <v>0</v>
      </c>
      <c r="K324" s="19">
        <f>[2]S1!K325</f>
        <v>200</v>
      </c>
      <c r="L324" s="52">
        <f>[2]S1!L325</f>
        <v>0</v>
      </c>
      <c r="M324" s="58">
        <f>[2]S1!M325</f>
        <v>0</v>
      </c>
      <c r="N324" s="49">
        <f>[2]S1!P325</f>
        <v>9602834274</v>
      </c>
      <c r="O324" s="14"/>
    </row>
    <row r="325" spans="1:15" x14ac:dyDescent="0.3">
      <c r="A325" s="11">
        <v>3372</v>
      </c>
      <c r="B325" s="12" t="str">
        <f>[3]Name!E2376</f>
        <v>Puja Kumari Debana</v>
      </c>
      <c r="C325" s="13">
        <f>[2]S1!C326</f>
        <v>0</v>
      </c>
      <c r="D325" s="13">
        <f>[2]S1!D326</f>
        <v>0</v>
      </c>
      <c r="E325" s="26">
        <f>[2]S1!E326</f>
        <v>200</v>
      </c>
      <c r="F325" s="26">
        <f>[2]S1!F326</f>
        <v>0</v>
      </c>
      <c r="G325" s="22">
        <f>[2]S1!G326</f>
        <v>0</v>
      </c>
      <c r="H325" s="22">
        <f>[2]S1!H326</f>
        <v>0</v>
      </c>
      <c r="I325" s="22">
        <f>[2]S1!I326</f>
        <v>0</v>
      </c>
      <c r="J325" s="13">
        <f>[2]S1!J326</f>
        <v>0</v>
      </c>
      <c r="K325" s="19">
        <f>[2]S1!K326</f>
        <v>200</v>
      </c>
      <c r="L325" s="52">
        <f>[2]S1!L326</f>
        <v>0</v>
      </c>
      <c r="M325" s="58">
        <f>[2]S1!M326</f>
        <v>0</v>
      </c>
      <c r="N325" s="49">
        <f>[2]S1!P326</f>
        <v>9602834274</v>
      </c>
      <c r="O325" s="14"/>
    </row>
    <row r="326" spans="1:15" x14ac:dyDescent="0.3">
      <c r="A326" s="11">
        <v>3373</v>
      </c>
      <c r="B326" s="12" t="str">
        <f>[3]Name!E2377</f>
        <v>Kamalesh Kumar Sigala</v>
      </c>
      <c r="C326" s="13">
        <f>[2]S1!C327</f>
        <v>2100</v>
      </c>
      <c r="D326" s="13">
        <f>[2]S1!D327</f>
        <v>0</v>
      </c>
      <c r="E326" s="26">
        <f>[2]S1!E327</f>
        <v>200</v>
      </c>
      <c r="F326" s="26">
        <f>[2]S1!F327</f>
        <v>0</v>
      </c>
      <c r="G326" s="22">
        <f>[2]S1!G327</f>
        <v>0</v>
      </c>
      <c r="H326" s="22">
        <f>[2]S1!H327</f>
        <v>0</v>
      </c>
      <c r="I326" s="22">
        <f>[2]S1!I327</f>
        <v>185</v>
      </c>
      <c r="J326" s="13">
        <f>[2]S1!J327</f>
        <v>0</v>
      </c>
      <c r="K326" s="19">
        <f>[2]S1!K327</f>
        <v>385</v>
      </c>
      <c r="L326" s="52">
        <f>[2]S1!L327</f>
        <v>18500</v>
      </c>
      <c r="M326" s="58">
        <f>[2]S1!M327</f>
        <v>4</v>
      </c>
      <c r="N326" s="49">
        <f>[2]S1!P327</f>
        <v>9829851393</v>
      </c>
      <c r="O326" s="14"/>
    </row>
    <row r="327" spans="1:15" x14ac:dyDescent="0.3">
      <c r="A327" s="11">
        <v>3374</v>
      </c>
      <c r="B327" s="12" t="str">
        <f>[3]Name!E2378</f>
        <v>Santosh devi Sigala</v>
      </c>
      <c r="C327" s="13">
        <f>[2]S1!C328</f>
        <v>2100</v>
      </c>
      <c r="D327" s="13">
        <f>[2]S1!D328</f>
        <v>0</v>
      </c>
      <c r="E327" s="26">
        <f>[2]S1!E328</f>
        <v>200</v>
      </c>
      <c r="F327" s="26">
        <f>[2]S1!F328</f>
        <v>0</v>
      </c>
      <c r="G327" s="22">
        <f>[2]S1!G328</f>
        <v>0</v>
      </c>
      <c r="H327" s="22">
        <f>[2]S1!H328</f>
        <v>0</v>
      </c>
      <c r="I327" s="22">
        <f>[2]S1!I328</f>
        <v>185</v>
      </c>
      <c r="J327" s="13">
        <f>[2]S1!J328</f>
        <v>0</v>
      </c>
      <c r="K327" s="19">
        <f>[2]S1!K328</f>
        <v>385</v>
      </c>
      <c r="L327" s="52">
        <f>[2]S1!L328</f>
        <v>18468</v>
      </c>
      <c r="M327" s="58">
        <f>[2]S1!M328</f>
        <v>4</v>
      </c>
      <c r="N327" s="49">
        <f>[2]S1!P328</f>
        <v>9829851393</v>
      </c>
      <c r="O327" s="14"/>
    </row>
    <row r="328" spans="1:15" x14ac:dyDescent="0.3">
      <c r="A328" s="11">
        <v>3375</v>
      </c>
      <c r="B328" s="12" t="str">
        <f>[3]Name!E2379</f>
        <v>Raj kuamr Sigala</v>
      </c>
      <c r="C328" s="13">
        <f>[2]S1!C329</f>
        <v>2100</v>
      </c>
      <c r="D328" s="13">
        <f>[2]S1!D329</f>
        <v>0</v>
      </c>
      <c r="E328" s="26">
        <f>[2]S1!E329</f>
        <v>200</v>
      </c>
      <c r="F328" s="26">
        <f>[2]S1!F329</f>
        <v>0</v>
      </c>
      <c r="G328" s="22">
        <f>[2]S1!G329</f>
        <v>0</v>
      </c>
      <c r="H328" s="22">
        <f>[2]S1!H329</f>
        <v>0</v>
      </c>
      <c r="I328" s="22">
        <f>[2]S1!I329</f>
        <v>186</v>
      </c>
      <c r="J328" s="13">
        <f>[2]S1!J329</f>
        <v>0</v>
      </c>
      <c r="K328" s="19">
        <f>[2]S1!K329</f>
        <v>386</v>
      </c>
      <c r="L328" s="52">
        <f>[2]S1!L329</f>
        <v>18600</v>
      </c>
      <c r="M328" s="58">
        <f>[2]S1!M329</f>
        <v>4</v>
      </c>
      <c r="N328" s="49">
        <f>[2]S1!P329</f>
        <v>9829851393</v>
      </c>
      <c r="O328" s="14"/>
    </row>
    <row r="329" spans="1:15" x14ac:dyDescent="0.3">
      <c r="A329" s="11">
        <v>3376</v>
      </c>
      <c r="B329" s="12" t="str">
        <f>[3]Name!E2380</f>
        <v>Payal Kumari Sigala</v>
      </c>
      <c r="C329" s="13">
        <f>[2]S1!C330</f>
        <v>2100</v>
      </c>
      <c r="D329" s="13">
        <f>[2]S1!D330</f>
        <v>0</v>
      </c>
      <c r="E329" s="26">
        <f>[2]S1!E330</f>
        <v>200</v>
      </c>
      <c r="F329" s="26">
        <f>[2]S1!F330</f>
        <v>0</v>
      </c>
      <c r="G329" s="22">
        <f>[2]S1!G330</f>
        <v>0</v>
      </c>
      <c r="H329" s="22">
        <f>[2]S1!H330</f>
        <v>0</v>
      </c>
      <c r="I329" s="22">
        <f>[2]S1!I330</f>
        <v>178</v>
      </c>
      <c r="J329" s="13">
        <f>[2]S1!J330</f>
        <v>0</v>
      </c>
      <c r="K329" s="19">
        <f>[2]S1!K330</f>
        <v>378</v>
      </c>
      <c r="L329" s="52">
        <f>[2]S1!L330</f>
        <v>17781</v>
      </c>
      <c r="M329" s="58">
        <f>[2]S1!M330</f>
        <v>4</v>
      </c>
      <c r="N329" s="49">
        <f>[2]S1!P330</f>
        <v>9829851393</v>
      </c>
      <c r="O329" s="14"/>
    </row>
    <row r="330" spans="1:15" x14ac:dyDescent="0.3">
      <c r="A330" s="11">
        <v>3377</v>
      </c>
      <c r="B330" s="12" t="str">
        <f>[3]Name!E2381</f>
        <v>Manoj Kumar Mandavara</v>
      </c>
      <c r="C330" s="13">
        <f>[2]S1!C331</f>
        <v>13100</v>
      </c>
      <c r="D330" s="13">
        <f>[2]S1!D331</f>
        <v>0</v>
      </c>
      <c r="E330" s="26">
        <f>[2]S1!E331</f>
        <v>194</v>
      </c>
      <c r="F330" s="26">
        <f>[2]S1!F331</f>
        <v>0</v>
      </c>
      <c r="G330" s="22">
        <f>[2]S1!G331</f>
        <v>581</v>
      </c>
      <c r="H330" s="22">
        <f>[2]S1!H331</f>
        <v>0</v>
      </c>
      <c r="I330" s="22">
        <f>[2]S1!I331</f>
        <v>137</v>
      </c>
      <c r="J330" s="13">
        <f>[2]S1!J331</f>
        <v>0</v>
      </c>
      <c r="K330" s="19">
        <f>[2]S1!K331</f>
        <v>912</v>
      </c>
      <c r="L330" s="52">
        <f>[2]S1!L331</f>
        <v>13681</v>
      </c>
      <c r="M330" s="58">
        <f>[2]S1!M331</f>
        <v>5</v>
      </c>
      <c r="N330" s="49">
        <f>[2]S1!P331</f>
        <v>9828669365</v>
      </c>
      <c r="O330" s="14"/>
    </row>
    <row r="331" spans="1:15" x14ac:dyDescent="0.3">
      <c r="A331" s="11">
        <v>3378</v>
      </c>
      <c r="B331" s="12" t="str">
        <f>[3]Name!E2382</f>
        <v>Susila Devi Mandavara</v>
      </c>
      <c r="C331" s="13">
        <f>[2]S1!C332</f>
        <v>13100</v>
      </c>
      <c r="D331" s="13">
        <f>[2]S1!D332</f>
        <v>0</v>
      </c>
      <c r="E331" s="26">
        <f>[2]S1!E332</f>
        <v>200</v>
      </c>
      <c r="F331" s="26">
        <f>[2]S1!F332</f>
        <v>0</v>
      </c>
      <c r="G331" s="22">
        <f>[2]S1!G332</f>
        <v>1500</v>
      </c>
      <c r="H331" s="22">
        <f>[2]S1!H332</f>
        <v>0</v>
      </c>
      <c r="I331" s="22">
        <f>[2]S1!I332</f>
        <v>146</v>
      </c>
      <c r="J331" s="13">
        <f>[2]S1!J332</f>
        <v>0</v>
      </c>
      <c r="K331" s="19">
        <f>[2]S1!K332</f>
        <v>1846</v>
      </c>
      <c r="L331" s="52">
        <f>[2]S1!L332</f>
        <v>14600</v>
      </c>
      <c r="M331" s="58">
        <f>[2]S1!M332</f>
        <v>5</v>
      </c>
      <c r="N331" s="49">
        <f>[2]S1!P332</f>
        <v>9828669365</v>
      </c>
      <c r="O331" s="14"/>
    </row>
    <row r="332" spans="1:15" x14ac:dyDescent="0.3">
      <c r="A332" s="11">
        <v>3379</v>
      </c>
      <c r="B332" s="12" t="str">
        <f>[3]Name!E2383</f>
        <v>Maya Kumari Mandavara</v>
      </c>
      <c r="C332" s="13">
        <f>[2]S1!C333</f>
        <v>13100</v>
      </c>
      <c r="D332" s="13">
        <f>[2]S1!D333</f>
        <v>0</v>
      </c>
      <c r="E332" s="26">
        <f>[2]S1!E333</f>
        <v>200</v>
      </c>
      <c r="F332" s="26">
        <f>[2]S1!F333</f>
        <v>0</v>
      </c>
      <c r="G332" s="22">
        <f>[2]S1!G333</f>
        <v>1500</v>
      </c>
      <c r="H332" s="22">
        <f>[2]S1!H333</f>
        <v>0</v>
      </c>
      <c r="I332" s="22">
        <f>[2]S1!I333</f>
        <v>146</v>
      </c>
      <c r="J332" s="13">
        <f>[2]S1!J333</f>
        <v>0</v>
      </c>
      <c r="K332" s="19">
        <f>[2]S1!K333</f>
        <v>1846</v>
      </c>
      <c r="L332" s="52">
        <f>[2]S1!L333</f>
        <v>14600</v>
      </c>
      <c r="M332" s="58">
        <f>[2]S1!M333</f>
        <v>5</v>
      </c>
      <c r="N332" s="49">
        <f>[2]S1!P333</f>
        <v>9828669365</v>
      </c>
      <c r="O332" s="14"/>
    </row>
    <row r="333" spans="1:15" x14ac:dyDescent="0.3">
      <c r="A333" s="11">
        <v>3380</v>
      </c>
      <c r="B333" s="12" t="str">
        <f>[3]Name!E2384</f>
        <v>Ramnarayan Balai</v>
      </c>
      <c r="C333" s="13">
        <f>[2]S1!C334</f>
        <v>1000</v>
      </c>
      <c r="D333" s="13">
        <f>[2]S1!D334</f>
        <v>0</v>
      </c>
      <c r="E333" s="26">
        <f>[2]S1!E334</f>
        <v>200</v>
      </c>
      <c r="F333" s="26">
        <f>[2]S1!F334</f>
        <v>0</v>
      </c>
      <c r="G333" s="22">
        <f>[2]S1!G334</f>
        <v>971</v>
      </c>
      <c r="H333" s="22">
        <f>[2]S1!H334</f>
        <v>0</v>
      </c>
      <c r="I333" s="22">
        <f>[2]S1!I334</f>
        <v>60</v>
      </c>
      <c r="J333" s="13">
        <f>[2]S1!J334</f>
        <v>0</v>
      </c>
      <c r="K333" s="19">
        <f>[2]S1!K334</f>
        <v>1231</v>
      </c>
      <c r="L333" s="52">
        <f>[2]S1!L334</f>
        <v>5971</v>
      </c>
      <c r="M333" s="58">
        <f>[2]S1!M334</f>
        <v>25</v>
      </c>
      <c r="N333" s="49">
        <f>[2]S1!P334</f>
        <v>9929854270</v>
      </c>
      <c r="O333" s="14"/>
    </row>
    <row r="334" spans="1:15" x14ac:dyDescent="0.3">
      <c r="A334" s="11">
        <v>3381</v>
      </c>
      <c r="B334" s="12" t="str">
        <f>[3]Name!E2385</f>
        <v>Hira Devi Balai</v>
      </c>
      <c r="C334" s="13">
        <f>[2]S1!C335</f>
        <v>1000</v>
      </c>
      <c r="D334" s="13">
        <f>[2]S1!D335</f>
        <v>0</v>
      </c>
      <c r="E334" s="26">
        <f>[2]S1!E335</f>
        <v>200</v>
      </c>
      <c r="F334" s="26">
        <f>[2]S1!F335</f>
        <v>0</v>
      </c>
      <c r="G334" s="22">
        <f>[2]S1!G335</f>
        <v>1000</v>
      </c>
      <c r="H334" s="22">
        <f>[2]S1!H335</f>
        <v>0</v>
      </c>
      <c r="I334" s="22">
        <f>[2]S1!I335</f>
        <v>60</v>
      </c>
      <c r="J334" s="13">
        <f>[2]S1!J335</f>
        <v>0</v>
      </c>
      <c r="K334" s="19">
        <f>[2]S1!K335</f>
        <v>1260</v>
      </c>
      <c r="L334" s="52">
        <f>[2]S1!L335</f>
        <v>6000</v>
      </c>
      <c r="M334" s="58">
        <f>[2]S1!M335</f>
        <v>25</v>
      </c>
      <c r="N334" s="49">
        <f>[2]S1!P335</f>
        <v>9929854270</v>
      </c>
      <c r="O334" s="14"/>
    </row>
    <row r="335" spans="1:15" x14ac:dyDescent="0.3">
      <c r="A335" s="11">
        <v>3382</v>
      </c>
      <c r="B335" s="12" t="str">
        <f>[3]Name!E2386</f>
        <v>Sunil Kumar Balai</v>
      </c>
      <c r="C335" s="13">
        <f>[2]S1!C336</f>
        <v>1000</v>
      </c>
      <c r="D335" s="13">
        <f>[2]S1!D336</f>
        <v>0</v>
      </c>
      <c r="E335" s="26">
        <f>[2]S1!E336</f>
        <v>200</v>
      </c>
      <c r="F335" s="26">
        <f>[2]S1!F336</f>
        <v>0</v>
      </c>
      <c r="G335" s="22">
        <f>[2]S1!G336</f>
        <v>1000</v>
      </c>
      <c r="H335" s="22">
        <f>[2]S1!H336</f>
        <v>0</v>
      </c>
      <c r="I335" s="22">
        <f>[2]S1!I336</f>
        <v>180</v>
      </c>
      <c r="J335" s="13">
        <f>[2]S1!J336</f>
        <v>0</v>
      </c>
      <c r="K335" s="19">
        <f>[2]S1!K336</f>
        <v>1380</v>
      </c>
      <c r="L335" s="52">
        <f>[2]S1!L336</f>
        <v>18000</v>
      </c>
      <c r="M335" s="58">
        <f>[2]S1!M336</f>
        <v>13</v>
      </c>
      <c r="N335" s="49">
        <f>[2]S1!P336</f>
        <v>9929854270</v>
      </c>
      <c r="O335" s="14"/>
    </row>
    <row r="336" spans="1:15" x14ac:dyDescent="0.3">
      <c r="A336" s="11">
        <v>3383</v>
      </c>
      <c r="B336" s="12" t="str">
        <f>[3]Name!E2387</f>
        <v>Sunita Kumari Balai</v>
      </c>
      <c r="C336" s="13">
        <f>[2]S1!C337</f>
        <v>1000</v>
      </c>
      <c r="D336" s="13">
        <f>[2]S1!D337</f>
        <v>0</v>
      </c>
      <c r="E336" s="26">
        <f>[2]S1!E337</f>
        <v>200</v>
      </c>
      <c r="F336" s="26">
        <f>[2]S1!F337</f>
        <v>0</v>
      </c>
      <c r="G336" s="22">
        <f>[2]S1!G337</f>
        <v>1000</v>
      </c>
      <c r="H336" s="22">
        <f>[2]S1!H337</f>
        <v>0</v>
      </c>
      <c r="I336" s="22">
        <f>[2]S1!I337</f>
        <v>60</v>
      </c>
      <c r="J336" s="13">
        <f>[2]S1!J337</f>
        <v>0</v>
      </c>
      <c r="K336" s="19">
        <f>[2]S1!K337</f>
        <v>1260</v>
      </c>
      <c r="L336" s="52">
        <f>[2]S1!L337</f>
        <v>6000</v>
      </c>
      <c r="M336" s="58">
        <f>[2]S1!M337</f>
        <v>25</v>
      </c>
      <c r="N336" s="49">
        <f>[2]S1!P337</f>
        <v>9929854270</v>
      </c>
      <c r="O336" s="14"/>
    </row>
    <row r="337" spans="1:15" x14ac:dyDescent="0.3">
      <c r="A337" s="11">
        <v>3384</v>
      </c>
      <c r="B337" s="12" t="str">
        <f>[3]Name!E2388</f>
        <v>Kailash Kumar Balai</v>
      </c>
      <c r="C337" s="13">
        <f>[2]S1!C338</f>
        <v>0</v>
      </c>
      <c r="D337" s="13">
        <f>[2]S1!D338</f>
        <v>0</v>
      </c>
      <c r="E337" s="26">
        <f>[2]S1!E338</f>
        <v>200</v>
      </c>
      <c r="F337" s="26">
        <f>[2]S1!F338</f>
        <v>0</v>
      </c>
      <c r="G337" s="22">
        <f>[2]S1!G338</f>
        <v>0</v>
      </c>
      <c r="H337" s="22">
        <f>[2]S1!H338</f>
        <v>0</v>
      </c>
      <c r="I337" s="22">
        <f>[2]S1!I338</f>
        <v>287</v>
      </c>
      <c r="J337" s="13">
        <f>[2]S1!J338</f>
        <v>0</v>
      </c>
      <c r="K337" s="19">
        <f>[2]S1!K338</f>
        <v>487</v>
      </c>
      <c r="L337" s="52">
        <f>[2]S1!L338</f>
        <v>28700</v>
      </c>
      <c r="M337" s="58">
        <f>[2]S1!M338</f>
        <v>1</v>
      </c>
      <c r="N337" s="49">
        <f>[2]S1!P338</f>
        <v>9929854270</v>
      </c>
      <c r="O337" s="14"/>
    </row>
    <row r="338" spans="1:15" x14ac:dyDescent="0.3">
      <c r="A338" s="11">
        <v>3385</v>
      </c>
      <c r="B338" s="12" t="str">
        <f>[3]Name!E2389</f>
        <v>Ramkisor Kalohiya</v>
      </c>
      <c r="C338" s="13">
        <f>[2]S1!C339</f>
        <v>1000</v>
      </c>
      <c r="D338" s="13">
        <f>[2]S1!D339</f>
        <v>0</v>
      </c>
      <c r="E338" s="26">
        <f>[2]S1!E339</f>
        <v>800</v>
      </c>
      <c r="F338" s="26">
        <f>[2]S1!F339</f>
        <v>127</v>
      </c>
      <c r="G338" s="22">
        <f>[2]S1!G339</f>
        <v>1000</v>
      </c>
      <c r="H338" s="22">
        <f>[2]S1!H339</f>
        <v>61</v>
      </c>
      <c r="I338" s="22">
        <f>[2]S1!I339</f>
        <v>70</v>
      </c>
      <c r="J338" s="13">
        <f>[2]S1!J339</f>
        <v>0</v>
      </c>
      <c r="K338" s="19">
        <f>[2]S1!K339</f>
        <v>2058</v>
      </c>
      <c r="L338" s="52">
        <f>[2]S1!L339</f>
        <v>7000</v>
      </c>
      <c r="M338" s="58">
        <f>[2]S1!M339</f>
        <v>24</v>
      </c>
      <c r="N338" s="49">
        <f>[2]S1!P339</f>
        <v>9571406393</v>
      </c>
      <c r="O338" s="14"/>
    </row>
    <row r="339" spans="1:15" x14ac:dyDescent="0.3">
      <c r="A339" s="11">
        <v>3386</v>
      </c>
      <c r="B339" s="12" t="str">
        <f>[3]Name!E2390</f>
        <v>Badam Devi Kalohiya</v>
      </c>
      <c r="C339" s="13">
        <f>[2]S1!C340</f>
        <v>1000</v>
      </c>
      <c r="D339" s="13">
        <f>[2]S1!D340</f>
        <v>0</v>
      </c>
      <c r="E339" s="26">
        <f>[2]S1!E340</f>
        <v>1244</v>
      </c>
      <c r="F339" s="26">
        <f>[2]S1!F340</f>
        <v>245</v>
      </c>
      <c r="G339" s="22">
        <f>[2]S1!G340</f>
        <v>1000</v>
      </c>
      <c r="H339" s="22">
        <f>[2]S1!H340</f>
        <v>0</v>
      </c>
      <c r="I339" s="22">
        <f>[2]S1!I340</f>
        <v>30</v>
      </c>
      <c r="J339" s="13">
        <f>[2]S1!J340</f>
        <v>0</v>
      </c>
      <c r="K339" s="19">
        <f>[2]S1!K340</f>
        <v>2519</v>
      </c>
      <c r="L339" s="52">
        <f>[2]S1!L340</f>
        <v>3000</v>
      </c>
      <c r="M339" s="58">
        <f>[2]S1!M340</f>
        <v>28</v>
      </c>
      <c r="N339" s="49">
        <f>[2]S1!P340</f>
        <v>9571406393</v>
      </c>
      <c r="O339" s="14"/>
    </row>
    <row r="340" spans="1:15" x14ac:dyDescent="0.3">
      <c r="A340" s="11">
        <v>3387</v>
      </c>
      <c r="B340" s="12" t="str">
        <f>[3]Name!E2391</f>
        <v>Jyoti Kueari Kalohiya</v>
      </c>
      <c r="C340" s="13">
        <f>[2]S1!C341</f>
        <v>1000</v>
      </c>
      <c r="D340" s="13">
        <f>[2]S1!D341</f>
        <v>30</v>
      </c>
      <c r="E340" s="26">
        <f>[2]S1!E341</f>
        <v>1800</v>
      </c>
      <c r="F340" s="26">
        <f>[2]S1!F341</f>
        <v>366</v>
      </c>
      <c r="G340" s="22">
        <f>[2]S1!G341</f>
        <v>1000</v>
      </c>
      <c r="H340" s="22">
        <f>[2]S1!H341</f>
        <v>39</v>
      </c>
      <c r="I340" s="22">
        <f>[2]S1!I341</f>
        <v>30</v>
      </c>
      <c r="J340" s="13">
        <f>[2]S1!J341</f>
        <v>0</v>
      </c>
      <c r="K340" s="19">
        <f>[2]S1!K341</f>
        <v>3235</v>
      </c>
      <c r="L340" s="52">
        <f>[2]S1!L341</f>
        <v>3000</v>
      </c>
      <c r="M340" s="58">
        <f>[2]S1!M341</f>
        <v>28</v>
      </c>
      <c r="N340" s="49">
        <f>[2]S1!P341</f>
        <v>9571406393</v>
      </c>
      <c r="O340" s="14"/>
    </row>
    <row r="341" spans="1:15" x14ac:dyDescent="0.3">
      <c r="A341" s="11">
        <v>3388</v>
      </c>
      <c r="B341" s="12" t="str">
        <f>[3]Name!E2392</f>
        <v>Palak Kueari Kalohiya</v>
      </c>
      <c r="C341" s="13">
        <f>[2]S1!C342</f>
        <v>1000</v>
      </c>
      <c r="D341" s="13">
        <f>[2]S1!D342</f>
        <v>187</v>
      </c>
      <c r="E341" s="26">
        <f>[2]S1!E342</f>
        <v>1372</v>
      </c>
      <c r="F341" s="26">
        <f>[2]S1!F342</f>
        <v>220</v>
      </c>
      <c r="G341" s="22">
        <f>[2]S1!G342</f>
        <v>1188</v>
      </c>
      <c r="H341" s="22">
        <f>[2]S1!H342</f>
        <v>526</v>
      </c>
      <c r="I341" s="22">
        <f>[2]S1!I342</f>
        <v>32</v>
      </c>
      <c r="J341" s="13">
        <f>[2]S1!J342</f>
        <v>0</v>
      </c>
      <c r="K341" s="19">
        <f>[2]S1!K342</f>
        <v>3338</v>
      </c>
      <c r="L341" s="52">
        <f>[2]S1!L342</f>
        <v>3188</v>
      </c>
      <c r="M341" s="58">
        <f>[2]S1!M342</f>
        <v>28</v>
      </c>
      <c r="N341" s="49">
        <f>[2]S1!P342</f>
        <v>9571406393</v>
      </c>
      <c r="O341" s="14"/>
    </row>
    <row r="342" spans="1:15" x14ac:dyDescent="0.3">
      <c r="A342" s="11">
        <v>3389</v>
      </c>
      <c r="B342" s="12" t="str">
        <f>[3]Name!E2393</f>
        <v>Mohit Kuear Kalohiya</v>
      </c>
      <c r="C342" s="13">
        <f>[2]S1!C343</f>
        <v>1000</v>
      </c>
      <c r="D342" s="13">
        <f>[2]S1!D343</f>
        <v>1744</v>
      </c>
      <c r="E342" s="26">
        <f>[2]S1!E343</f>
        <v>3200</v>
      </c>
      <c r="F342" s="26">
        <f>[2]S1!F343</f>
        <v>1270</v>
      </c>
      <c r="G342" s="22">
        <f>[2]S1!G343</f>
        <v>9000</v>
      </c>
      <c r="H342" s="22">
        <f>[2]S1!H343</f>
        <v>2217</v>
      </c>
      <c r="I342" s="22">
        <f>[2]S1!I343</f>
        <v>150</v>
      </c>
      <c r="J342" s="13">
        <f>[2]S1!J343</f>
        <v>0</v>
      </c>
      <c r="K342" s="19">
        <f>[2]S1!K343</f>
        <v>15837</v>
      </c>
      <c r="L342" s="52">
        <f>[2]S1!L343</f>
        <v>15000</v>
      </c>
      <c r="M342" s="58">
        <f>[2]S1!M343</f>
        <v>24</v>
      </c>
      <c r="N342" s="49">
        <f>[2]S1!P343</f>
        <v>9571406393</v>
      </c>
      <c r="O342" s="14"/>
    </row>
    <row r="343" spans="1:15" x14ac:dyDescent="0.3">
      <c r="A343" s="11">
        <v>3390</v>
      </c>
      <c r="B343" s="12" t="str">
        <f>[3]Name!E2394</f>
        <v>Mukesh Kumar Khardiya</v>
      </c>
      <c r="C343" s="13">
        <f>[2]S1!C344</f>
        <v>0</v>
      </c>
      <c r="D343" s="13">
        <f>[2]S1!D344</f>
        <v>0</v>
      </c>
      <c r="E343" s="26">
        <f>[2]S1!E344</f>
        <v>0</v>
      </c>
      <c r="F343" s="26">
        <f>[2]S1!F344</f>
        <v>0</v>
      </c>
      <c r="G343" s="22">
        <f>[2]S1!G344</f>
        <v>0</v>
      </c>
      <c r="H343" s="22">
        <f>[2]S1!H344</f>
        <v>0</v>
      </c>
      <c r="I343" s="22">
        <f>[2]S1!I344</f>
        <v>0</v>
      </c>
      <c r="J343" s="13">
        <f>[2]S1!J344</f>
        <v>0</v>
      </c>
      <c r="K343" s="19">
        <f>[2]S1!K344</f>
        <v>0</v>
      </c>
      <c r="L343" s="52">
        <f>[2]S1!L344</f>
        <v>0</v>
      </c>
      <c r="M343" s="58">
        <f>[2]S1!M344</f>
        <v>0</v>
      </c>
      <c r="N343" s="49">
        <f>[2]S1!P344</f>
        <v>9785421512</v>
      </c>
      <c r="O343" s="14"/>
    </row>
    <row r="344" spans="1:15" x14ac:dyDescent="0.3">
      <c r="A344" s="11">
        <v>3391</v>
      </c>
      <c r="B344" s="12" t="str">
        <f>[3]Name!E2395</f>
        <v>Guddi Devi Khardiya</v>
      </c>
      <c r="C344" s="13">
        <f>[2]S1!C345</f>
        <v>0</v>
      </c>
      <c r="D344" s="13">
        <f>[2]S1!D345</f>
        <v>0</v>
      </c>
      <c r="E344" s="26">
        <f>[2]S1!E345</f>
        <v>0</v>
      </c>
      <c r="F344" s="26">
        <f>[2]S1!F345</f>
        <v>0</v>
      </c>
      <c r="G344" s="22">
        <f>[2]S1!G345</f>
        <v>0</v>
      </c>
      <c r="H344" s="22">
        <f>[2]S1!H345</f>
        <v>0</v>
      </c>
      <c r="I344" s="22">
        <f>[2]S1!I345</f>
        <v>0</v>
      </c>
      <c r="J344" s="13">
        <f>[2]S1!J345</f>
        <v>0</v>
      </c>
      <c r="K344" s="19">
        <f>[2]S1!K345</f>
        <v>0</v>
      </c>
      <c r="L344" s="52">
        <f>[2]S1!L345</f>
        <v>0</v>
      </c>
      <c r="M344" s="58">
        <f>[2]S1!M345</f>
        <v>0</v>
      </c>
      <c r="N344" s="49">
        <f>[2]S1!P345</f>
        <v>9785421512</v>
      </c>
      <c r="O344" s="14"/>
    </row>
    <row r="345" spans="1:15" x14ac:dyDescent="0.3">
      <c r="A345" s="11">
        <v>3392</v>
      </c>
      <c r="B345" s="12" t="str">
        <f>[3]Name!E2396</f>
        <v>Manish Kumar Ladna</v>
      </c>
      <c r="C345" s="13">
        <f>[2]S1!C346</f>
        <v>5000</v>
      </c>
      <c r="D345" s="13">
        <f>[2]S1!D346</f>
        <v>0</v>
      </c>
      <c r="E345" s="26">
        <f>[2]S1!E346</f>
        <v>0</v>
      </c>
      <c r="F345" s="26">
        <f>[2]S1!F346</f>
        <v>0</v>
      </c>
      <c r="G345" s="22">
        <f>[2]S1!G346</f>
        <v>1624</v>
      </c>
      <c r="H345" s="22">
        <f>[2]S1!H346</f>
        <v>0</v>
      </c>
      <c r="I345" s="22">
        <f>[2]S1!I346</f>
        <v>116</v>
      </c>
      <c r="J345" s="13">
        <f>[2]S1!J346</f>
        <v>0</v>
      </c>
      <c r="K345" s="19">
        <f>[2]S1!K346</f>
        <v>1740</v>
      </c>
      <c r="L345" s="52">
        <f>[2]S1!L346</f>
        <v>11624</v>
      </c>
      <c r="M345" s="58">
        <f>[2]S1!M346</f>
        <v>8</v>
      </c>
      <c r="N345" s="49">
        <f>[2]S1!P346</f>
        <v>9352540044</v>
      </c>
      <c r="O345" s="14"/>
    </row>
    <row r="346" spans="1:15" x14ac:dyDescent="0.3">
      <c r="A346" s="11">
        <v>3393</v>
      </c>
      <c r="B346" s="12" t="str">
        <f>[3]Name!E2397</f>
        <v>Urmila Kumari Ladna</v>
      </c>
      <c r="C346" s="13">
        <f>[2]S1!C347</f>
        <v>5000</v>
      </c>
      <c r="D346" s="13">
        <f>[2]S1!D347</f>
        <v>0</v>
      </c>
      <c r="E346" s="26">
        <f>[2]S1!E347</f>
        <v>0</v>
      </c>
      <c r="F346" s="26">
        <f>[2]S1!F347</f>
        <v>0</v>
      </c>
      <c r="G346" s="22">
        <f>[2]S1!G347</f>
        <v>5000</v>
      </c>
      <c r="H346" s="22">
        <f>[2]S1!H347</f>
        <v>0</v>
      </c>
      <c r="I346" s="22">
        <f>[2]S1!I347</f>
        <v>150</v>
      </c>
      <c r="J346" s="13">
        <f>[2]S1!J347</f>
        <v>0</v>
      </c>
      <c r="K346" s="19">
        <f>[2]S1!K347</f>
        <v>5150</v>
      </c>
      <c r="L346" s="52">
        <f>[2]S1!L347</f>
        <v>15000</v>
      </c>
      <c r="M346" s="58">
        <f>[2]S1!M347</f>
        <v>8</v>
      </c>
      <c r="N346" s="49">
        <f>[2]S1!P347</f>
        <v>9352540044</v>
      </c>
      <c r="O346" s="14"/>
    </row>
    <row r="347" spans="1:15" x14ac:dyDescent="0.3">
      <c r="A347" s="11">
        <v>3394</v>
      </c>
      <c r="B347" s="12" t="str">
        <f>[3]Name!E2398</f>
        <v>Gorav Kumar Ladna</v>
      </c>
      <c r="C347" s="13">
        <f>[2]S1!C348</f>
        <v>5000</v>
      </c>
      <c r="D347" s="13">
        <f>[2]S1!D348</f>
        <v>0</v>
      </c>
      <c r="E347" s="26">
        <f>[2]S1!E348</f>
        <v>0</v>
      </c>
      <c r="F347" s="26">
        <f>[2]S1!F348</f>
        <v>0</v>
      </c>
      <c r="G347" s="22">
        <f>[2]S1!G348</f>
        <v>5000</v>
      </c>
      <c r="H347" s="22">
        <f>[2]S1!H348</f>
        <v>0</v>
      </c>
      <c r="I347" s="22">
        <f>[2]S1!I348</f>
        <v>150</v>
      </c>
      <c r="J347" s="13">
        <f>[2]S1!J348</f>
        <v>0</v>
      </c>
      <c r="K347" s="19">
        <f>[2]S1!K348</f>
        <v>5150</v>
      </c>
      <c r="L347" s="52">
        <f>[2]S1!L348</f>
        <v>15000</v>
      </c>
      <c r="M347" s="58">
        <f>[2]S1!M348</f>
        <v>8</v>
      </c>
      <c r="N347" s="49">
        <f>[2]S1!P348</f>
        <v>9352540044</v>
      </c>
      <c r="O347" s="14"/>
    </row>
    <row r="348" spans="1:15" x14ac:dyDescent="0.3">
      <c r="A348" s="11">
        <v>3395</v>
      </c>
      <c r="B348" s="12" t="str">
        <f>[3]Name!E2399</f>
        <v>Lokesh Kumar Ladna</v>
      </c>
      <c r="C348" s="13">
        <f>[2]S1!C349</f>
        <v>5000</v>
      </c>
      <c r="D348" s="13">
        <f>[2]S1!D349</f>
        <v>0</v>
      </c>
      <c r="E348" s="26">
        <f>[2]S1!E349</f>
        <v>0</v>
      </c>
      <c r="F348" s="26">
        <f>[2]S1!F349</f>
        <v>0</v>
      </c>
      <c r="G348" s="22">
        <f>[2]S1!G349</f>
        <v>5000</v>
      </c>
      <c r="H348" s="22">
        <f>[2]S1!H349</f>
        <v>0</v>
      </c>
      <c r="I348" s="22">
        <f>[2]S1!I349</f>
        <v>150</v>
      </c>
      <c r="J348" s="13">
        <f>[2]S1!J349</f>
        <v>0</v>
      </c>
      <c r="K348" s="19">
        <f>[2]S1!K349</f>
        <v>5150</v>
      </c>
      <c r="L348" s="52">
        <f>[2]S1!L349</f>
        <v>15000</v>
      </c>
      <c r="M348" s="58">
        <f>[2]S1!M349</f>
        <v>8</v>
      </c>
      <c r="N348" s="49">
        <f>[2]S1!P349</f>
        <v>9352540044</v>
      </c>
      <c r="O348" s="14"/>
    </row>
    <row r="349" spans="1:15" x14ac:dyDescent="0.3">
      <c r="A349" s="11">
        <v>3396</v>
      </c>
      <c r="B349" s="12" t="str">
        <f>[3]Name!E2400</f>
        <v>Sankar Lal Ladna</v>
      </c>
      <c r="C349" s="13">
        <f>[2]S1!C350</f>
        <v>5000</v>
      </c>
      <c r="D349" s="13">
        <f>[2]S1!D350</f>
        <v>0</v>
      </c>
      <c r="E349" s="26">
        <f>[2]S1!E350</f>
        <v>0</v>
      </c>
      <c r="F349" s="26">
        <f>[2]S1!F350</f>
        <v>0</v>
      </c>
      <c r="G349" s="22">
        <f>[2]S1!G350</f>
        <v>5000</v>
      </c>
      <c r="H349" s="22">
        <f>[2]S1!H350</f>
        <v>0</v>
      </c>
      <c r="I349" s="22">
        <f>[2]S1!I350</f>
        <v>350</v>
      </c>
      <c r="J349" s="13">
        <f>[2]S1!J350</f>
        <v>0</v>
      </c>
      <c r="K349" s="19">
        <f>[2]S1!K350</f>
        <v>5350</v>
      </c>
      <c r="L349" s="52">
        <f>[2]S1!L350</f>
        <v>35000</v>
      </c>
      <c r="M349" s="58">
        <f>[2]S1!M350</f>
        <v>4</v>
      </c>
      <c r="N349" s="49">
        <f>[2]S1!P350</f>
        <v>9352540044</v>
      </c>
      <c r="O349" s="14"/>
    </row>
    <row r="350" spans="1:15" x14ac:dyDescent="0.3">
      <c r="A350" s="11">
        <v>3397</v>
      </c>
      <c r="B350" s="12" t="str">
        <f>[3]Name!E2401</f>
        <v>Sampat Kumar Ladna</v>
      </c>
      <c r="C350" s="13">
        <f>[2]S1!C351</f>
        <v>5000</v>
      </c>
      <c r="D350" s="13">
        <f>[2]S1!D351</f>
        <v>0</v>
      </c>
      <c r="E350" s="26">
        <f>[2]S1!E351</f>
        <v>0</v>
      </c>
      <c r="F350" s="26">
        <f>[2]S1!F351</f>
        <v>0</v>
      </c>
      <c r="G350" s="22">
        <f>[2]S1!G351</f>
        <v>5000</v>
      </c>
      <c r="H350" s="22">
        <f>[2]S1!H351</f>
        <v>0</v>
      </c>
      <c r="I350" s="22">
        <f>[2]S1!I351</f>
        <v>350</v>
      </c>
      <c r="J350" s="13">
        <f>[2]S1!J351</f>
        <v>0</v>
      </c>
      <c r="K350" s="19">
        <f>[2]S1!K351</f>
        <v>5350</v>
      </c>
      <c r="L350" s="52">
        <f>[2]S1!L351</f>
        <v>35000</v>
      </c>
      <c r="M350" s="58">
        <f>[2]S1!M351</f>
        <v>4</v>
      </c>
      <c r="N350" s="49">
        <f>[2]S1!P351</f>
        <v>9352540044</v>
      </c>
      <c r="O350" s="14"/>
    </row>
    <row r="351" spans="1:15" x14ac:dyDescent="0.3">
      <c r="A351" s="11">
        <v>3398</v>
      </c>
      <c r="B351" s="12" t="str">
        <f>[3]Name!E2402</f>
        <v>Ritu Kumari Ladna</v>
      </c>
      <c r="C351" s="13">
        <f>[2]S1!C352</f>
        <v>6000</v>
      </c>
      <c r="D351" s="13">
        <f>[2]S1!D352</f>
        <v>0</v>
      </c>
      <c r="E351" s="26">
        <f>[2]S1!E352</f>
        <v>0</v>
      </c>
      <c r="F351" s="26">
        <f>[2]S1!F352</f>
        <v>0</v>
      </c>
      <c r="G351" s="22">
        <f>[2]S1!G352</f>
        <v>6000</v>
      </c>
      <c r="H351" s="22">
        <f>[2]S1!H352</f>
        <v>0</v>
      </c>
      <c r="I351" s="22">
        <f>[2]S1!I352</f>
        <v>420</v>
      </c>
      <c r="J351" s="13">
        <f>[2]S1!J352</f>
        <v>0</v>
      </c>
      <c r="K351" s="19">
        <f>[2]S1!K352</f>
        <v>6420</v>
      </c>
      <c r="L351" s="52">
        <f>[2]S1!L352</f>
        <v>42000</v>
      </c>
      <c r="M351" s="58">
        <f>[2]S1!M352</f>
        <v>4</v>
      </c>
      <c r="N351" s="49">
        <f>[2]S1!P352</f>
        <v>9352540044</v>
      </c>
      <c r="O351" s="14"/>
    </row>
    <row r="352" spans="1:15" x14ac:dyDescent="0.3">
      <c r="A352" s="11">
        <v>3399</v>
      </c>
      <c r="B352" s="12" t="str">
        <f>[3]Name!E2403</f>
        <v>Rahul Kumar Ladna</v>
      </c>
      <c r="C352" s="13">
        <f>[2]S1!C353</f>
        <v>6000</v>
      </c>
      <c r="D352" s="13">
        <f>[2]S1!D353</f>
        <v>0</v>
      </c>
      <c r="E352" s="26">
        <f>[2]S1!E353</f>
        <v>0</v>
      </c>
      <c r="F352" s="26">
        <f>[2]S1!F353</f>
        <v>0</v>
      </c>
      <c r="G352" s="22">
        <f>[2]S1!G353</f>
        <v>6000</v>
      </c>
      <c r="H352" s="22">
        <f>[2]S1!H353</f>
        <v>0</v>
      </c>
      <c r="I352" s="22">
        <f>[2]S1!I353</f>
        <v>420</v>
      </c>
      <c r="J352" s="13">
        <f>[2]S1!J353</f>
        <v>0</v>
      </c>
      <c r="K352" s="19">
        <f>[2]S1!K353</f>
        <v>6420</v>
      </c>
      <c r="L352" s="52">
        <f>[2]S1!L353</f>
        <v>42000</v>
      </c>
      <c r="M352" s="58">
        <f>[2]S1!M353</f>
        <v>4</v>
      </c>
      <c r="N352" s="49">
        <f>[2]S1!P353</f>
        <v>9352540044</v>
      </c>
      <c r="O352" s="14"/>
    </row>
    <row r="353" spans="1:15" x14ac:dyDescent="0.3">
      <c r="A353" s="11">
        <v>3400</v>
      </c>
      <c r="B353" s="12" t="str">
        <f>[3]Name!E2404</f>
        <v>Anjali Kumari Ladna</v>
      </c>
      <c r="C353" s="13">
        <f>[2]S1!C354</f>
        <v>6000</v>
      </c>
      <c r="D353" s="13">
        <f>[2]S1!D354</f>
        <v>0</v>
      </c>
      <c r="E353" s="26">
        <f>[2]S1!E354</f>
        <v>0</v>
      </c>
      <c r="F353" s="26">
        <f>[2]S1!F354</f>
        <v>0</v>
      </c>
      <c r="G353" s="22">
        <f>[2]S1!G354</f>
        <v>6000</v>
      </c>
      <c r="H353" s="22">
        <f>[2]S1!H354</f>
        <v>0</v>
      </c>
      <c r="I353" s="22">
        <f>[2]S1!I354</f>
        <v>420</v>
      </c>
      <c r="J353" s="13">
        <f>[2]S1!J354</f>
        <v>0</v>
      </c>
      <c r="K353" s="19">
        <f>[2]S1!K354</f>
        <v>6420</v>
      </c>
      <c r="L353" s="52">
        <f>[2]S1!L354</f>
        <v>42000</v>
      </c>
      <c r="M353" s="58">
        <f>[2]S1!M354</f>
        <v>4</v>
      </c>
      <c r="N353" s="49">
        <f>[2]S1!P354</f>
        <v>9352540044</v>
      </c>
      <c r="O353" s="14"/>
    </row>
    <row r="354" spans="1:15" x14ac:dyDescent="0.3">
      <c r="A354" s="11">
        <v>3401</v>
      </c>
      <c r="B354" s="12" t="str">
        <f>[3]Name!E2405</f>
        <v>Ram Kishan Khandelwal</v>
      </c>
      <c r="C354" s="13">
        <f>[2]S1!C355</f>
        <v>0</v>
      </c>
      <c r="D354" s="13">
        <f>[2]S1!D355</f>
        <v>0</v>
      </c>
      <c r="E354" s="26">
        <f>[2]S1!E355</f>
        <v>200</v>
      </c>
      <c r="F354" s="26">
        <f>[2]S1!F355</f>
        <v>0</v>
      </c>
      <c r="G354" s="22">
        <f>[2]S1!G355</f>
        <v>0</v>
      </c>
      <c r="H354" s="22">
        <f>[2]S1!H355</f>
        <v>0</v>
      </c>
      <c r="I354" s="22">
        <f>[2]S1!I355</f>
        <v>501</v>
      </c>
      <c r="J354" s="13">
        <f>[2]S1!J355</f>
        <v>0</v>
      </c>
      <c r="K354" s="19">
        <f>[2]S1!K355</f>
        <v>701</v>
      </c>
      <c r="L354" s="52">
        <f>[2]S1!L355</f>
        <v>50050</v>
      </c>
      <c r="M354" s="58">
        <f>[2]S1!M355</f>
        <v>28</v>
      </c>
      <c r="N354" s="49">
        <f>[2]S1!P355</f>
        <v>9829252118</v>
      </c>
      <c r="O354" s="14"/>
    </row>
    <row r="355" spans="1:15" x14ac:dyDescent="0.3">
      <c r="A355" s="11">
        <v>3402</v>
      </c>
      <c r="B355" s="12" t="str">
        <f>[3]Name!E2406</f>
        <v>Ramji Lal Varma</v>
      </c>
      <c r="C355" s="13">
        <f>[2]S1!C356</f>
        <v>2000</v>
      </c>
      <c r="D355" s="13">
        <f>[2]S1!D356</f>
        <v>0</v>
      </c>
      <c r="E355" s="26">
        <f>[2]S1!E356</f>
        <v>0</v>
      </c>
      <c r="F355" s="26">
        <f>[2]S1!F356</f>
        <v>0</v>
      </c>
      <c r="G355" s="22">
        <f>[2]S1!G356</f>
        <v>772</v>
      </c>
      <c r="H355" s="22">
        <f>[2]S1!H356</f>
        <v>0</v>
      </c>
      <c r="I355" s="22">
        <f>[2]S1!I356</f>
        <v>68</v>
      </c>
      <c r="J355" s="13">
        <f>[2]S1!J356</f>
        <v>0</v>
      </c>
      <c r="K355" s="19">
        <f>[2]S1!K356</f>
        <v>840</v>
      </c>
      <c r="L355" s="52">
        <f>[2]S1!L356</f>
        <v>6772</v>
      </c>
      <c r="M355" s="58">
        <f>[2]S1!M356</f>
        <v>12</v>
      </c>
      <c r="N355" s="49">
        <f>[2]S1!P356</f>
        <v>8005850367</v>
      </c>
      <c r="O355" s="14"/>
    </row>
    <row r="356" spans="1:15" x14ac:dyDescent="0.3">
      <c r="A356" s="11">
        <v>3403</v>
      </c>
      <c r="B356" s="12" t="str">
        <f>[3]Name!E2407</f>
        <v>Surendr Kumar Surela</v>
      </c>
      <c r="C356" s="13">
        <f>[2]S1!C357</f>
        <v>0</v>
      </c>
      <c r="D356" s="13">
        <f>[2]S1!D357</f>
        <v>0</v>
      </c>
      <c r="E356" s="26">
        <f>[2]S1!E357</f>
        <v>200</v>
      </c>
      <c r="F356" s="26">
        <f>[2]S1!F357</f>
        <v>0</v>
      </c>
      <c r="G356" s="22">
        <f>[2]S1!G357</f>
        <v>0</v>
      </c>
      <c r="H356" s="22">
        <f>[2]S1!H357</f>
        <v>0</v>
      </c>
      <c r="I356" s="22">
        <f>[2]S1!I357</f>
        <v>0</v>
      </c>
      <c r="J356" s="13">
        <f>[2]S1!J357</f>
        <v>0</v>
      </c>
      <c r="K356" s="19">
        <f>[2]S1!K357</f>
        <v>200</v>
      </c>
      <c r="L356" s="52">
        <f>[2]S1!L357</f>
        <v>0</v>
      </c>
      <c r="M356" s="58">
        <f>[2]S1!M357</f>
        <v>0</v>
      </c>
      <c r="N356" s="49">
        <f>[2]S1!P357</f>
        <v>9799787631</v>
      </c>
      <c r="O356" s="14"/>
    </row>
    <row r="357" spans="1:15" x14ac:dyDescent="0.3">
      <c r="A357" s="11">
        <v>3404</v>
      </c>
      <c r="B357" s="12" t="str">
        <f>[3]Name!E2408</f>
        <v>Kamalesh devi Surela</v>
      </c>
      <c r="C357" s="13">
        <f>[2]S1!C358</f>
        <v>0</v>
      </c>
      <c r="D357" s="13">
        <f>[2]S1!D358</f>
        <v>0</v>
      </c>
      <c r="E357" s="26">
        <f>[2]S1!E358</f>
        <v>200</v>
      </c>
      <c r="F357" s="26">
        <f>[2]S1!F358</f>
        <v>0</v>
      </c>
      <c r="G357" s="22">
        <f>[2]S1!G358</f>
        <v>0</v>
      </c>
      <c r="H357" s="22">
        <f>[2]S1!H358</f>
        <v>0</v>
      </c>
      <c r="I357" s="22">
        <f>[2]S1!I358</f>
        <v>0</v>
      </c>
      <c r="J357" s="13">
        <f>[2]S1!J358</f>
        <v>0</v>
      </c>
      <c r="K357" s="19">
        <f>[2]S1!K358</f>
        <v>200</v>
      </c>
      <c r="L357" s="52">
        <f>[2]S1!L358</f>
        <v>0</v>
      </c>
      <c r="M357" s="58">
        <f>[2]S1!M358</f>
        <v>0</v>
      </c>
      <c r="N357" s="49">
        <f>[2]S1!P358</f>
        <v>9799787631</v>
      </c>
      <c r="O357" s="14"/>
    </row>
    <row r="358" spans="1:15" x14ac:dyDescent="0.3">
      <c r="A358" s="11">
        <v>3405</v>
      </c>
      <c r="B358" s="12" t="str">
        <f>[3]Name!E2409</f>
        <v>Suresh Chand Khardiya</v>
      </c>
      <c r="C358" s="13">
        <f>[2]S1!C359</f>
        <v>0</v>
      </c>
      <c r="D358" s="13">
        <f>[2]S1!D359</f>
        <v>0</v>
      </c>
      <c r="E358" s="26">
        <f>[2]S1!E359</f>
        <v>1200</v>
      </c>
      <c r="F358" s="26">
        <f>[2]S1!F359</f>
        <v>161</v>
      </c>
      <c r="G358" s="22">
        <f>[2]S1!G359</f>
        <v>6000</v>
      </c>
      <c r="H358" s="22">
        <f>[2]S1!H359</f>
        <v>78</v>
      </c>
      <c r="I358" s="22">
        <f>[2]S1!I359</f>
        <v>360</v>
      </c>
      <c r="J358" s="13">
        <f>[2]S1!J359</f>
        <v>0</v>
      </c>
      <c r="K358" s="19">
        <f>[2]S1!K359</f>
        <v>7799</v>
      </c>
      <c r="L358" s="52">
        <f>[2]S1!L359</f>
        <v>6000</v>
      </c>
      <c r="M358" s="58">
        <f>[2]S1!M359</f>
        <v>6</v>
      </c>
      <c r="N358" s="49">
        <f>[2]S1!P359</f>
        <v>8003886885</v>
      </c>
      <c r="O358" s="14"/>
    </row>
    <row r="359" spans="1:15" x14ac:dyDescent="0.3">
      <c r="A359" s="11">
        <v>3406</v>
      </c>
      <c r="B359" s="12" t="str">
        <f>[3]Name!E2410</f>
        <v>Gita Devi Khadiya</v>
      </c>
      <c r="C359" s="13">
        <f>[2]S1!C360</f>
        <v>0</v>
      </c>
      <c r="D359" s="13">
        <f>[2]S1!D360</f>
        <v>0</v>
      </c>
      <c r="E359" s="26">
        <f>[2]S1!E360</f>
        <v>1200</v>
      </c>
      <c r="F359" s="26">
        <f>[2]S1!F360</f>
        <v>161</v>
      </c>
      <c r="G359" s="22">
        <f>[2]S1!G360</f>
        <v>4613</v>
      </c>
      <c r="H359" s="22">
        <f>[2]S1!H360</f>
        <v>57</v>
      </c>
      <c r="I359" s="22">
        <f>[2]S1!I360</f>
        <v>276</v>
      </c>
      <c r="J359" s="13">
        <f>[2]S1!J360</f>
        <v>0</v>
      </c>
      <c r="K359" s="19">
        <f>[2]S1!K360</f>
        <v>6307</v>
      </c>
      <c r="L359" s="52">
        <f>[2]S1!L360</f>
        <v>4613</v>
      </c>
      <c r="M359" s="58">
        <f>[2]S1!M360</f>
        <v>6</v>
      </c>
      <c r="N359" s="49">
        <f>[2]S1!P360</f>
        <v>8003886885</v>
      </c>
      <c r="O359" s="14"/>
    </row>
    <row r="360" spans="1:15" x14ac:dyDescent="0.3">
      <c r="A360" s="11">
        <v>3407</v>
      </c>
      <c r="B360" s="12" t="str">
        <f>[3]Name!E2411</f>
        <v>Manish Kumar Khardiya</v>
      </c>
      <c r="C360" s="13">
        <f>[2]S1!C361</f>
        <v>1000</v>
      </c>
      <c r="D360" s="13">
        <f>[2]S1!D361</f>
        <v>0</v>
      </c>
      <c r="E360" s="26">
        <f>[2]S1!E361</f>
        <v>396</v>
      </c>
      <c r="F360" s="26">
        <f>[2]S1!F361</f>
        <v>10</v>
      </c>
      <c r="G360" s="22">
        <f>[2]S1!G361</f>
        <v>2000</v>
      </c>
      <c r="H360" s="22">
        <f>[2]S1!H361</f>
        <v>60</v>
      </c>
      <c r="I360" s="22">
        <f>[2]S1!I361</f>
        <v>400</v>
      </c>
      <c r="J360" s="13">
        <f>[2]S1!J361</f>
        <v>0</v>
      </c>
      <c r="K360" s="19">
        <f>[2]S1!K361</f>
        <v>2866</v>
      </c>
      <c r="L360" s="52">
        <f>[2]S1!L361</f>
        <v>20000</v>
      </c>
      <c r="M360" s="58">
        <f>[2]S1!M361</f>
        <v>2</v>
      </c>
      <c r="N360" s="49">
        <f>[2]S1!P361</f>
        <v>8952009200</v>
      </c>
      <c r="O360" s="14"/>
    </row>
    <row r="361" spans="1:15" x14ac:dyDescent="0.3">
      <c r="A361" s="11">
        <v>3408</v>
      </c>
      <c r="B361" s="12" t="str">
        <f>[3]Name!E2412</f>
        <v>Suresh Chand Khardiya</v>
      </c>
      <c r="C361" s="13">
        <f>[2]S1!C362</f>
        <v>0</v>
      </c>
      <c r="D361" s="13">
        <f>[2]S1!D362</f>
        <v>192</v>
      </c>
      <c r="E361" s="26">
        <f>[2]S1!E362</f>
        <v>800</v>
      </c>
      <c r="F361" s="26">
        <f>[2]S1!F362</f>
        <v>51</v>
      </c>
      <c r="G361" s="22">
        <f>[2]S1!G362</f>
        <v>14200</v>
      </c>
      <c r="H361" s="22">
        <f>[2]S1!H362</f>
        <v>717</v>
      </c>
      <c r="I361" s="22">
        <f>[2]S1!I362</f>
        <v>284</v>
      </c>
      <c r="J361" s="13">
        <f>[2]S1!J362</f>
        <v>0</v>
      </c>
      <c r="K361" s="19">
        <f>[2]S1!K362</f>
        <v>16052</v>
      </c>
      <c r="L361" s="52">
        <f>[2]S1!L362</f>
        <v>14200</v>
      </c>
      <c r="M361" s="58">
        <f>[2]S1!M362</f>
        <v>7</v>
      </c>
      <c r="N361" s="49">
        <f>[2]S1!P362</f>
        <v>8386966572</v>
      </c>
      <c r="O361" s="14"/>
    </row>
    <row r="362" spans="1:15" x14ac:dyDescent="0.3">
      <c r="A362" s="11">
        <v>3409</v>
      </c>
      <c r="B362" s="12" t="str">
        <f>[3]Name!E2413</f>
        <v>Hani kumar Khadiya</v>
      </c>
      <c r="C362" s="13">
        <f>[2]S1!C363</f>
        <v>0</v>
      </c>
      <c r="D362" s="13">
        <f>[2]S1!D363</f>
        <v>202</v>
      </c>
      <c r="E362" s="26">
        <f>[2]S1!E363</f>
        <v>800</v>
      </c>
      <c r="F362" s="26">
        <f>[2]S1!F363</f>
        <v>51</v>
      </c>
      <c r="G362" s="22">
        <f>[2]S1!G363</f>
        <v>15000</v>
      </c>
      <c r="H362" s="22">
        <f>[2]S1!H363</f>
        <v>758</v>
      </c>
      <c r="I362" s="22">
        <f>[2]S1!I363</f>
        <v>300</v>
      </c>
      <c r="J362" s="13">
        <f>[2]S1!J363</f>
        <v>0</v>
      </c>
      <c r="K362" s="19">
        <f>[2]S1!K363</f>
        <v>16909</v>
      </c>
      <c r="L362" s="52">
        <f>[2]S1!L363</f>
        <v>15000</v>
      </c>
      <c r="M362" s="58">
        <f>[2]S1!M363</f>
        <v>7</v>
      </c>
      <c r="N362" s="49">
        <f>[2]S1!P363</f>
        <v>8386966572</v>
      </c>
      <c r="O362" s="14"/>
    </row>
    <row r="363" spans="1:15" x14ac:dyDescent="0.3">
      <c r="A363" s="11">
        <v>3410</v>
      </c>
      <c r="B363" s="12" t="str">
        <f>[3]Name!E2414</f>
        <v>Sanjay Bunkar</v>
      </c>
      <c r="C363" s="13">
        <f>[2]S1!C364</f>
        <v>1000</v>
      </c>
      <c r="D363" s="13">
        <f>[2]S1!D364</f>
        <v>20</v>
      </c>
      <c r="E363" s="26">
        <f>[2]S1!E364</f>
        <v>800</v>
      </c>
      <c r="F363" s="26">
        <f>[2]S1!F364</f>
        <v>51</v>
      </c>
      <c r="G363" s="22">
        <f>[2]S1!G364</f>
        <v>4781</v>
      </c>
      <c r="H363" s="22">
        <f>[2]S1!H364</f>
        <v>344</v>
      </c>
      <c r="I363" s="22">
        <f>[2]S1!I364</f>
        <v>356</v>
      </c>
      <c r="J363" s="13">
        <f>[2]S1!J364</f>
        <v>0</v>
      </c>
      <c r="K363" s="19">
        <f>[2]S1!K364</f>
        <v>6332</v>
      </c>
      <c r="L363" s="52">
        <f>[2]S1!L364</f>
        <v>17781</v>
      </c>
      <c r="M363" s="58">
        <f>[2]S1!M364</f>
        <v>7</v>
      </c>
      <c r="N363" s="49">
        <f>[2]S1!P364</f>
        <v>8386966572</v>
      </c>
      <c r="O363" s="14"/>
    </row>
    <row r="364" spans="1:15" x14ac:dyDescent="0.3">
      <c r="A364" s="11">
        <v>3411</v>
      </c>
      <c r="B364" s="12" t="str">
        <f>[3]Name!E2415</f>
        <v>Dharmendr Suniya</v>
      </c>
      <c r="C364" s="13">
        <f>[2]S1!C365</f>
        <v>11300</v>
      </c>
      <c r="D364" s="13">
        <f>[2]S1!D365</f>
        <v>0</v>
      </c>
      <c r="E364" s="26">
        <f>[2]S1!E365</f>
        <v>195</v>
      </c>
      <c r="F364" s="26">
        <f>[2]S1!F365</f>
        <v>0</v>
      </c>
      <c r="G364" s="22">
        <f>[2]S1!G365</f>
        <v>0</v>
      </c>
      <c r="H364" s="22">
        <f>[2]S1!H365</f>
        <v>0</v>
      </c>
      <c r="I364" s="22">
        <f>[2]S1!I365</f>
        <v>88</v>
      </c>
      <c r="J364" s="13">
        <f>[2]S1!J365</f>
        <v>0</v>
      </c>
      <c r="K364" s="19">
        <f>[2]S1!K365</f>
        <v>283</v>
      </c>
      <c r="L364" s="52">
        <f>[2]S1!L365</f>
        <v>8753</v>
      </c>
      <c r="M364" s="58">
        <f>[2]S1!M365</f>
        <v>5</v>
      </c>
      <c r="N364" s="49">
        <f>[2]S1!P365</f>
        <v>9983762227</v>
      </c>
      <c r="O364" s="14"/>
    </row>
    <row r="365" spans="1:15" x14ac:dyDescent="0.3">
      <c r="A365" s="11">
        <v>3412</v>
      </c>
      <c r="B365" s="12" t="str">
        <f>[3]Name!E2416</f>
        <v>Vikki Kumar Suniya</v>
      </c>
      <c r="C365" s="13">
        <f>[2]S1!C366</f>
        <v>12900</v>
      </c>
      <c r="D365" s="13">
        <f>[2]S1!D366</f>
        <v>0</v>
      </c>
      <c r="E365" s="26">
        <f>[2]S1!E366</f>
        <v>200</v>
      </c>
      <c r="F365" s="26">
        <f>[2]S1!F366</f>
        <v>0</v>
      </c>
      <c r="G365" s="22">
        <f>[2]S1!G366</f>
        <v>1500</v>
      </c>
      <c r="H365" s="22">
        <f>[2]S1!H366</f>
        <v>0</v>
      </c>
      <c r="I365" s="22">
        <f>[2]S1!I366</f>
        <v>144</v>
      </c>
      <c r="J365" s="13">
        <f>[2]S1!J366</f>
        <v>0</v>
      </c>
      <c r="K365" s="19">
        <f>[2]S1!K366</f>
        <v>1844</v>
      </c>
      <c r="L365" s="52">
        <f>[2]S1!L366</f>
        <v>14400</v>
      </c>
      <c r="M365" s="58">
        <f>[2]S1!M366</f>
        <v>5</v>
      </c>
      <c r="N365" s="49">
        <f>[2]S1!P366</f>
        <v>9983762227</v>
      </c>
      <c r="O365" s="14"/>
    </row>
    <row r="366" spans="1:15" x14ac:dyDescent="0.3">
      <c r="A366" s="11">
        <v>3413</v>
      </c>
      <c r="B366" s="12" t="str">
        <f>[3]Name!E2417</f>
        <v>Jitendr Kumar Suniya</v>
      </c>
      <c r="C366" s="13">
        <f>[2]S1!C367</f>
        <v>12900</v>
      </c>
      <c r="D366" s="13">
        <f>[2]S1!D367</f>
        <v>0</v>
      </c>
      <c r="E366" s="26">
        <f>[2]S1!E367</f>
        <v>200</v>
      </c>
      <c r="F366" s="26">
        <f>[2]S1!F367</f>
        <v>0</v>
      </c>
      <c r="G366" s="22">
        <f>[2]S1!G367</f>
        <v>1500</v>
      </c>
      <c r="H366" s="22">
        <f>[2]S1!H367</f>
        <v>0</v>
      </c>
      <c r="I366" s="22">
        <f>[2]S1!I367</f>
        <v>144</v>
      </c>
      <c r="J366" s="13">
        <f>[2]S1!J367</f>
        <v>0</v>
      </c>
      <c r="K366" s="19">
        <f>[2]S1!K367</f>
        <v>1844</v>
      </c>
      <c r="L366" s="52">
        <f>[2]S1!L367</f>
        <v>14400</v>
      </c>
      <c r="M366" s="58">
        <f>[2]S1!M367</f>
        <v>5</v>
      </c>
      <c r="N366" s="49">
        <f>[2]S1!P367</f>
        <v>9983762227</v>
      </c>
      <c r="O366" s="14"/>
    </row>
    <row r="367" spans="1:15" x14ac:dyDescent="0.3">
      <c r="A367" s="11">
        <v>3414</v>
      </c>
      <c r="B367" s="12" t="str">
        <f>[3]Name!E2418</f>
        <v>Ram chandr Suniya</v>
      </c>
      <c r="C367" s="13">
        <f>[2]S1!C368</f>
        <v>0</v>
      </c>
      <c r="D367" s="13">
        <f>[2]S1!D368</f>
        <v>0</v>
      </c>
      <c r="E367" s="26">
        <f>[2]S1!E368</f>
        <v>0</v>
      </c>
      <c r="F367" s="26">
        <f>[2]S1!F368</f>
        <v>0</v>
      </c>
      <c r="G367" s="22">
        <f>[2]S1!G368</f>
        <v>0</v>
      </c>
      <c r="H367" s="22">
        <f>[2]S1!H368</f>
        <v>0</v>
      </c>
      <c r="I367" s="22">
        <f>[2]S1!I368</f>
        <v>120</v>
      </c>
      <c r="J367" s="13">
        <f>[2]S1!J368</f>
        <v>0</v>
      </c>
      <c r="K367" s="19">
        <f>[2]S1!K368</f>
        <v>120</v>
      </c>
      <c r="L367" s="52">
        <f>[2]S1!L368</f>
        <v>12000</v>
      </c>
      <c r="M367" s="58">
        <f>[2]S1!M368</f>
        <v>1</v>
      </c>
      <c r="N367" s="49">
        <f>[2]S1!P368</f>
        <v>9983762227</v>
      </c>
      <c r="O367" s="14"/>
    </row>
    <row r="368" spans="1:15" x14ac:dyDescent="0.3">
      <c r="A368" s="11">
        <v>3415</v>
      </c>
      <c r="B368" s="12" t="str">
        <f>[3]Name!E2419</f>
        <v>Dharmendr Suniya</v>
      </c>
      <c r="C368" s="13">
        <f>[2]S1!C369</f>
        <v>0</v>
      </c>
      <c r="D368" s="13">
        <f>[2]S1!D369</f>
        <v>0</v>
      </c>
      <c r="E368" s="26">
        <f>[2]S1!E369</f>
        <v>200</v>
      </c>
      <c r="F368" s="26">
        <f>[2]S1!F369</f>
        <v>0</v>
      </c>
      <c r="G368" s="22">
        <f>[2]S1!G369</f>
        <v>0</v>
      </c>
      <c r="H368" s="22">
        <f>[2]S1!H369</f>
        <v>0</v>
      </c>
      <c r="I368" s="22">
        <f>[2]S1!I369</f>
        <v>0</v>
      </c>
      <c r="J368" s="13">
        <f>[2]S1!J369</f>
        <v>0</v>
      </c>
      <c r="K368" s="19">
        <f>[2]S1!K369</f>
        <v>200</v>
      </c>
      <c r="L368" s="52">
        <f>[2]S1!L369</f>
        <v>0</v>
      </c>
      <c r="M368" s="58">
        <f>[2]S1!M369</f>
        <v>0</v>
      </c>
      <c r="N368" s="49">
        <f>[2]S1!P369</f>
        <v>9983762227</v>
      </c>
      <c r="O368" s="14"/>
    </row>
    <row r="369" spans="1:15" x14ac:dyDescent="0.3">
      <c r="A369" s="11">
        <v>3416</v>
      </c>
      <c r="B369" s="12" t="str">
        <f>[3]Name!E2420</f>
        <v>Santosh Devi Khardiya</v>
      </c>
      <c r="C369" s="13">
        <f>[2]S1!C370</f>
        <v>1000</v>
      </c>
      <c r="D369" s="13">
        <f>[2]S1!D370</f>
        <v>0</v>
      </c>
      <c r="E369" s="26">
        <f>[2]S1!E370</f>
        <v>200</v>
      </c>
      <c r="F369" s="26">
        <f>[2]S1!F370</f>
        <v>0</v>
      </c>
      <c r="G369" s="22">
        <f>[2]S1!G370</f>
        <v>1000</v>
      </c>
      <c r="H369" s="22">
        <f>[2]S1!H370</f>
        <v>0</v>
      </c>
      <c r="I369" s="22">
        <f>[2]S1!I370</f>
        <v>100</v>
      </c>
      <c r="J369" s="13">
        <f>[2]S1!J370</f>
        <v>0</v>
      </c>
      <c r="K369" s="19">
        <f>[2]S1!K370</f>
        <v>1300</v>
      </c>
      <c r="L369" s="52">
        <f>[2]S1!L370</f>
        <v>10000</v>
      </c>
      <c r="M369" s="58">
        <f>[2]S1!M370</f>
        <v>11</v>
      </c>
      <c r="N369" s="49">
        <f>[2]S1!P370</f>
        <v>9785337392</v>
      </c>
      <c r="O369" s="14"/>
    </row>
    <row r="370" spans="1:15" x14ac:dyDescent="0.3">
      <c r="A370" s="11">
        <v>3417</v>
      </c>
      <c r="B370" s="12" t="str">
        <f>[3]Name!E2421</f>
        <v>Bhuli devi</v>
      </c>
      <c r="C370" s="13">
        <f>[2]S1!C371</f>
        <v>300</v>
      </c>
      <c r="D370" s="13">
        <f>[2]S1!D371</f>
        <v>0</v>
      </c>
      <c r="E370" s="26">
        <f>[2]S1!E371</f>
        <v>257</v>
      </c>
      <c r="F370" s="26">
        <f>[2]S1!F371</f>
        <v>3</v>
      </c>
      <c r="G370" s="22">
        <f>[2]S1!G371</f>
        <v>0</v>
      </c>
      <c r="H370" s="22">
        <f>[2]S1!H371</f>
        <v>0</v>
      </c>
      <c r="I370" s="22">
        <f>[2]S1!I371</f>
        <v>31</v>
      </c>
      <c r="J370" s="13">
        <f>[2]S1!J371</f>
        <v>0</v>
      </c>
      <c r="K370" s="19">
        <f>[2]S1!K371</f>
        <v>291</v>
      </c>
      <c r="L370" s="52">
        <f>[2]S1!L371</f>
        <v>3100</v>
      </c>
      <c r="M370" s="58">
        <f>[2]S1!M371</f>
        <v>4</v>
      </c>
      <c r="N370" s="49">
        <f>[2]S1!P371</f>
        <v>9785337392</v>
      </c>
      <c r="O370" s="14"/>
    </row>
    <row r="371" spans="1:15" x14ac:dyDescent="0.3">
      <c r="A371" s="11">
        <v>3418</v>
      </c>
      <c r="B371" s="12" t="str">
        <f>[3]Name!E2422</f>
        <v xml:space="preserve">Govind </v>
      </c>
      <c r="C371" s="13">
        <f>[2]S1!C372</f>
        <v>300</v>
      </c>
      <c r="D371" s="13">
        <f>[2]S1!D372</f>
        <v>0</v>
      </c>
      <c r="E371" s="26">
        <f>[2]S1!E372</f>
        <v>200</v>
      </c>
      <c r="F371" s="26">
        <f>[2]S1!F372</f>
        <v>0</v>
      </c>
      <c r="G371" s="22">
        <f>[2]S1!G372</f>
        <v>0</v>
      </c>
      <c r="H371" s="22">
        <f>[2]S1!H372</f>
        <v>0</v>
      </c>
      <c r="I371" s="22">
        <f>[2]S1!I372</f>
        <v>22</v>
      </c>
      <c r="J371" s="13">
        <f>[2]S1!J372</f>
        <v>0</v>
      </c>
      <c r="K371" s="19">
        <f>[2]S1!K372</f>
        <v>222</v>
      </c>
      <c r="L371" s="52">
        <f>[2]S1!L372</f>
        <v>2210</v>
      </c>
      <c r="M371" s="58">
        <f>[2]S1!M372</f>
        <v>4</v>
      </c>
      <c r="N371" s="49">
        <f>[2]S1!P372</f>
        <v>9785337392</v>
      </c>
      <c r="O371" s="14"/>
    </row>
    <row r="372" spans="1:15" x14ac:dyDescent="0.3">
      <c r="A372" s="11">
        <v>3419</v>
      </c>
      <c r="B372" s="12" t="str">
        <f>[3]Name!E2423</f>
        <v>Lekharam</v>
      </c>
      <c r="C372" s="13">
        <f>[2]S1!C373</f>
        <v>1000</v>
      </c>
      <c r="D372" s="13">
        <f>[2]S1!D373</f>
        <v>0</v>
      </c>
      <c r="E372" s="26">
        <f>[2]S1!E373</f>
        <v>200</v>
      </c>
      <c r="F372" s="26">
        <f>[2]S1!F373</f>
        <v>0</v>
      </c>
      <c r="G372" s="22">
        <f>[2]S1!G373</f>
        <v>1000</v>
      </c>
      <c r="H372" s="22">
        <f>[2]S1!H373</f>
        <v>0</v>
      </c>
      <c r="I372" s="22">
        <f>[2]S1!I373</f>
        <v>70</v>
      </c>
      <c r="J372" s="13">
        <f>[2]S1!J373</f>
        <v>0</v>
      </c>
      <c r="K372" s="19">
        <f>[2]S1!K373</f>
        <v>1270</v>
      </c>
      <c r="L372" s="52">
        <f>[2]S1!L373</f>
        <v>7000</v>
      </c>
      <c r="M372" s="58">
        <f>[2]S1!M373</f>
        <v>14</v>
      </c>
      <c r="N372" s="49">
        <f>[2]S1!P373</f>
        <v>9785337392</v>
      </c>
      <c r="O372" s="14"/>
    </row>
    <row r="373" spans="1:15" x14ac:dyDescent="0.3">
      <c r="A373" s="11">
        <v>3420</v>
      </c>
      <c r="B373" s="12" t="str">
        <f>[3]Name!E2424</f>
        <v>Hanuman Sahay Khardiya</v>
      </c>
      <c r="C373" s="13">
        <f>[2]S1!C374</f>
        <v>2000</v>
      </c>
      <c r="D373" s="13">
        <f>[2]S1!D374</f>
        <v>0</v>
      </c>
      <c r="E373" s="26">
        <f>[2]S1!E374</f>
        <v>200</v>
      </c>
      <c r="F373" s="26">
        <f>[2]S1!F374</f>
        <v>0</v>
      </c>
      <c r="G373" s="22">
        <f>[2]S1!G374</f>
        <v>3572</v>
      </c>
      <c r="H373" s="22">
        <f>[2]S1!H374</f>
        <v>79</v>
      </c>
      <c r="I373" s="22">
        <f>[2]S1!I374</f>
        <v>376</v>
      </c>
      <c r="J373" s="13">
        <f>[2]S1!J374</f>
        <v>0</v>
      </c>
      <c r="K373" s="19">
        <f>[2]S1!K374</f>
        <v>4227</v>
      </c>
      <c r="L373" s="52">
        <f>[2]S1!L374</f>
        <v>37572</v>
      </c>
      <c r="M373" s="58">
        <f>[2]S1!M374</f>
        <v>3</v>
      </c>
      <c r="N373" s="49">
        <f>[2]S1!P374</f>
        <v>7791888847</v>
      </c>
      <c r="O373" s="14"/>
    </row>
    <row r="374" spans="1:15" x14ac:dyDescent="0.3">
      <c r="A374" s="11">
        <v>3421</v>
      </c>
      <c r="B374" s="12" t="str">
        <f>[3]Name!E2425</f>
        <v>Ful Chand Khardiya</v>
      </c>
      <c r="C374" s="13">
        <f>[2]S1!C375</f>
        <v>0</v>
      </c>
      <c r="D374" s="13">
        <f>[2]S1!D375</f>
        <v>0</v>
      </c>
      <c r="E374" s="26">
        <f>[2]S1!E375</f>
        <v>200</v>
      </c>
      <c r="F374" s="26">
        <f>[2]S1!F375</f>
        <v>0</v>
      </c>
      <c r="G374" s="22">
        <f>[2]S1!G375</f>
        <v>0</v>
      </c>
      <c r="H374" s="22">
        <f>[2]S1!H375</f>
        <v>0</v>
      </c>
      <c r="I374" s="22">
        <f>[2]S1!I375</f>
        <v>0</v>
      </c>
      <c r="J374" s="13">
        <f>[2]S1!J375</f>
        <v>0</v>
      </c>
      <c r="K374" s="19">
        <f>[2]S1!K375</f>
        <v>200</v>
      </c>
      <c r="L374" s="52">
        <f>[2]S1!L375</f>
        <v>0</v>
      </c>
      <c r="M374" s="58">
        <f>[2]S1!M375</f>
        <v>0</v>
      </c>
      <c r="N374" s="49">
        <f>[2]S1!P375</f>
        <v>7791888847</v>
      </c>
      <c r="O374" s="14"/>
    </row>
    <row r="375" spans="1:15" x14ac:dyDescent="0.3">
      <c r="A375" s="11">
        <v>3422</v>
      </c>
      <c r="B375" s="12" t="str">
        <f>[3]Name!E2426</f>
        <v>Sita Devi Khardiya</v>
      </c>
      <c r="C375" s="13">
        <f>[2]S1!C376</f>
        <v>700</v>
      </c>
      <c r="D375" s="13">
        <f>[2]S1!D376</f>
        <v>0</v>
      </c>
      <c r="E375" s="26">
        <f>[2]S1!E376</f>
        <v>200</v>
      </c>
      <c r="F375" s="26">
        <f>[2]S1!F376</f>
        <v>0</v>
      </c>
      <c r="G375" s="22">
        <f>[2]S1!G376</f>
        <v>700</v>
      </c>
      <c r="H375" s="22">
        <f>[2]S1!H376</f>
        <v>0</v>
      </c>
      <c r="I375" s="22">
        <f>[2]S1!I376</f>
        <v>18</v>
      </c>
      <c r="J375" s="13">
        <f>[2]S1!J376</f>
        <v>0</v>
      </c>
      <c r="K375" s="19">
        <f>[2]S1!K376</f>
        <v>918</v>
      </c>
      <c r="L375" s="52">
        <f>[2]S1!L376</f>
        <v>1800</v>
      </c>
      <c r="M375" s="58">
        <f>[2]S1!M376</f>
        <v>27</v>
      </c>
      <c r="N375" s="49">
        <f>[2]S1!P376</f>
        <v>7791888847</v>
      </c>
      <c r="O375" s="14"/>
    </row>
    <row r="376" spans="1:15" x14ac:dyDescent="0.3">
      <c r="A376" s="11">
        <v>3423</v>
      </c>
      <c r="B376" s="12" t="str">
        <f>[3]Name!E2427</f>
        <v>Om Prakash Bagadi</v>
      </c>
      <c r="C376" s="13">
        <f>[2]S1!C377</f>
        <v>21000</v>
      </c>
      <c r="D376" s="13">
        <f>[2]S1!D377</f>
        <v>0</v>
      </c>
      <c r="E376" s="26">
        <f>[2]S1!E377</f>
        <v>0</v>
      </c>
      <c r="F376" s="26">
        <f>[2]S1!F377</f>
        <v>0</v>
      </c>
      <c r="G376" s="22">
        <f>[2]S1!G377</f>
        <v>1000</v>
      </c>
      <c r="H376" s="22">
        <f>[2]S1!H377</f>
        <v>0</v>
      </c>
      <c r="I376" s="22">
        <f>[2]S1!I377</f>
        <v>220</v>
      </c>
      <c r="J376" s="13">
        <f>[2]S1!J377</f>
        <v>0</v>
      </c>
      <c r="K376" s="19">
        <f>[2]S1!K377</f>
        <v>1220</v>
      </c>
      <c r="L376" s="52">
        <f>[2]S1!L377</f>
        <v>22000</v>
      </c>
      <c r="M376" s="58">
        <f>[2]S1!M377</f>
        <v>9</v>
      </c>
      <c r="N376" s="49">
        <f>[2]S1!P377</f>
        <v>9602489968</v>
      </c>
      <c r="O376" s="14"/>
    </row>
    <row r="377" spans="1:15" x14ac:dyDescent="0.3">
      <c r="A377" s="11">
        <v>3424</v>
      </c>
      <c r="B377" s="12" t="str">
        <f>[3]Name!E2428</f>
        <v>Mmata devi Bagadi</v>
      </c>
      <c r="C377" s="13">
        <f>[2]S1!C378</f>
        <v>21000</v>
      </c>
      <c r="D377" s="13">
        <f>[2]S1!D378</f>
        <v>0</v>
      </c>
      <c r="E377" s="26">
        <f>[2]S1!E378</f>
        <v>0</v>
      </c>
      <c r="F377" s="26">
        <f>[2]S1!F378</f>
        <v>0</v>
      </c>
      <c r="G377" s="22">
        <f>[2]S1!G378</f>
        <v>1000</v>
      </c>
      <c r="H377" s="22">
        <f>[2]S1!H378</f>
        <v>0</v>
      </c>
      <c r="I377" s="22">
        <f>[2]S1!I378</f>
        <v>220</v>
      </c>
      <c r="J377" s="13">
        <f>[2]S1!J378</f>
        <v>0</v>
      </c>
      <c r="K377" s="19">
        <f>[2]S1!K378</f>
        <v>1220</v>
      </c>
      <c r="L377" s="52">
        <f>[2]S1!L378</f>
        <v>22000</v>
      </c>
      <c r="M377" s="58">
        <f>[2]S1!M378</f>
        <v>9</v>
      </c>
      <c r="N377" s="49">
        <f>[2]S1!P378</f>
        <v>9602489968</v>
      </c>
      <c r="O377" s="14"/>
    </row>
    <row r="378" spans="1:15" x14ac:dyDescent="0.3">
      <c r="A378" s="11">
        <v>3425</v>
      </c>
      <c r="B378" s="12" t="str">
        <f>[3]Name!E2429</f>
        <v>Hauman Sahay Bayala</v>
      </c>
      <c r="C378" s="13">
        <f>[2]S1!C379</f>
        <v>500</v>
      </c>
      <c r="D378" s="13">
        <f>[2]S1!D379</f>
        <v>0</v>
      </c>
      <c r="E378" s="26">
        <f>[2]S1!E379</f>
        <v>0</v>
      </c>
      <c r="F378" s="26">
        <f>[2]S1!F379</f>
        <v>0</v>
      </c>
      <c r="G378" s="22">
        <f>[2]S1!G379</f>
        <v>500</v>
      </c>
      <c r="H378" s="22">
        <f>[2]S1!H379</f>
        <v>0</v>
      </c>
      <c r="I378" s="22">
        <f>[2]S1!I379</f>
        <v>285</v>
      </c>
      <c r="J378" s="13">
        <f>[2]S1!J379</f>
        <v>0</v>
      </c>
      <c r="K378" s="19">
        <f>[2]S1!K379</f>
        <v>785</v>
      </c>
      <c r="L378" s="52">
        <f>[2]S1!L379</f>
        <v>28500</v>
      </c>
      <c r="M378" s="58">
        <f>[2]S1!M379</f>
        <v>4</v>
      </c>
      <c r="N378" s="49">
        <f>[2]S1!P379</f>
        <v>9887923580</v>
      </c>
      <c r="O378" s="14"/>
    </row>
    <row r="379" spans="1:15" x14ac:dyDescent="0.3">
      <c r="A379" s="11">
        <v>3426</v>
      </c>
      <c r="B379" s="12" t="str">
        <f>[3]Name!E2430</f>
        <v>Bhavana Bhati</v>
      </c>
      <c r="C379" s="13">
        <f>[2]S1!C380</f>
        <v>1400</v>
      </c>
      <c r="D379" s="13">
        <f>[2]S1!D380</f>
        <v>0</v>
      </c>
      <c r="E379" s="26">
        <f>[2]S1!E380</f>
        <v>200</v>
      </c>
      <c r="F379" s="26">
        <f>[2]S1!F380</f>
        <v>0</v>
      </c>
      <c r="G379" s="22">
        <f>[2]S1!G380</f>
        <v>0</v>
      </c>
      <c r="H379" s="22">
        <f>[2]S1!H380</f>
        <v>0</v>
      </c>
      <c r="I379" s="22">
        <f>[2]S1!I380</f>
        <v>129</v>
      </c>
      <c r="J379" s="13">
        <f>[2]S1!J380</f>
        <v>0</v>
      </c>
      <c r="K379" s="19">
        <f>[2]S1!K380</f>
        <v>329</v>
      </c>
      <c r="L379" s="52">
        <f>[2]S1!L380</f>
        <v>12938</v>
      </c>
      <c r="M379" s="58">
        <f>[2]S1!M380</f>
        <v>4</v>
      </c>
      <c r="N379" s="49">
        <f>[2]S1!P380</f>
        <v>9983266659</v>
      </c>
      <c r="O379" s="14"/>
    </row>
    <row r="380" spans="1:15" x14ac:dyDescent="0.3">
      <c r="A380" s="11">
        <v>3427</v>
      </c>
      <c r="B380" s="12" t="str">
        <f>[3]Name!E2431</f>
        <v>Gokul Das Panda</v>
      </c>
      <c r="C380" s="13">
        <f>[2]S1!C381</f>
        <v>1500</v>
      </c>
      <c r="D380" s="13">
        <f>[2]S1!D381</f>
        <v>0</v>
      </c>
      <c r="E380" s="26">
        <f>[2]S1!E381</f>
        <v>0</v>
      </c>
      <c r="F380" s="26">
        <f>[2]S1!F381</f>
        <v>0</v>
      </c>
      <c r="G380" s="22">
        <f>[2]S1!G381</f>
        <v>1500</v>
      </c>
      <c r="H380" s="22">
        <f>[2]S1!H381</f>
        <v>0</v>
      </c>
      <c r="I380" s="22">
        <f>[2]S1!I381</f>
        <v>195</v>
      </c>
      <c r="J380" s="13">
        <f>[2]S1!J381</f>
        <v>0</v>
      </c>
      <c r="K380" s="19">
        <f>[2]S1!K381</f>
        <v>1695</v>
      </c>
      <c r="L380" s="52">
        <f>[2]S1!L381</f>
        <v>19500</v>
      </c>
      <c r="M380" s="58">
        <f>[2]S1!M381</f>
        <v>8</v>
      </c>
      <c r="N380" s="49">
        <f>[2]S1!P381</f>
        <v>9929216977</v>
      </c>
      <c r="O380" s="14"/>
    </row>
    <row r="381" spans="1:15" x14ac:dyDescent="0.3">
      <c r="A381" s="11">
        <v>3428</v>
      </c>
      <c r="B381" s="12" t="str">
        <f>[3]Name!E2432</f>
        <v>Mohit Kumar Panda</v>
      </c>
      <c r="C381" s="13">
        <f>[2]S1!C382</f>
        <v>1000</v>
      </c>
      <c r="D381" s="13">
        <f>[2]S1!D382</f>
        <v>0</v>
      </c>
      <c r="E381" s="26">
        <f>[2]S1!E382</f>
        <v>200</v>
      </c>
      <c r="F381" s="26">
        <f>[2]S1!F382</f>
        <v>0</v>
      </c>
      <c r="G381" s="22">
        <f>[2]S1!G382</f>
        <v>0</v>
      </c>
      <c r="H381" s="22">
        <f>[2]S1!H382</f>
        <v>0</v>
      </c>
      <c r="I381" s="22">
        <f>[2]S1!I382</f>
        <v>77</v>
      </c>
      <c r="J381" s="13">
        <f>[2]S1!J382</f>
        <v>0</v>
      </c>
      <c r="K381" s="19">
        <f>[2]S1!K382</f>
        <v>277</v>
      </c>
      <c r="L381" s="52">
        <f>[2]S1!L382</f>
        <v>7680</v>
      </c>
      <c r="M381" s="58">
        <f>[2]S1!M382</f>
        <v>12</v>
      </c>
      <c r="N381" s="49">
        <f>[2]S1!P382</f>
        <v>9929216977</v>
      </c>
      <c r="O381" s="14"/>
    </row>
    <row r="382" spans="1:15" x14ac:dyDescent="0.3">
      <c r="A382" s="11">
        <v>3429</v>
      </c>
      <c r="B382" s="12" t="str">
        <f>[3]Name!E2433</f>
        <v>Dixa Kumari Panda</v>
      </c>
      <c r="C382" s="13">
        <f>[2]S1!C383</f>
        <v>1500</v>
      </c>
      <c r="D382" s="13">
        <f>[2]S1!D383</f>
        <v>0</v>
      </c>
      <c r="E382" s="26">
        <f>[2]S1!E383</f>
        <v>0</v>
      </c>
      <c r="F382" s="26">
        <f>[2]S1!F383</f>
        <v>0</v>
      </c>
      <c r="G382" s="22">
        <f>[2]S1!G383</f>
        <v>1500</v>
      </c>
      <c r="H382" s="22">
        <f>[2]S1!H383</f>
        <v>0</v>
      </c>
      <c r="I382" s="22">
        <f>[2]S1!I383</f>
        <v>135</v>
      </c>
      <c r="J382" s="13">
        <f>[2]S1!J383</f>
        <v>0</v>
      </c>
      <c r="K382" s="19">
        <f>[2]S1!K383</f>
        <v>1635</v>
      </c>
      <c r="L382" s="52">
        <f>[2]S1!L383</f>
        <v>13500</v>
      </c>
      <c r="M382" s="58">
        <f>[2]S1!M383</f>
        <v>12</v>
      </c>
      <c r="N382" s="49">
        <f>[2]S1!P383</f>
        <v>9929216977</v>
      </c>
      <c r="O382" s="14"/>
    </row>
    <row r="383" spans="1:15" x14ac:dyDescent="0.3">
      <c r="A383" s="11">
        <v>3430</v>
      </c>
      <c r="B383" s="12" t="str">
        <f>[3]Name!E2434</f>
        <v>Jitendr Kumar Lekhara</v>
      </c>
      <c r="C383" s="13">
        <f>[2]S1!C384</f>
        <v>0</v>
      </c>
      <c r="D383" s="13">
        <f>[2]S1!D384</f>
        <v>18035</v>
      </c>
      <c r="E383" s="26">
        <f>[2]S1!E384</f>
        <v>4400</v>
      </c>
      <c r="F383" s="26">
        <f>[2]S1!F384</f>
        <v>3284</v>
      </c>
      <c r="G383" s="22">
        <f>[2]S1!G384</f>
        <v>18414</v>
      </c>
      <c r="H383" s="22">
        <f>[2]S1!H384</f>
        <v>19260</v>
      </c>
      <c r="I383" s="22">
        <f>[2]S1!I384</f>
        <v>4113</v>
      </c>
      <c r="J383" s="13">
        <f>[2]S1!J384</f>
        <v>0</v>
      </c>
      <c r="K383" s="19">
        <f>[2]S1!K384</f>
        <v>49471</v>
      </c>
      <c r="L383" s="52">
        <f>[2]S1!L384</f>
        <v>18414</v>
      </c>
      <c r="M383" s="58">
        <f>[2]S1!M384</f>
        <v>23</v>
      </c>
      <c r="N383" s="49">
        <f>[2]S1!P384</f>
        <v>9782358409</v>
      </c>
      <c r="O383" s="14"/>
    </row>
    <row r="384" spans="1:15" x14ac:dyDescent="0.3">
      <c r="A384" s="11">
        <v>3431</v>
      </c>
      <c r="B384" s="12" t="str">
        <f>[3]Name!E2435</f>
        <v>Kamlesh Lekhara</v>
      </c>
      <c r="C384" s="13">
        <f>[2]S1!C385</f>
        <v>0</v>
      </c>
      <c r="D384" s="13">
        <f>[2]S1!D385</f>
        <v>18200</v>
      </c>
      <c r="E384" s="26">
        <f>[2]S1!E385</f>
        <v>4400</v>
      </c>
      <c r="F384" s="26">
        <f>[2]S1!F385</f>
        <v>3301</v>
      </c>
      <c r="G384" s="22">
        <f>[2]S1!G385</f>
        <v>18500</v>
      </c>
      <c r="H384" s="22">
        <f>[2]S1!H385</f>
        <v>19449</v>
      </c>
      <c r="I384" s="22">
        <f>[2]S1!I385</f>
        <v>4135</v>
      </c>
      <c r="J384" s="13">
        <f>[2]S1!J385</f>
        <v>0</v>
      </c>
      <c r="K384" s="19">
        <f>[2]S1!K385</f>
        <v>49785</v>
      </c>
      <c r="L384" s="52">
        <f>[2]S1!L385</f>
        <v>18500</v>
      </c>
      <c r="M384" s="58">
        <f>[2]S1!M385</f>
        <v>23</v>
      </c>
      <c r="N384" s="49">
        <f>[2]S1!P385</f>
        <v>9782358409</v>
      </c>
      <c r="O384" s="14"/>
    </row>
    <row r="385" spans="1:15" x14ac:dyDescent="0.3">
      <c r="A385" s="11">
        <v>3432</v>
      </c>
      <c r="B385" s="12" t="str">
        <f>[3]Name!E2436</f>
        <v>Ram Karan Bal</v>
      </c>
      <c r="C385" s="13">
        <f>[2]S1!C386</f>
        <v>0</v>
      </c>
      <c r="D385" s="13">
        <f>[2]S1!D386</f>
        <v>0</v>
      </c>
      <c r="E385" s="26">
        <f>[2]S1!E386</f>
        <v>200</v>
      </c>
      <c r="F385" s="26">
        <f>[2]S1!F386</f>
        <v>0</v>
      </c>
      <c r="G385" s="22">
        <f>[2]S1!G386</f>
        <v>0</v>
      </c>
      <c r="H385" s="22">
        <f>[2]S1!H386</f>
        <v>0</v>
      </c>
      <c r="I385" s="22">
        <f>[2]S1!I386</f>
        <v>0</v>
      </c>
      <c r="J385" s="13">
        <f>[2]S1!J386</f>
        <v>0</v>
      </c>
      <c r="K385" s="19">
        <f>[2]S1!K386</f>
        <v>200</v>
      </c>
      <c r="L385" s="52">
        <f>[2]S1!L386</f>
        <v>0</v>
      </c>
      <c r="M385" s="58">
        <f>[2]S1!M386</f>
        <v>0</v>
      </c>
      <c r="N385" s="49">
        <f>[2]S1!P386</f>
        <v>9314110308</v>
      </c>
      <c r="O385" s="14"/>
    </row>
    <row r="386" spans="1:15" x14ac:dyDescent="0.3">
      <c r="A386" s="11">
        <v>3433</v>
      </c>
      <c r="B386" s="12" t="str">
        <f>[3]Name!E2437</f>
        <v>Puja Kumari Bal</v>
      </c>
      <c r="C386" s="13">
        <f>[2]S1!C387</f>
        <v>0</v>
      </c>
      <c r="D386" s="13">
        <f>[2]S1!D387</f>
        <v>0</v>
      </c>
      <c r="E386" s="26">
        <f>[2]S1!E387</f>
        <v>200</v>
      </c>
      <c r="F386" s="26">
        <f>[2]S1!F387</f>
        <v>0</v>
      </c>
      <c r="G386" s="22">
        <f>[2]S1!G387</f>
        <v>0</v>
      </c>
      <c r="H386" s="22">
        <f>[2]S1!H387</f>
        <v>0</v>
      </c>
      <c r="I386" s="22">
        <f>[2]S1!I387</f>
        <v>0</v>
      </c>
      <c r="J386" s="13">
        <f>[2]S1!J387</f>
        <v>0</v>
      </c>
      <c r="K386" s="19">
        <f>[2]S1!K387</f>
        <v>200</v>
      </c>
      <c r="L386" s="52">
        <f>[2]S1!L387</f>
        <v>0</v>
      </c>
      <c r="M386" s="58">
        <f>[2]S1!M387</f>
        <v>0</v>
      </c>
      <c r="N386" s="49">
        <f>[2]S1!P387</f>
        <v>9314110308</v>
      </c>
      <c r="O386" s="14"/>
    </row>
    <row r="387" spans="1:15" x14ac:dyDescent="0.3">
      <c r="A387" s="11">
        <v>3434</v>
      </c>
      <c r="B387" s="12" t="str">
        <f>[3]Name!E2438</f>
        <v>Aarati Kumari Bal</v>
      </c>
      <c r="C387" s="13">
        <f>[2]S1!C388</f>
        <v>18000</v>
      </c>
      <c r="D387" s="13">
        <f>[2]S1!D388</f>
        <v>0</v>
      </c>
      <c r="E387" s="26">
        <f>[2]S1!E388</f>
        <v>200</v>
      </c>
      <c r="F387" s="26">
        <f>[2]S1!F388</f>
        <v>0</v>
      </c>
      <c r="G387" s="22">
        <f>[2]S1!G388</f>
        <v>2000</v>
      </c>
      <c r="H387" s="22">
        <f>[2]S1!H388</f>
        <v>0</v>
      </c>
      <c r="I387" s="22">
        <f>[2]S1!I388</f>
        <v>200</v>
      </c>
      <c r="J387" s="13">
        <f>[2]S1!J388</f>
        <v>0</v>
      </c>
      <c r="K387" s="19">
        <f>[2]S1!K388</f>
        <v>2400</v>
      </c>
      <c r="L387" s="52">
        <f>[2]S1!L388</f>
        <v>20000</v>
      </c>
      <c r="M387" s="58">
        <f>[2]S1!M388</f>
        <v>5</v>
      </c>
      <c r="N387" s="49">
        <f>[2]S1!P388</f>
        <v>9314110308</v>
      </c>
      <c r="O387" s="14"/>
    </row>
    <row r="388" spans="1:15" x14ac:dyDescent="0.3">
      <c r="A388" s="11">
        <v>3435</v>
      </c>
      <c r="B388" s="12" t="str">
        <f>[3]Name!E2439</f>
        <v>Mohan Bal</v>
      </c>
      <c r="C388" s="13">
        <f>[2]S1!C389</f>
        <v>0</v>
      </c>
      <c r="D388" s="13">
        <f>[2]S1!D389</f>
        <v>0</v>
      </c>
      <c r="E388" s="26">
        <f>[2]S1!E389</f>
        <v>200</v>
      </c>
      <c r="F388" s="26">
        <f>[2]S1!F389</f>
        <v>0</v>
      </c>
      <c r="G388" s="22">
        <f>[2]S1!G389</f>
        <v>0</v>
      </c>
      <c r="H388" s="22">
        <f>[2]S1!H389</f>
        <v>0</v>
      </c>
      <c r="I388" s="22">
        <f>[2]S1!I389</f>
        <v>0</v>
      </c>
      <c r="J388" s="13">
        <f>[2]S1!J389</f>
        <v>0</v>
      </c>
      <c r="K388" s="19">
        <f>[2]S1!K389</f>
        <v>200</v>
      </c>
      <c r="L388" s="52">
        <f>[2]S1!L389</f>
        <v>0</v>
      </c>
      <c r="M388" s="58">
        <f>[2]S1!M389</f>
        <v>0</v>
      </c>
      <c r="N388" s="49">
        <f>[2]S1!P389</f>
        <v>9314110308</v>
      </c>
      <c r="O388" s="14"/>
    </row>
    <row r="389" spans="1:15" x14ac:dyDescent="0.3">
      <c r="A389" s="11">
        <v>3436</v>
      </c>
      <c r="B389" s="12" t="str">
        <f>[3]Name!E2440</f>
        <v>Birdichad Bal</v>
      </c>
      <c r="C389" s="13">
        <f>[2]S1!C390</f>
        <v>1000</v>
      </c>
      <c r="D389" s="13">
        <f>[2]S1!D390</f>
        <v>0</v>
      </c>
      <c r="E389" s="26">
        <f>[2]S1!E390</f>
        <v>200</v>
      </c>
      <c r="F389" s="26">
        <f>[2]S1!F390</f>
        <v>0</v>
      </c>
      <c r="G389" s="22">
        <f>[2]S1!G390</f>
        <v>1000</v>
      </c>
      <c r="H389" s="22">
        <f>[2]S1!H390</f>
        <v>0</v>
      </c>
      <c r="I389" s="22">
        <f>[2]S1!I390</f>
        <v>290</v>
      </c>
      <c r="J389" s="13">
        <f>[2]S1!J390</f>
        <v>0</v>
      </c>
      <c r="K389" s="19">
        <f>[2]S1!K390</f>
        <v>1490</v>
      </c>
      <c r="L389" s="52">
        <f>[2]S1!L390</f>
        <v>29000</v>
      </c>
      <c r="M389" s="58">
        <f>[2]S1!M390</f>
        <v>10</v>
      </c>
      <c r="N389" s="49">
        <f>[2]S1!P390</f>
        <v>9314110308</v>
      </c>
      <c r="O389" s="14"/>
    </row>
    <row r="390" spans="1:15" x14ac:dyDescent="0.3">
      <c r="A390" s="11">
        <v>3437</v>
      </c>
      <c r="B390" s="12" t="str">
        <f>[3]Name!E2441</f>
        <v>Sankar Lal Ladna</v>
      </c>
      <c r="C390" s="13">
        <f>[2]S1!C391</f>
        <v>5000</v>
      </c>
      <c r="D390" s="13">
        <f>[2]S1!D391</f>
        <v>0</v>
      </c>
      <c r="E390" s="26">
        <f>[2]S1!E391</f>
        <v>0</v>
      </c>
      <c r="F390" s="26">
        <f>[2]S1!F391</f>
        <v>0</v>
      </c>
      <c r="G390" s="22">
        <f>[2]S1!G391</f>
        <v>5000</v>
      </c>
      <c r="H390" s="22">
        <f>[2]S1!H391</f>
        <v>0</v>
      </c>
      <c r="I390" s="22">
        <f>[2]S1!I391</f>
        <v>350</v>
      </c>
      <c r="J390" s="13">
        <f>[2]S1!J391</f>
        <v>0</v>
      </c>
      <c r="K390" s="19">
        <f>[2]S1!K391</f>
        <v>5350</v>
      </c>
      <c r="L390" s="52">
        <f>[2]S1!L391</f>
        <v>35000</v>
      </c>
      <c r="M390" s="58">
        <f>[2]S1!M391</f>
        <v>4</v>
      </c>
      <c r="N390" s="49">
        <f>[2]S1!P391</f>
        <v>9352540044</v>
      </c>
      <c r="O390" s="14"/>
    </row>
    <row r="391" spans="1:15" x14ac:dyDescent="0.3">
      <c r="A391" s="11">
        <v>3438</v>
      </c>
      <c r="B391" s="12" t="str">
        <f>[3]Name!E2442</f>
        <v>Kajod Mal Gotwal</v>
      </c>
      <c r="C391" s="13">
        <f>[2]S1!C392</f>
        <v>0</v>
      </c>
      <c r="D391" s="13">
        <f>[2]S1!D392</f>
        <v>0</v>
      </c>
      <c r="E391" s="26">
        <f>[2]S1!E392</f>
        <v>200</v>
      </c>
      <c r="F391" s="26">
        <f>[2]S1!F392</f>
        <v>0</v>
      </c>
      <c r="G391" s="22">
        <f>[2]S1!G392</f>
        <v>0</v>
      </c>
      <c r="H391" s="22">
        <f>[2]S1!H392</f>
        <v>0</v>
      </c>
      <c r="I391" s="22">
        <f>[2]S1!I392</f>
        <v>162</v>
      </c>
      <c r="J391" s="13">
        <f>[2]S1!J392</f>
        <v>0</v>
      </c>
      <c r="K391" s="19">
        <f>[2]S1!K392</f>
        <v>362</v>
      </c>
      <c r="L391" s="52">
        <f>[2]S1!L392</f>
        <v>16151</v>
      </c>
      <c r="M391" s="58">
        <f>[2]S1!M392</f>
        <v>3</v>
      </c>
      <c r="N391" s="49">
        <f>[2]S1!P392</f>
        <v>9983381763</v>
      </c>
      <c r="O391" s="14"/>
    </row>
    <row r="392" spans="1:15" x14ac:dyDescent="0.3">
      <c r="A392" s="11">
        <v>3439</v>
      </c>
      <c r="B392" s="12" t="str">
        <f>[3]Name!E2443</f>
        <v>Mamata Devi Gotwal</v>
      </c>
      <c r="C392" s="13">
        <f>[2]S1!C393</f>
        <v>0</v>
      </c>
      <c r="D392" s="13">
        <f>[2]S1!D393</f>
        <v>0</v>
      </c>
      <c r="E392" s="26">
        <f>[2]S1!E393</f>
        <v>200</v>
      </c>
      <c r="F392" s="26">
        <f>[2]S1!F393</f>
        <v>0</v>
      </c>
      <c r="G392" s="22">
        <f>[2]S1!G393</f>
        <v>0</v>
      </c>
      <c r="H392" s="22">
        <f>[2]S1!H393</f>
        <v>0</v>
      </c>
      <c r="I392" s="22">
        <f>[2]S1!I393</f>
        <v>162</v>
      </c>
      <c r="J392" s="13">
        <f>[2]S1!J393</f>
        <v>0</v>
      </c>
      <c r="K392" s="19">
        <f>[2]S1!K393</f>
        <v>362</v>
      </c>
      <c r="L392" s="52">
        <f>[2]S1!L393</f>
        <v>16200</v>
      </c>
      <c r="M392" s="58">
        <f>[2]S1!M393</f>
        <v>3</v>
      </c>
      <c r="N392" s="49">
        <f>[2]S1!P393</f>
        <v>9983381763</v>
      </c>
      <c r="O392" s="14"/>
    </row>
    <row r="393" spans="1:15" x14ac:dyDescent="0.3">
      <c r="A393" s="11">
        <v>3440</v>
      </c>
      <c r="B393" s="12" t="str">
        <f>[3]Name!E2444</f>
        <v>Rahula Kumar Varma</v>
      </c>
      <c r="C393" s="13">
        <f>[2]S1!C394</f>
        <v>0</v>
      </c>
      <c r="D393" s="13">
        <f>[2]S1!D394</f>
        <v>0</v>
      </c>
      <c r="E393" s="26">
        <f>[2]S1!E394</f>
        <v>200</v>
      </c>
      <c r="F393" s="26">
        <f>[2]S1!F394</f>
        <v>0</v>
      </c>
      <c r="G393" s="22">
        <f>[2]S1!G394</f>
        <v>0</v>
      </c>
      <c r="H393" s="22">
        <f>[2]S1!H394</f>
        <v>0</v>
      </c>
      <c r="I393" s="22">
        <f>[2]S1!I394</f>
        <v>162</v>
      </c>
      <c r="J393" s="13">
        <f>[2]S1!J394</f>
        <v>0</v>
      </c>
      <c r="K393" s="19">
        <f>[2]S1!K394</f>
        <v>362</v>
      </c>
      <c r="L393" s="52">
        <f>[2]S1!L394</f>
        <v>16200</v>
      </c>
      <c r="M393" s="58">
        <f>[2]S1!M394</f>
        <v>3</v>
      </c>
      <c r="N393" s="49">
        <f>[2]S1!P394</f>
        <v>9983381763</v>
      </c>
      <c r="O393" s="14"/>
    </row>
    <row r="394" spans="1:15" x14ac:dyDescent="0.3">
      <c r="A394" s="11">
        <v>3441</v>
      </c>
      <c r="B394" s="12" t="str">
        <f>[3]Name!E2445</f>
        <v>Vijay Kumar Varma</v>
      </c>
      <c r="C394" s="13">
        <f>[2]S1!C395</f>
        <v>0</v>
      </c>
      <c r="D394" s="13">
        <f>[2]S1!D395</f>
        <v>0</v>
      </c>
      <c r="E394" s="26">
        <f>[2]S1!E395</f>
        <v>200</v>
      </c>
      <c r="F394" s="26">
        <f>[2]S1!F395</f>
        <v>0</v>
      </c>
      <c r="G394" s="22">
        <f>[2]S1!G395</f>
        <v>0</v>
      </c>
      <c r="H394" s="22">
        <f>[2]S1!H395</f>
        <v>0</v>
      </c>
      <c r="I394" s="22">
        <f>[2]S1!I395</f>
        <v>162</v>
      </c>
      <c r="J394" s="13">
        <f>[2]S1!J395</f>
        <v>0</v>
      </c>
      <c r="K394" s="19">
        <f>[2]S1!K395</f>
        <v>362</v>
      </c>
      <c r="L394" s="52">
        <f>[2]S1!L395</f>
        <v>16200</v>
      </c>
      <c r="M394" s="58">
        <f>[2]S1!M395</f>
        <v>3</v>
      </c>
      <c r="N394" s="49">
        <f>[2]S1!P395</f>
        <v>9983381763</v>
      </c>
      <c r="O394" s="14"/>
    </row>
    <row r="395" spans="1:15" x14ac:dyDescent="0.3">
      <c r="A395" s="11">
        <v>3442</v>
      </c>
      <c r="B395" s="12" t="str">
        <f>[3]Name!E2446</f>
        <v>Kalu Ram Varma</v>
      </c>
      <c r="C395" s="13">
        <f>[2]S1!C396</f>
        <v>0</v>
      </c>
      <c r="D395" s="13">
        <f>[2]S1!D396</f>
        <v>0</v>
      </c>
      <c r="E395" s="26">
        <f>[2]S1!E396</f>
        <v>200</v>
      </c>
      <c r="F395" s="26">
        <f>[2]S1!F396</f>
        <v>0</v>
      </c>
      <c r="G395" s="22">
        <f>[2]S1!G396</f>
        <v>0</v>
      </c>
      <c r="H395" s="22">
        <f>[2]S1!H396</f>
        <v>0</v>
      </c>
      <c r="I395" s="22">
        <f>[2]S1!I396</f>
        <v>0</v>
      </c>
      <c r="J395" s="13">
        <f>[2]S1!J396</f>
        <v>0</v>
      </c>
      <c r="K395" s="19">
        <f>[2]S1!K396</f>
        <v>200</v>
      </c>
      <c r="L395" s="52">
        <f>[2]S1!L396</f>
        <v>0</v>
      </c>
      <c r="M395" s="58">
        <f>[2]S1!M396</f>
        <v>0</v>
      </c>
      <c r="N395" s="49">
        <f>[2]S1!P396</f>
        <v>9983381763</v>
      </c>
      <c r="O395" s="14"/>
    </row>
    <row r="396" spans="1:15" x14ac:dyDescent="0.3">
      <c r="A396" s="11">
        <v>3443</v>
      </c>
      <c r="B396" s="12" t="str">
        <f>[3]Name!E2447</f>
        <v>Laxmi Devi Varma</v>
      </c>
      <c r="C396" s="13">
        <f>[2]S1!C397</f>
        <v>0</v>
      </c>
      <c r="D396" s="13">
        <f>[2]S1!D397</f>
        <v>0</v>
      </c>
      <c r="E396" s="26">
        <f>[2]S1!E397</f>
        <v>200</v>
      </c>
      <c r="F396" s="26">
        <f>[2]S1!F397</f>
        <v>0</v>
      </c>
      <c r="G396" s="22">
        <f>[2]S1!G397</f>
        <v>0</v>
      </c>
      <c r="H396" s="22">
        <f>[2]S1!H397</f>
        <v>0</v>
      </c>
      <c r="I396" s="22">
        <f>[2]S1!I397</f>
        <v>0</v>
      </c>
      <c r="J396" s="13">
        <f>[2]S1!J397</f>
        <v>0</v>
      </c>
      <c r="K396" s="19">
        <f>[2]S1!K397</f>
        <v>200</v>
      </c>
      <c r="L396" s="52">
        <f>[2]S1!L397</f>
        <v>0</v>
      </c>
      <c r="M396" s="58">
        <f>[2]S1!M397</f>
        <v>0</v>
      </c>
      <c r="N396" s="49">
        <f>[2]S1!P397</f>
        <v>9983381763</v>
      </c>
      <c r="O396" s="14"/>
    </row>
    <row r="397" spans="1:15" x14ac:dyDescent="0.3">
      <c r="A397" s="11">
        <v>3444</v>
      </c>
      <c r="B397" s="12" t="str">
        <f>[3]Name!E2448</f>
        <v>Jagadish Prashd Khardiya</v>
      </c>
      <c r="C397" s="13">
        <f>[2]S1!C398</f>
        <v>0</v>
      </c>
      <c r="D397" s="13">
        <f>[2]S1!D398</f>
        <v>15754</v>
      </c>
      <c r="E397" s="26">
        <f>[2]S1!E398</f>
        <v>4147</v>
      </c>
      <c r="F397" s="26">
        <f>[2]S1!F398</f>
        <v>2849</v>
      </c>
      <c r="G397" s="22">
        <f>[2]S1!G398</f>
        <v>14272</v>
      </c>
      <c r="H397" s="22">
        <f>[2]S1!H398</f>
        <v>16843</v>
      </c>
      <c r="I397" s="22">
        <f>[2]S1!I398</f>
        <v>2300</v>
      </c>
      <c r="J397" s="13">
        <f>[2]S1!J398</f>
        <v>0</v>
      </c>
      <c r="K397" s="19">
        <f>[2]S1!K398</f>
        <v>40411</v>
      </c>
      <c r="L397" s="52">
        <f>[2]S1!L398</f>
        <v>14272</v>
      </c>
      <c r="M397" s="58">
        <f>[2]S1!M398</f>
        <v>21</v>
      </c>
      <c r="N397" s="49">
        <f>[2]S1!P398</f>
        <v>9785062902</v>
      </c>
      <c r="O397" s="14"/>
    </row>
    <row r="398" spans="1:15" x14ac:dyDescent="0.3">
      <c r="A398" s="11">
        <v>3445</v>
      </c>
      <c r="B398" s="12" t="str">
        <f>[3]Name!E2449</f>
        <v>Hanuman Sahay Ghuvariya</v>
      </c>
      <c r="C398" s="13">
        <f>[2]S1!C399</f>
        <v>600</v>
      </c>
      <c r="D398" s="13">
        <f>[2]S1!D399</f>
        <v>0</v>
      </c>
      <c r="E398" s="26">
        <f>[2]S1!E399</f>
        <v>200</v>
      </c>
      <c r="F398" s="26">
        <f>[2]S1!F399</f>
        <v>0</v>
      </c>
      <c r="G398" s="22">
        <f>[2]S1!G399</f>
        <v>0</v>
      </c>
      <c r="H398" s="22">
        <f>[2]S1!H399</f>
        <v>0</v>
      </c>
      <c r="I398" s="22">
        <f>[2]S1!I399</f>
        <v>0</v>
      </c>
      <c r="J398" s="13">
        <f>[2]S1!J399</f>
        <v>0</v>
      </c>
      <c r="K398" s="19">
        <f>[2]S1!K399</f>
        <v>200</v>
      </c>
      <c r="L398" s="52">
        <f>[2]S1!L399</f>
        <v>0</v>
      </c>
      <c r="M398" s="58">
        <f>[2]S1!M399</f>
        <v>0</v>
      </c>
      <c r="N398" s="49">
        <f>[2]S1!P399</f>
        <v>8947800094</v>
      </c>
      <c r="O398" s="14"/>
    </row>
    <row r="399" spans="1:15" x14ac:dyDescent="0.3">
      <c r="A399" s="11">
        <v>3446</v>
      </c>
      <c r="B399" s="12" t="str">
        <f>[3]Name!E2450</f>
        <v>Ramji Lal Ghuvariya</v>
      </c>
      <c r="C399" s="13">
        <f>[2]S1!C400</f>
        <v>600</v>
      </c>
      <c r="D399" s="13">
        <f>[2]S1!D400</f>
        <v>0</v>
      </c>
      <c r="E399" s="26">
        <f>[2]S1!E400</f>
        <v>200</v>
      </c>
      <c r="F399" s="26">
        <f>[2]S1!F400</f>
        <v>0</v>
      </c>
      <c r="G399" s="22">
        <f>[2]S1!G400</f>
        <v>0</v>
      </c>
      <c r="H399" s="22">
        <f>[2]S1!H400</f>
        <v>0</v>
      </c>
      <c r="I399" s="22">
        <f>[2]S1!I400</f>
        <v>0</v>
      </c>
      <c r="J399" s="13">
        <f>[2]S1!J400</f>
        <v>0</v>
      </c>
      <c r="K399" s="19">
        <f>[2]S1!K400</f>
        <v>200</v>
      </c>
      <c r="L399" s="52">
        <f>[2]S1!L400</f>
        <v>0</v>
      </c>
      <c r="M399" s="58">
        <f>[2]S1!M400</f>
        <v>0</v>
      </c>
      <c r="N399" s="49">
        <f>[2]S1!P400</f>
        <v>8947800094</v>
      </c>
      <c r="O399" s="14"/>
    </row>
    <row r="400" spans="1:15" x14ac:dyDescent="0.3">
      <c r="A400" s="11">
        <v>3447</v>
      </c>
      <c r="B400" s="12" t="str">
        <f>[3]Name!E2451</f>
        <v>Ramnivash Bunkar</v>
      </c>
      <c r="C400" s="13">
        <f>[2]S1!C401</f>
        <v>600</v>
      </c>
      <c r="D400" s="13">
        <f>[2]S1!D401</f>
        <v>0</v>
      </c>
      <c r="E400" s="26">
        <f>[2]S1!E401</f>
        <v>200</v>
      </c>
      <c r="F400" s="26">
        <f>[2]S1!F401</f>
        <v>0</v>
      </c>
      <c r="G400" s="22">
        <f>[2]S1!G401</f>
        <v>0</v>
      </c>
      <c r="H400" s="22">
        <f>[2]S1!H401</f>
        <v>0</v>
      </c>
      <c r="I400" s="22">
        <f>[2]S1!I401</f>
        <v>0</v>
      </c>
      <c r="J400" s="13">
        <f>[2]S1!J401</f>
        <v>0</v>
      </c>
      <c r="K400" s="19">
        <f>[2]S1!K401</f>
        <v>200</v>
      </c>
      <c r="L400" s="52">
        <f>[2]S1!L401</f>
        <v>0</v>
      </c>
      <c r="M400" s="58">
        <f>[2]S1!M401</f>
        <v>0</v>
      </c>
      <c r="N400" s="49">
        <f>[2]S1!P401</f>
        <v>8947800094</v>
      </c>
      <c r="O400" s="14"/>
    </row>
    <row r="401" spans="1:15" x14ac:dyDescent="0.3">
      <c r="A401" s="11">
        <v>3448</v>
      </c>
      <c r="B401" s="12" t="str">
        <f>[3]Name!E2452</f>
        <v>Kailash Bunkar</v>
      </c>
      <c r="C401" s="13">
        <f>[2]S1!C402</f>
        <v>600</v>
      </c>
      <c r="D401" s="13">
        <f>[2]S1!D402</f>
        <v>0</v>
      </c>
      <c r="E401" s="26">
        <f>[2]S1!E402</f>
        <v>200</v>
      </c>
      <c r="F401" s="26">
        <f>[2]S1!F402</f>
        <v>0</v>
      </c>
      <c r="G401" s="22">
        <f>[2]S1!G402</f>
        <v>0</v>
      </c>
      <c r="H401" s="22">
        <f>[2]S1!H402</f>
        <v>0</v>
      </c>
      <c r="I401" s="22">
        <f>[2]S1!I402</f>
        <v>0</v>
      </c>
      <c r="J401" s="13">
        <f>[2]S1!J402</f>
        <v>0</v>
      </c>
      <c r="K401" s="19">
        <f>[2]S1!K402</f>
        <v>200</v>
      </c>
      <c r="L401" s="52">
        <f>[2]S1!L402</f>
        <v>0</v>
      </c>
      <c r="M401" s="58">
        <f>[2]S1!M402</f>
        <v>0</v>
      </c>
      <c r="N401" s="49">
        <f>[2]S1!P402</f>
        <v>8947800094</v>
      </c>
      <c r="O401" s="14"/>
    </row>
    <row r="402" spans="1:15" x14ac:dyDescent="0.3">
      <c r="A402" s="11">
        <v>3449</v>
      </c>
      <c r="B402" s="12" t="str">
        <f>[3]Name!E2453</f>
        <v>Archana kumari Bunkar</v>
      </c>
      <c r="C402" s="13">
        <f>[2]S1!C403</f>
        <v>600</v>
      </c>
      <c r="D402" s="13">
        <f>[2]S1!D403</f>
        <v>0</v>
      </c>
      <c r="E402" s="26">
        <f>[2]S1!E403</f>
        <v>200</v>
      </c>
      <c r="F402" s="26">
        <f>[2]S1!F403</f>
        <v>0</v>
      </c>
      <c r="G402" s="22">
        <f>[2]S1!G403</f>
        <v>0</v>
      </c>
      <c r="H402" s="22">
        <f>[2]S1!H403</f>
        <v>0</v>
      </c>
      <c r="I402" s="22">
        <f>[2]S1!I403</f>
        <v>0</v>
      </c>
      <c r="J402" s="13">
        <f>[2]S1!J403</f>
        <v>0</v>
      </c>
      <c r="K402" s="19">
        <f>[2]S1!K403</f>
        <v>200</v>
      </c>
      <c r="L402" s="52">
        <f>[2]S1!L403</f>
        <v>0</v>
      </c>
      <c r="M402" s="58">
        <f>[2]S1!M403</f>
        <v>0</v>
      </c>
      <c r="N402" s="49">
        <f>[2]S1!P403</f>
        <v>8947800094</v>
      </c>
      <c r="O402" s="14"/>
    </row>
    <row r="403" spans="1:15" x14ac:dyDescent="0.3">
      <c r="A403" s="11">
        <v>3450</v>
      </c>
      <c r="B403" s="12" t="str">
        <f>[3]Name!E2454</f>
        <v>Sayra Devi Duvariya</v>
      </c>
      <c r="C403" s="13">
        <f>[2]S1!C404</f>
        <v>0</v>
      </c>
      <c r="D403" s="13">
        <f>[2]S1!D404</f>
        <v>0</v>
      </c>
      <c r="E403" s="26">
        <f>[2]S1!E404</f>
        <v>200</v>
      </c>
      <c r="F403" s="26">
        <f>[2]S1!F404</f>
        <v>0</v>
      </c>
      <c r="G403" s="22">
        <f>[2]S1!G404</f>
        <v>0</v>
      </c>
      <c r="H403" s="22">
        <f>[2]S1!H404</f>
        <v>0</v>
      </c>
      <c r="I403" s="22">
        <f>[2]S1!I404</f>
        <v>0</v>
      </c>
      <c r="J403" s="13">
        <f>[2]S1!J404</f>
        <v>0</v>
      </c>
      <c r="K403" s="19">
        <f>[2]S1!K404</f>
        <v>200</v>
      </c>
      <c r="L403" s="52">
        <f>[2]S1!L404</f>
        <v>0</v>
      </c>
      <c r="M403" s="58">
        <f>[2]S1!M404</f>
        <v>0</v>
      </c>
      <c r="N403" s="49">
        <f>[2]S1!P404</f>
        <v>8947800094</v>
      </c>
      <c r="O403" s="14"/>
    </row>
    <row r="404" spans="1:15" x14ac:dyDescent="0.3">
      <c r="A404" s="11">
        <v>3451</v>
      </c>
      <c r="B404" s="12" t="str">
        <f>[3]Name!E2455</f>
        <v>Himansu Kumar Gotwal</v>
      </c>
      <c r="C404" s="13">
        <f>[2]S1!C405</f>
        <v>1000</v>
      </c>
      <c r="D404" s="13">
        <f>[2]S1!D405</f>
        <v>0</v>
      </c>
      <c r="E404" s="26">
        <f>[2]S1!E405</f>
        <v>200</v>
      </c>
      <c r="F404" s="26">
        <f>[2]S1!F405</f>
        <v>0</v>
      </c>
      <c r="G404" s="22">
        <f>[2]S1!G405</f>
        <v>1000</v>
      </c>
      <c r="H404" s="22">
        <f>[2]S1!H405</f>
        <v>0</v>
      </c>
      <c r="I404" s="22">
        <f>[2]S1!I405</f>
        <v>120</v>
      </c>
      <c r="J404" s="13">
        <f>[2]S1!J405</f>
        <v>0</v>
      </c>
      <c r="K404" s="19">
        <f>[2]S1!K405</f>
        <v>1320</v>
      </c>
      <c r="L404" s="52">
        <f>[2]S1!L405</f>
        <v>12000</v>
      </c>
      <c r="M404" s="58">
        <f>[2]S1!M405</f>
        <v>9</v>
      </c>
      <c r="N404" s="49">
        <f>[2]S1!P405</f>
        <v>7742515326</v>
      </c>
      <c r="O404" s="14"/>
    </row>
    <row r="405" spans="1:15" x14ac:dyDescent="0.3">
      <c r="A405" s="11">
        <v>3452</v>
      </c>
      <c r="B405" s="12" t="str">
        <f>[3]Name!E2456</f>
        <v>Prem Chand Gotwal</v>
      </c>
      <c r="C405" s="13">
        <f>[2]S1!C406</f>
        <v>1000</v>
      </c>
      <c r="D405" s="13">
        <f>[2]S1!D406</f>
        <v>0</v>
      </c>
      <c r="E405" s="26">
        <f>[2]S1!E406</f>
        <v>200</v>
      </c>
      <c r="F405" s="26">
        <f>[2]S1!F406</f>
        <v>0</v>
      </c>
      <c r="G405" s="22">
        <f>[2]S1!G406</f>
        <v>1000</v>
      </c>
      <c r="H405" s="22">
        <f>[2]S1!H406</f>
        <v>0</v>
      </c>
      <c r="I405" s="22">
        <f>[2]S1!I406</f>
        <v>120</v>
      </c>
      <c r="J405" s="13">
        <f>[2]S1!J406</f>
        <v>0</v>
      </c>
      <c r="K405" s="19">
        <f>[2]S1!K406</f>
        <v>1320</v>
      </c>
      <c r="L405" s="52">
        <f>[2]S1!L406</f>
        <v>12000</v>
      </c>
      <c r="M405" s="58">
        <f>[2]S1!M406</f>
        <v>9</v>
      </c>
      <c r="N405" s="49">
        <f>[2]S1!P406</f>
        <v>7742515326</v>
      </c>
      <c r="O405" s="14"/>
    </row>
    <row r="406" spans="1:15" x14ac:dyDescent="0.3">
      <c r="A406" s="11">
        <v>3453</v>
      </c>
      <c r="B406" s="12" t="str">
        <f>[3]Name!E2457</f>
        <v>Moti Lal Gotwal</v>
      </c>
      <c r="C406" s="13">
        <f>[2]S1!C407</f>
        <v>1000</v>
      </c>
      <c r="D406" s="13">
        <f>[2]S1!D407</f>
        <v>0</v>
      </c>
      <c r="E406" s="26">
        <f>[2]S1!E407</f>
        <v>0</v>
      </c>
      <c r="F406" s="26">
        <f>[2]S1!F407</f>
        <v>0</v>
      </c>
      <c r="G406" s="22">
        <f>[2]S1!G407</f>
        <v>784</v>
      </c>
      <c r="H406" s="22">
        <f>[2]S1!H407</f>
        <v>0</v>
      </c>
      <c r="I406" s="22">
        <f>[2]S1!I407</f>
        <v>268</v>
      </c>
      <c r="J406" s="13">
        <f>[2]S1!J407</f>
        <v>0</v>
      </c>
      <c r="K406" s="19">
        <f>[2]S1!K407</f>
        <v>1052</v>
      </c>
      <c r="L406" s="52">
        <f>[2]S1!L407</f>
        <v>26784</v>
      </c>
      <c r="M406" s="58">
        <f>[2]S1!M407</f>
        <v>4</v>
      </c>
      <c r="N406" s="49">
        <f>[2]S1!P407</f>
        <v>7742515326</v>
      </c>
      <c r="O406" s="14"/>
    </row>
    <row r="407" spans="1:15" x14ac:dyDescent="0.3">
      <c r="A407" s="11">
        <v>3454</v>
      </c>
      <c r="B407" s="12" t="str">
        <f>[3]Name!E2458</f>
        <v>Ram Prasad Gotwal</v>
      </c>
      <c r="C407" s="13">
        <f>[2]S1!C408</f>
        <v>0</v>
      </c>
      <c r="D407" s="13">
        <f>[2]S1!D408</f>
        <v>0</v>
      </c>
      <c r="E407" s="26">
        <f>[2]S1!E408</f>
        <v>200</v>
      </c>
      <c r="F407" s="26">
        <f>[2]S1!F408</f>
        <v>0</v>
      </c>
      <c r="G407" s="22">
        <f>[2]S1!G408</f>
        <v>0</v>
      </c>
      <c r="H407" s="22">
        <f>[2]S1!H408</f>
        <v>0</v>
      </c>
      <c r="I407" s="22">
        <f>[2]S1!I408</f>
        <v>0</v>
      </c>
      <c r="J407" s="13">
        <f>[2]S1!J408</f>
        <v>0</v>
      </c>
      <c r="K407" s="19">
        <f>[2]S1!K408</f>
        <v>200</v>
      </c>
      <c r="L407" s="52">
        <f>[2]S1!L408</f>
        <v>0</v>
      </c>
      <c r="M407" s="58">
        <f>[2]S1!M408</f>
        <v>0</v>
      </c>
      <c r="N407" s="49">
        <f>[2]S1!P408</f>
        <v>7742515326</v>
      </c>
      <c r="O407" s="14"/>
    </row>
    <row r="408" spans="1:15" x14ac:dyDescent="0.3">
      <c r="A408" s="11">
        <v>3455</v>
      </c>
      <c r="B408" s="12" t="str">
        <f>[3]Name!E2459</f>
        <v>Puja Devi Gotwal</v>
      </c>
      <c r="C408" s="13">
        <f>[2]S1!C409</f>
        <v>0</v>
      </c>
      <c r="D408" s="13">
        <f>[2]S1!D409</f>
        <v>0</v>
      </c>
      <c r="E408" s="26">
        <f>[2]S1!E409</f>
        <v>200</v>
      </c>
      <c r="F408" s="26">
        <f>[2]S1!F409</f>
        <v>0</v>
      </c>
      <c r="G408" s="22">
        <f>[2]S1!G409</f>
        <v>0</v>
      </c>
      <c r="H408" s="22">
        <f>[2]S1!H409</f>
        <v>0</v>
      </c>
      <c r="I408" s="22">
        <f>[2]S1!I409</f>
        <v>0</v>
      </c>
      <c r="J408" s="13">
        <f>[2]S1!J409</f>
        <v>0</v>
      </c>
      <c r="K408" s="19">
        <f>[2]S1!K409</f>
        <v>200</v>
      </c>
      <c r="L408" s="52">
        <f>[2]S1!L409</f>
        <v>0</v>
      </c>
      <c r="M408" s="58">
        <f>[2]S1!M409</f>
        <v>0</v>
      </c>
      <c r="N408" s="49">
        <f>[2]S1!P409</f>
        <v>7742515326</v>
      </c>
      <c r="O408" s="14"/>
    </row>
    <row r="409" spans="1:15" x14ac:dyDescent="0.3">
      <c r="A409" s="11">
        <v>3456</v>
      </c>
      <c r="B409" s="12" t="str">
        <f>[3]Name!E2460</f>
        <v>Mahir kumar Gotwal</v>
      </c>
      <c r="C409" s="13">
        <f>[2]S1!C410</f>
        <v>0</v>
      </c>
      <c r="D409" s="13">
        <f>[2]S1!D410</f>
        <v>0</v>
      </c>
      <c r="E409" s="26">
        <f>[2]S1!E410</f>
        <v>200</v>
      </c>
      <c r="F409" s="26">
        <f>[2]S1!F410</f>
        <v>0</v>
      </c>
      <c r="G409" s="22">
        <f>[2]S1!G410</f>
        <v>0</v>
      </c>
      <c r="H409" s="22">
        <f>[2]S1!H410</f>
        <v>0</v>
      </c>
      <c r="I409" s="22">
        <f>[2]S1!I410</f>
        <v>0</v>
      </c>
      <c r="J409" s="13">
        <f>[2]S1!J410</f>
        <v>0</v>
      </c>
      <c r="K409" s="19">
        <f>[2]S1!K410</f>
        <v>200</v>
      </c>
      <c r="L409" s="52">
        <f>[2]S1!L410</f>
        <v>0</v>
      </c>
      <c r="M409" s="58">
        <f>[2]S1!M410</f>
        <v>0</v>
      </c>
      <c r="N409" s="49">
        <f>[2]S1!P410</f>
        <v>7742515326</v>
      </c>
      <c r="O409" s="14"/>
    </row>
    <row r="410" spans="1:15" x14ac:dyDescent="0.3">
      <c r="A410" s="11">
        <v>3457</v>
      </c>
      <c r="B410" s="12" t="str">
        <f>[3]Name!E2461</f>
        <v>Moti Lal Gotwal</v>
      </c>
      <c r="C410" s="13">
        <f>[2]S1!C411</f>
        <v>200</v>
      </c>
      <c r="D410" s="13">
        <f>[2]S1!D411</f>
        <v>0</v>
      </c>
      <c r="E410" s="26">
        <f>[2]S1!E411</f>
        <v>200</v>
      </c>
      <c r="F410" s="26">
        <f>[2]S1!F411</f>
        <v>0</v>
      </c>
      <c r="G410" s="22">
        <f>[2]S1!G411</f>
        <v>0</v>
      </c>
      <c r="H410" s="22">
        <f>[2]S1!H411</f>
        <v>0</v>
      </c>
      <c r="I410" s="22">
        <f>[2]S1!I411</f>
        <v>31</v>
      </c>
      <c r="J410" s="13">
        <f>[2]S1!J411</f>
        <v>0</v>
      </c>
      <c r="K410" s="19">
        <f>[2]S1!K411</f>
        <v>231</v>
      </c>
      <c r="L410" s="52">
        <f>[2]S1!L411</f>
        <v>3143</v>
      </c>
      <c r="M410" s="58">
        <f>[2]S1!M411</f>
        <v>4</v>
      </c>
      <c r="N410" s="49">
        <f>[2]S1!P411</f>
        <v>8233531951</v>
      </c>
      <c r="O410" s="14"/>
    </row>
    <row r="411" spans="1:15" x14ac:dyDescent="0.3">
      <c r="A411" s="11">
        <v>3458</v>
      </c>
      <c r="B411" s="12" t="str">
        <f>[3]Name!E2462</f>
        <v>Raja Devi Gotwal</v>
      </c>
      <c r="C411" s="13">
        <f>[2]S1!C412</f>
        <v>1000</v>
      </c>
      <c r="D411" s="13">
        <f>[2]S1!D412</f>
        <v>0</v>
      </c>
      <c r="E411" s="26">
        <f>[2]S1!E412</f>
        <v>0</v>
      </c>
      <c r="F411" s="26">
        <f>[2]S1!F412</f>
        <v>0</v>
      </c>
      <c r="G411" s="22">
        <f>[2]S1!G412</f>
        <v>0</v>
      </c>
      <c r="H411" s="22">
        <f>[2]S1!H412</f>
        <v>0</v>
      </c>
      <c r="I411" s="22">
        <f>[2]S1!I412</f>
        <v>0</v>
      </c>
      <c r="J411" s="13">
        <f>[2]S1!J412</f>
        <v>0</v>
      </c>
      <c r="K411" s="19">
        <f>[2]S1!K412</f>
        <v>0</v>
      </c>
      <c r="L411" s="52">
        <f>[2]S1!L412</f>
        <v>0</v>
      </c>
      <c r="M411" s="58">
        <f>[2]S1!M412</f>
        <v>0</v>
      </c>
      <c r="N411" s="49">
        <f>[2]S1!P412</f>
        <v>8233531951</v>
      </c>
      <c r="O411" s="14"/>
    </row>
    <row r="412" spans="1:15" x14ac:dyDescent="0.3">
      <c r="A412" s="11">
        <v>3459</v>
      </c>
      <c r="B412" s="12" t="str">
        <f>[3]Name!E2463</f>
        <v>Bansi lal Gotwal</v>
      </c>
      <c r="C412" s="13">
        <f>[2]S1!C413</f>
        <v>1000</v>
      </c>
      <c r="D412" s="13">
        <f>[2]S1!D413</f>
        <v>0</v>
      </c>
      <c r="E412" s="26">
        <f>[2]S1!E413</f>
        <v>0</v>
      </c>
      <c r="F412" s="26">
        <f>[2]S1!F413</f>
        <v>0</v>
      </c>
      <c r="G412" s="22">
        <f>[2]S1!G413</f>
        <v>1000</v>
      </c>
      <c r="H412" s="22">
        <f>[2]S1!H413</f>
        <v>0</v>
      </c>
      <c r="I412" s="22">
        <f>[2]S1!I413</f>
        <v>270</v>
      </c>
      <c r="J412" s="13">
        <f>[2]S1!J413</f>
        <v>0</v>
      </c>
      <c r="K412" s="19">
        <f>[2]S1!K413</f>
        <v>1270</v>
      </c>
      <c r="L412" s="52">
        <f>[2]S1!L413</f>
        <v>27000</v>
      </c>
      <c r="M412" s="58">
        <f>[2]S1!M413</f>
        <v>4</v>
      </c>
      <c r="N412" s="49">
        <f>[2]S1!P413</f>
        <v>8233531951</v>
      </c>
      <c r="O412" s="14"/>
    </row>
    <row r="413" spans="1:15" x14ac:dyDescent="0.3">
      <c r="A413" s="11">
        <v>3460</v>
      </c>
      <c r="B413" s="12" t="str">
        <f>[3]Name!E2464</f>
        <v>Nirmala Devi Gotwal</v>
      </c>
      <c r="C413" s="13">
        <f>[2]S1!C414</f>
        <v>200</v>
      </c>
      <c r="D413" s="13">
        <f>[2]S1!D414</f>
        <v>0</v>
      </c>
      <c r="E413" s="26">
        <f>[2]S1!E414</f>
        <v>200</v>
      </c>
      <c r="F413" s="26">
        <f>[2]S1!F414</f>
        <v>0</v>
      </c>
      <c r="G413" s="22">
        <f>[2]S1!G414</f>
        <v>200</v>
      </c>
      <c r="H413" s="22">
        <f>[2]S1!H414</f>
        <v>0</v>
      </c>
      <c r="I413" s="22">
        <f>[2]S1!I414</f>
        <v>194</v>
      </c>
      <c r="J413" s="13">
        <f>[2]S1!J414</f>
        <v>0</v>
      </c>
      <c r="K413" s="19">
        <f>[2]S1!K414</f>
        <v>594</v>
      </c>
      <c r="L413" s="52">
        <f>[2]S1!L414</f>
        <v>19400</v>
      </c>
      <c r="M413" s="58">
        <f>[2]S1!M414</f>
        <v>4</v>
      </c>
      <c r="N413" s="49">
        <f>[2]S1!P414</f>
        <v>8233531951</v>
      </c>
      <c r="O413" s="14"/>
    </row>
    <row r="414" spans="1:15" x14ac:dyDescent="0.3">
      <c r="A414" s="11">
        <v>3461</v>
      </c>
      <c r="B414" s="12" t="str">
        <f>[3]Name!E2465</f>
        <v>Komal Kumari Gotwal</v>
      </c>
      <c r="C414" s="13">
        <f>[2]S1!C415</f>
        <v>200</v>
      </c>
      <c r="D414" s="13">
        <f>[2]S1!D415</f>
        <v>0</v>
      </c>
      <c r="E414" s="26">
        <f>[2]S1!E415</f>
        <v>200</v>
      </c>
      <c r="F414" s="26">
        <f>[2]S1!F415</f>
        <v>0</v>
      </c>
      <c r="G414" s="22">
        <f>[2]S1!G415</f>
        <v>200</v>
      </c>
      <c r="H414" s="22">
        <f>[2]S1!H415</f>
        <v>0</v>
      </c>
      <c r="I414" s="22">
        <f>[2]S1!I415</f>
        <v>194</v>
      </c>
      <c r="J414" s="13">
        <f>[2]S1!J415</f>
        <v>0</v>
      </c>
      <c r="K414" s="19">
        <f>[2]S1!K415</f>
        <v>594</v>
      </c>
      <c r="L414" s="52">
        <f>[2]S1!L415</f>
        <v>19400</v>
      </c>
      <c r="M414" s="58">
        <f>[2]S1!M415</f>
        <v>4</v>
      </c>
      <c r="N414" s="49">
        <f>[2]S1!P415</f>
        <v>8233531951</v>
      </c>
      <c r="O414" s="14"/>
    </row>
    <row r="415" spans="1:15" x14ac:dyDescent="0.3">
      <c r="A415" s="11">
        <v>3462</v>
      </c>
      <c r="B415" s="12" t="str">
        <f>[3]Name!E2466</f>
        <v>Prem Chand Gotwal</v>
      </c>
      <c r="C415" s="13">
        <f>[2]S1!C416</f>
        <v>200</v>
      </c>
      <c r="D415" s="13">
        <f>[2]S1!D416</f>
        <v>0</v>
      </c>
      <c r="E415" s="26">
        <f>[2]S1!E416</f>
        <v>200</v>
      </c>
      <c r="F415" s="26">
        <f>[2]S1!F416</f>
        <v>0</v>
      </c>
      <c r="G415" s="22">
        <f>[2]S1!G416</f>
        <v>200</v>
      </c>
      <c r="H415" s="22">
        <f>[2]S1!H416</f>
        <v>0</v>
      </c>
      <c r="I415" s="22">
        <f>[2]S1!I416</f>
        <v>194</v>
      </c>
      <c r="J415" s="13">
        <f>[2]S1!J416</f>
        <v>0</v>
      </c>
      <c r="K415" s="19">
        <f>[2]S1!K416</f>
        <v>594</v>
      </c>
      <c r="L415" s="52">
        <f>[2]S1!L416</f>
        <v>19400</v>
      </c>
      <c r="M415" s="58">
        <f>[2]S1!M416</f>
        <v>4</v>
      </c>
      <c r="N415" s="49">
        <f>[2]S1!P416</f>
        <v>8233531951</v>
      </c>
      <c r="O415" s="14"/>
    </row>
    <row r="416" spans="1:15" x14ac:dyDescent="0.3">
      <c r="A416" s="11">
        <v>3463</v>
      </c>
      <c r="B416" s="12" t="str">
        <f>[3]Name!E2467</f>
        <v>Aachuki devi Gotwal</v>
      </c>
      <c r="C416" s="13">
        <f>[2]S1!C417</f>
        <v>0</v>
      </c>
      <c r="D416" s="13">
        <f>[2]S1!D417</f>
        <v>0</v>
      </c>
      <c r="E416" s="26">
        <f>[2]S1!E417</f>
        <v>200</v>
      </c>
      <c r="F416" s="26">
        <f>[2]S1!F417</f>
        <v>0</v>
      </c>
      <c r="G416" s="22">
        <f>[2]S1!G417</f>
        <v>0</v>
      </c>
      <c r="H416" s="22">
        <f>[2]S1!H417</f>
        <v>0</v>
      </c>
      <c r="I416" s="22">
        <f>[2]S1!I417</f>
        <v>0</v>
      </c>
      <c r="J416" s="13">
        <f>[2]S1!J417</f>
        <v>0</v>
      </c>
      <c r="K416" s="19">
        <f>[2]S1!K417</f>
        <v>200</v>
      </c>
      <c r="L416" s="52">
        <f>[2]S1!L417</f>
        <v>0</v>
      </c>
      <c r="M416" s="58">
        <f>[2]S1!M417</f>
        <v>0</v>
      </c>
      <c r="N416" s="49">
        <f>[2]S1!P417</f>
        <v>9929758899</v>
      </c>
      <c r="O416" s="14"/>
    </row>
    <row r="417" spans="1:15" x14ac:dyDescent="0.3">
      <c r="A417" s="11">
        <v>3464</v>
      </c>
      <c r="B417" s="12" t="str">
        <f>[3]Name!E2468</f>
        <v>Laxmi Kumari Gotwal</v>
      </c>
      <c r="C417" s="13">
        <f>[2]S1!C418</f>
        <v>0</v>
      </c>
      <c r="D417" s="13">
        <f>[2]S1!D418</f>
        <v>0</v>
      </c>
      <c r="E417" s="26">
        <f>[2]S1!E418</f>
        <v>200</v>
      </c>
      <c r="F417" s="26">
        <f>[2]S1!F418</f>
        <v>0</v>
      </c>
      <c r="G417" s="22">
        <f>[2]S1!G418</f>
        <v>0</v>
      </c>
      <c r="H417" s="22">
        <f>[2]S1!H418</f>
        <v>0</v>
      </c>
      <c r="I417" s="22">
        <f>[2]S1!I418</f>
        <v>0</v>
      </c>
      <c r="J417" s="13">
        <f>[2]S1!J418</f>
        <v>0</v>
      </c>
      <c r="K417" s="19">
        <f>[2]S1!K418</f>
        <v>200</v>
      </c>
      <c r="L417" s="52">
        <f>[2]S1!L418</f>
        <v>0</v>
      </c>
      <c r="M417" s="58">
        <f>[2]S1!M418</f>
        <v>0</v>
      </c>
      <c r="N417" s="49">
        <f>[2]S1!P418</f>
        <v>9929758899</v>
      </c>
      <c r="O417" s="14"/>
    </row>
    <row r="418" spans="1:15" x14ac:dyDescent="0.3">
      <c r="A418" s="11">
        <v>3465</v>
      </c>
      <c r="B418" s="12" t="str">
        <f>[3]Name!E2469</f>
        <v>Vikash Kumar Gotwal</v>
      </c>
      <c r="C418" s="13">
        <f>[2]S1!C419</f>
        <v>1000</v>
      </c>
      <c r="D418" s="13">
        <f>[2]S1!D419</f>
        <v>0</v>
      </c>
      <c r="E418" s="26">
        <f>[2]S1!E419</f>
        <v>200</v>
      </c>
      <c r="F418" s="26">
        <f>[2]S1!F419</f>
        <v>0</v>
      </c>
      <c r="G418" s="22">
        <f>[2]S1!G419</f>
        <v>0</v>
      </c>
      <c r="H418" s="22">
        <f>[2]S1!H419</f>
        <v>0</v>
      </c>
      <c r="I418" s="22">
        <f>[2]S1!I419</f>
        <v>28</v>
      </c>
      <c r="J418" s="13">
        <f>[2]S1!J419</f>
        <v>0</v>
      </c>
      <c r="K418" s="19">
        <f>[2]S1!K419</f>
        <v>228</v>
      </c>
      <c r="L418" s="52">
        <f>[2]S1!L419</f>
        <v>2754</v>
      </c>
      <c r="M418" s="58">
        <f>[2]S1!M419</f>
        <v>13</v>
      </c>
      <c r="N418" s="49">
        <f>[2]S1!P419</f>
        <v>9929758899</v>
      </c>
      <c r="O418" s="14"/>
    </row>
    <row r="419" spans="1:15" x14ac:dyDescent="0.3">
      <c r="A419" s="11">
        <v>3466</v>
      </c>
      <c r="B419" s="12" t="str">
        <f>[3]Name!E2470</f>
        <v>Komal Kumari Gotwal</v>
      </c>
      <c r="C419" s="13">
        <f>[2]S1!C420</f>
        <v>0</v>
      </c>
      <c r="D419" s="13">
        <f>[2]S1!D420</f>
        <v>0</v>
      </c>
      <c r="E419" s="26">
        <f>[2]S1!E420</f>
        <v>200</v>
      </c>
      <c r="F419" s="26">
        <f>[2]S1!F420</f>
        <v>0</v>
      </c>
      <c r="G419" s="22">
        <f>[2]S1!G420</f>
        <v>0</v>
      </c>
      <c r="H419" s="22">
        <f>[2]S1!H420</f>
        <v>0</v>
      </c>
      <c r="I419" s="22">
        <f>[2]S1!I420</f>
        <v>0</v>
      </c>
      <c r="J419" s="13">
        <f>[2]S1!J420</f>
        <v>0</v>
      </c>
      <c r="K419" s="19">
        <f>[2]S1!K420</f>
        <v>200</v>
      </c>
      <c r="L419" s="52">
        <f>[2]S1!L420</f>
        <v>0</v>
      </c>
      <c r="M419" s="58">
        <f>[2]S1!M420</f>
        <v>0</v>
      </c>
      <c r="N419" s="49">
        <f>[2]S1!P420</f>
        <v>9929758899</v>
      </c>
      <c r="O419" s="14"/>
    </row>
    <row r="420" spans="1:15" x14ac:dyDescent="0.3">
      <c r="A420" s="11">
        <v>3467</v>
      </c>
      <c r="B420" s="12" t="str">
        <f>[3]Name!E2471</f>
        <v>Kanhaiya Lal Gotwal</v>
      </c>
      <c r="C420" s="13">
        <f>[2]S1!C421</f>
        <v>0</v>
      </c>
      <c r="D420" s="13">
        <f>[2]S1!D421</f>
        <v>0</v>
      </c>
      <c r="E420" s="26">
        <f>[2]S1!E421</f>
        <v>200</v>
      </c>
      <c r="F420" s="26">
        <f>[2]S1!F421</f>
        <v>0</v>
      </c>
      <c r="G420" s="22">
        <f>[2]S1!G421</f>
        <v>0</v>
      </c>
      <c r="H420" s="22">
        <f>[2]S1!H421</f>
        <v>0</v>
      </c>
      <c r="I420" s="22">
        <f>[2]S1!I421</f>
        <v>0</v>
      </c>
      <c r="J420" s="13">
        <f>[2]S1!J421</f>
        <v>0</v>
      </c>
      <c r="K420" s="19">
        <f>[2]S1!K421</f>
        <v>200</v>
      </c>
      <c r="L420" s="52">
        <f>[2]S1!L421</f>
        <v>0</v>
      </c>
      <c r="M420" s="58">
        <f>[2]S1!M421</f>
        <v>0</v>
      </c>
      <c r="N420" s="49">
        <f>[2]S1!P421</f>
        <v>9929758899</v>
      </c>
      <c r="O420" s="14"/>
    </row>
    <row r="421" spans="1:15" x14ac:dyDescent="0.3">
      <c r="A421" s="11">
        <v>3468</v>
      </c>
      <c r="B421" s="12" t="str">
        <f>[3]Name!E2472</f>
        <v>Babu Lal Gotwal</v>
      </c>
      <c r="C421" s="13">
        <f>[2]S1!C422</f>
        <v>500</v>
      </c>
      <c r="D421" s="13">
        <f>[2]S1!D422</f>
        <v>0</v>
      </c>
      <c r="E421" s="26">
        <f>[2]S1!E422</f>
        <v>200</v>
      </c>
      <c r="F421" s="26">
        <f>[2]S1!F422</f>
        <v>0</v>
      </c>
      <c r="G421" s="22">
        <f>[2]S1!G422</f>
        <v>500</v>
      </c>
      <c r="H421" s="22">
        <f>[2]S1!H422</f>
        <v>0</v>
      </c>
      <c r="I421" s="22">
        <f>[2]S1!I422</f>
        <v>580</v>
      </c>
      <c r="J421" s="13">
        <f>[2]S1!J422</f>
        <v>0</v>
      </c>
      <c r="K421" s="19">
        <f>[2]S1!K422</f>
        <v>1280</v>
      </c>
      <c r="L421" s="52">
        <f>[2]S1!L422</f>
        <v>58000</v>
      </c>
      <c r="M421" s="58">
        <f>[2]S1!M422</f>
        <v>5</v>
      </c>
      <c r="N421" s="49">
        <f>[2]S1!P422</f>
        <v>9928466340</v>
      </c>
      <c r="O421" s="14"/>
    </row>
    <row r="422" spans="1:15" x14ac:dyDescent="0.3">
      <c r="A422" s="11">
        <v>3469</v>
      </c>
      <c r="B422" s="12" t="str">
        <f>[3]Name!E2473</f>
        <v>Jyoti Devi Gotwal</v>
      </c>
      <c r="C422" s="13">
        <f>[2]S1!C423</f>
        <v>500</v>
      </c>
      <c r="D422" s="13">
        <f>[2]S1!D423</f>
        <v>0</v>
      </c>
      <c r="E422" s="26">
        <f>[2]S1!E423</f>
        <v>200</v>
      </c>
      <c r="F422" s="26">
        <f>[2]S1!F423</f>
        <v>0</v>
      </c>
      <c r="G422" s="22">
        <f>[2]S1!G423</f>
        <v>500</v>
      </c>
      <c r="H422" s="22">
        <f>[2]S1!H423</f>
        <v>0</v>
      </c>
      <c r="I422" s="22">
        <f>[2]S1!I423</f>
        <v>480</v>
      </c>
      <c r="J422" s="13">
        <f>[2]S1!J423</f>
        <v>0</v>
      </c>
      <c r="K422" s="19">
        <f>[2]S1!K423</f>
        <v>1180</v>
      </c>
      <c r="L422" s="52">
        <f>[2]S1!L423</f>
        <v>48000</v>
      </c>
      <c r="M422" s="58">
        <f>[2]S1!M423</f>
        <v>5</v>
      </c>
      <c r="N422" s="49">
        <f>[2]S1!P423</f>
        <v>9928466340</v>
      </c>
      <c r="O422" s="14"/>
    </row>
    <row r="423" spans="1:15" x14ac:dyDescent="0.3">
      <c r="A423" s="11">
        <v>3470</v>
      </c>
      <c r="B423" s="12" t="str">
        <f>[3]Name!E2474</f>
        <v>Kiran Kumari Gotwal</v>
      </c>
      <c r="C423" s="13">
        <f>[2]S1!C424</f>
        <v>500</v>
      </c>
      <c r="D423" s="13">
        <f>[2]S1!D424</f>
        <v>0</v>
      </c>
      <c r="E423" s="26">
        <f>[2]S1!E424</f>
        <v>200</v>
      </c>
      <c r="F423" s="26">
        <f>[2]S1!F424</f>
        <v>0</v>
      </c>
      <c r="G423" s="22">
        <f>[2]S1!G424</f>
        <v>500</v>
      </c>
      <c r="H423" s="22">
        <f>[2]S1!H424</f>
        <v>0</v>
      </c>
      <c r="I423" s="22">
        <f>[2]S1!I424</f>
        <v>480</v>
      </c>
      <c r="J423" s="13">
        <f>[2]S1!J424</f>
        <v>0</v>
      </c>
      <c r="K423" s="19">
        <f>[2]S1!K424</f>
        <v>1180</v>
      </c>
      <c r="L423" s="52">
        <f>[2]S1!L424</f>
        <v>48000</v>
      </c>
      <c r="M423" s="58">
        <f>[2]S1!M424</f>
        <v>5</v>
      </c>
      <c r="N423" s="49">
        <f>[2]S1!P424</f>
        <v>9928466340</v>
      </c>
      <c r="O423" s="14"/>
    </row>
    <row r="424" spans="1:15" x14ac:dyDescent="0.3">
      <c r="A424" s="11">
        <v>3471</v>
      </c>
      <c r="B424" s="12" t="str">
        <f>[3]Name!E2475</f>
        <v>Himansu Kumar Gotwal</v>
      </c>
      <c r="C424" s="13">
        <f>[2]S1!C425</f>
        <v>500</v>
      </c>
      <c r="D424" s="13">
        <f>[2]S1!D425</f>
        <v>0</v>
      </c>
      <c r="E424" s="26">
        <f>[2]S1!E425</f>
        <v>200</v>
      </c>
      <c r="F424" s="26">
        <f>[2]S1!F425</f>
        <v>0</v>
      </c>
      <c r="G424" s="22">
        <f>[2]S1!G425</f>
        <v>500</v>
      </c>
      <c r="H424" s="22">
        <f>[2]S1!H425</f>
        <v>0</v>
      </c>
      <c r="I424" s="22">
        <f>[2]S1!I425</f>
        <v>480</v>
      </c>
      <c r="J424" s="13">
        <f>[2]S1!J425</f>
        <v>0</v>
      </c>
      <c r="K424" s="19">
        <f>[2]S1!K425</f>
        <v>1180</v>
      </c>
      <c r="L424" s="52">
        <f>[2]S1!L425</f>
        <v>48000</v>
      </c>
      <c r="M424" s="58">
        <f>[2]S1!M425</f>
        <v>5</v>
      </c>
      <c r="N424" s="49">
        <f>[2]S1!P425</f>
        <v>9928466340</v>
      </c>
      <c r="O424" s="14"/>
    </row>
    <row r="425" spans="1:15" x14ac:dyDescent="0.3">
      <c r="A425" s="11">
        <v>3472</v>
      </c>
      <c r="B425" s="12" t="str">
        <f>[3]Name!E2476</f>
        <v>Ram Prasad Gotwal</v>
      </c>
      <c r="C425" s="13">
        <f>[2]S1!C426</f>
        <v>500</v>
      </c>
      <c r="D425" s="13">
        <f>[2]S1!D426</f>
        <v>0</v>
      </c>
      <c r="E425" s="26">
        <f>[2]S1!E426</f>
        <v>200</v>
      </c>
      <c r="F425" s="26">
        <f>[2]S1!F426</f>
        <v>0</v>
      </c>
      <c r="G425" s="22">
        <f>[2]S1!G426</f>
        <v>500</v>
      </c>
      <c r="H425" s="22">
        <f>[2]S1!H426</f>
        <v>0</v>
      </c>
      <c r="I425" s="22">
        <f>[2]S1!I426</f>
        <v>480</v>
      </c>
      <c r="J425" s="13">
        <f>[2]S1!J426</f>
        <v>0</v>
      </c>
      <c r="K425" s="19">
        <f>[2]S1!K426</f>
        <v>1180</v>
      </c>
      <c r="L425" s="52">
        <f>[2]S1!L426</f>
        <v>48000</v>
      </c>
      <c r="M425" s="58">
        <f>[2]S1!M426</f>
        <v>5</v>
      </c>
      <c r="N425" s="49">
        <f>[2]S1!P426</f>
        <v>9928466340</v>
      </c>
      <c r="O425" s="14"/>
    </row>
    <row r="426" spans="1:15" x14ac:dyDescent="0.3">
      <c r="A426" s="11">
        <v>3473</v>
      </c>
      <c r="B426" s="12" t="str">
        <f>[3]Name!E2477</f>
        <v>Bansi lal Gotwal</v>
      </c>
      <c r="C426" s="13">
        <f>[2]S1!C427</f>
        <v>500</v>
      </c>
      <c r="D426" s="13">
        <f>[2]S1!D427</f>
        <v>0</v>
      </c>
      <c r="E426" s="26">
        <f>[2]S1!E427</f>
        <v>200</v>
      </c>
      <c r="F426" s="26">
        <f>[2]S1!F427</f>
        <v>0</v>
      </c>
      <c r="G426" s="22">
        <f>[2]S1!G427</f>
        <v>500</v>
      </c>
      <c r="H426" s="22">
        <f>[2]S1!H427</f>
        <v>0</v>
      </c>
      <c r="I426" s="22">
        <f>[2]S1!I427</f>
        <v>480</v>
      </c>
      <c r="J426" s="13">
        <f>[2]S1!J427</f>
        <v>0</v>
      </c>
      <c r="K426" s="19">
        <f>[2]S1!K427</f>
        <v>1180</v>
      </c>
      <c r="L426" s="52">
        <f>[2]S1!L427</f>
        <v>48000</v>
      </c>
      <c r="M426" s="58">
        <f>[2]S1!M427</f>
        <v>5</v>
      </c>
      <c r="N426" s="49">
        <f>[2]S1!P427</f>
        <v>9928466340</v>
      </c>
      <c r="O426" s="14"/>
    </row>
    <row r="427" spans="1:15" x14ac:dyDescent="0.3">
      <c r="A427" s="11">
        <v>3474</v>
      </c>
      <c r="B427" s="12" t="str">
        <f>[3]Name!E2478</f>
        <v>Niramala Devi Gotwal</v>
      </c>
      <c r="C427" s="13">
        <f>[2]S1!C428</f>
        <v>500</v>
      </c>
      <c r="D427" s="13">
        <f>[2]S1!D428</f>
        <v>0</v>
      </c>
      <c r="E427" s="26">
        <f>[2]S1!E428</f>
        <v>200</v>
      </c>
      <c r="F427" s="26">
        <f>[2]S1!F428</f>
        <v>0</v>
      </c>
      <c r="G427" s="22">
        <f>[2]S1!G428</f>
        <v>500</v>
      </c>
      <c r="H427" s="22">
        <f>[2]S1!H428</f>
        <v>0</v>
      </c>
      <c r="I427" s="22">
        <f>[2]S1!I428</f>
        <v>480</v>
      </c>
      <c r="J427" s="13">
        <f>[2]S1!J428</f>
        <v>0</v>
      </c>
      <c r="K427" s="19">
        <f>[2]S1!K428</f>
        <v>1180</v>
      </c>
      <c r="L427" s="52">
        <f>[2]S1!L428</f>
        <v>48000</v>
      </c>
      <c r="M427" s="58">
        <f>[2]S1!M428</f>
        <v>5</v>
      </c>
      <c r="N427" s="49">
        <f>[2]S1!P428</f>
        <v>9928466340</v>
      </c>
      <c r="O427" s="14"/>
    </row>
    <row r="428" spans="1:15" x14ac:dyDescent="0.3">
      <c r="A428" s="11">
        <v>3475</v>
      </c>
      <c r="B428" s="12" t="str">
        <f>[3]Name!E2479</f>
        <v>Moti Lal Gotwal</v>
      </c>
      <c r="C428" s="13">
        <f>[2]S1!C429</f>
        <v>500</v>
      </c>
      <c r="D428" s="13">
        <f>[2]S1!D429</f>
        <v>0</v>
      </c>
      <c r="E428" s="26">
        <f>[2]S1!E429</f>
        <v>200</v>
      </c>
      <c r="F428" s="26">
        <f>[2]S1!F429</f>
        <v>0</v>
      </c>
      <c r="G428" s="22">
        <f>[2]S1!G429</f>
        <v>500</v>
      </c>
      <c r="H428" s="22">
        <f>[2]S1!H429</f>
        <v>0</v>
      </c>
      <c r="I428" s="22">
        <f>[2]S1!I429</f>
        <v>480</v>
      </c>
      <c r="J428" s="13">
        <f>[2]S1!J429</f>
        <v>0</v>
      </c>
      <c r="K428" s="19">
        <f>[2]S1!K429</f>
        <v>1180</v>
      </c>
      <c r="L428" s="52">
        <f>[2]S1!L429</f>
        <v>48000</v>
      </c>
      <c r="M428" s="58">
        <f>[2]S1!M429</f>
        <v>5</v>
      </c>
      <c r="N428" s="49">
        <f>[2]S1!P429</f>
        <v>9928466340</v>
      </c>
      <c r="O428" s="14"/>
    </row>
    <row r="429" spans="1:15" x14ac:dyDescent="0.3">
      <c r="A429" s="11">
        <v>3476</v>
      </c>
      <c r="B429" s="12" t="str">
        <f>[3]Name!E2480</f>
        <v>Raja Devi Gotwal</v>
      </c>
      <c r="C429" s="13">
        <f>[2]S1!C430</f>
        <v>500</v>
      </c>
      <c r="D429" s="13">
        <f>[2]S1!D430</f>
        <v>0</v>
      </c>
      <c r="E429" s="26">
        <f>[2]S1!E430</f>
        <v>200</v>
      </c>
      <c r="F429" s="26">
        <f>[2]S1!F430</f>
        <v>0</v>
      </c>
      <c r="G429" s="22">
        <f>[2]S1!G430</f>
        <v>500</v>
      </c>
      <c r="H429" s="22">
        <f>[2]S1!H430</f>
        <v>0</v>
      </c>
      <c r="I429" s="22">
        <f>[2]S1!I430</f>
        <v>480</v>
      </c>
      <c r="J429" s="13">
        <f>[2]S1!J430</f>
        <v>0</v>
      </c>
      <c r="K429" s="19">
        <f>[2]S1!K430</f>
        <v>1180</v>
      </c>
      <c r="L429" s="52">
        <f>[2]S1!L430</f>
        <v>48000</v>
      </c>
      <c r="M429" s="58">
        <f>[2]S1!M430</f>
        <v>5</v>
      </c>
      <c r="N429" s="49">
        <f>[2]S1!P430</f>
        <v>9928466340</v>
      </c>
      <c r="O429" s="14"/>
    </row>
    <row r="430" spans="1:15" x14ac:dyDescent="0.3">
      <c r="A430" s="11">
        <v>3477</v>
      </c>
      <c r="B430" s="12" t="str">
        <f>[3]Name!E2481</f>
        <v>Komal Kumari Gotwal</v>
      </c>
      <c r="C430" s="13">
        <f>[2]S1!C431</f>
        <v>500</v>
      </c>
      <c r="D430" s="13">
        <f>[2]S1!D431</f>
        <v>0</v>
      </c>
      <c r="E430" s="26">
        <f>[2]S1!E431</f>
        <v>200</v>
      </c>
      <c r="F430" s="26">
        <f>[2]S1!F431</f>
        <v>0</v>
      </c>
      <c r="G430" s="22">
        <f>[2]S1!G431</f>
        <v>500</v>
      </c>
      <c r="H430" s="22">
        <f>[2]S1!H431</f>
        <v>0</v>
      </c>
      <c r="I430" s="22">
        <f>[2]S1!I431</f>
        <v>480</v>
      </c>
      <c r="J430" s="13">
        <f>[2]S1!J431</f>
        <v>0</v>
      </c>
      <c r="K430" s="19">
        <f>[2]S1!K431</f>
        <v>1180</v>
      </c>
      <c r="L430" s="52">
        <f>[2]S1!L431</f>
        <v>48000</v>
      </c>
      <c r="M430" s="58">
        <f>[2]S1!M431</f>
        <v>5</v>
      </c>
      <c r="N430" s="49">
        <f>[2]S1!P431</f>
        <v>9928466340</v>
      </c>
      <c r="O430" s="14"/>
    </row>
    <row r="431" spans="1:15" x14ac:dyDescent="0.3">
      <c r="A431" s="11">
        <v>3478</v>
      </c>
      <c r="B431" s="12" t="str">
        <f>[3]Name!E2482</f>
        <v>Rajendr Kumar Edival</v>
      </c>
      <c r="C431" s="13">
        <f>[2]S1!C432</f>
        <v>0</v>
      </c>
      <c r="D431" s="13">
        <f>[2]S1!D432</f>
        <v>0</v>
      </c>
      <c r="E431" s="26">
        <f>[2]S1!E432</f>
        <v>200</v>
      </c>
      <c r="F431" s="26">
        <f>[2]S1!F432</f>
        <v>0</v>
      </c>
      <c r="G431" s="22">
        <f>[2]S1!G432</f>
        <v>0</v>
      </c>
      <c r="H431" s="22">
        <f>[2]S1!H432</f>
        <v>0</v>
      </c>
      <c r="I431" s="22">
        <f>[2]S1!I432</f>
        <v>0</v>
      </c>
      <c r="J431" s="13">
        <f>[2]S1!J432</f>
        <v>0</v>
      </c>
      <c r="K431" s="19">
        <f>[2]S1!K432</f>
        <v>200</v>
      </c>
      <c r="L431" s="52">
        <f>[2]S1!L432</f>
        <v>0</v>
      </c>
      <c r="M431" s="58">
        <f>[2]S1!M432</f>
        <v>0</v>
      </c>
      <c r="N431" s="49">
        <f>[2]S1!P432</f>
        <v>9887259462</v>
      </c>
      <c r="O431" s="14"/>
    </row>
    <row r="432" spans="1:15" x14ac:dyDescent="0.3">
      <c r="A432" s="11">
        <v>3479</v>
      </c>
      <c r="B432" s="12" t="str">
        <f>[3]Name!E2483</f>
        <v>Ramu ji Edival</v>
      </c>
      <c r="C432" s="13">
        <f>[2]S1!C433</f>
        <v>1000</v>
      </c>
      <c r="D432" s="13">
        <f>[2]S1!D433</f>
        <v>0</v>
      </c>
      <c r="E432" s="26">
        <f>[2]S1!E433</f>
        <v>200</v>
      </c>
      <c r="F432" s="26">
        <f>[2]S1!F433</f>
        <v>0</v>
      </c>
      <c r="G432" s="22">
        <f>[2]S1!G433</f>
        <v>0</v>
      </c>
      <c r="H432" s="22">
        <f>[2]S1!H433</f>
        <v>0</v>
      </c>
      <c r="I432" s="22">
        <f>[2]S1!I433</f>
        <v>0</v>
      </c>
      <c r="J432" s="13">
        <f>[2]S1!J433</f>
        <v>0</v>
      </c>
      <c r="K432" s="19">
        <f>[2]S1!K433</f>
        <v>200</v>
      </c>
      <c r="L432" s="52">
        <f>[2]S1!L433</f>
        <v>0</v>
      </c>
      <c r="M432" s="58">
        <f>[2]S1!M433</f>
        <v>0</v>
      </c>
      <c r="N432" s="49">
        <f>[2]S1!P433</f>
        <v>9887259462</v>
      </c>
      <c r="O432" s="14"/>
    </row>
    <row r="433" spans="1:15" x14ac:dyDescent="0.3">
      <c r="A433" s="11">
        <v>3480</v>
      </c>
      <c r="B433" s="12" t="str">
        <f>[3]Name!E2484</f>
        <v>SureshKumar Edival</v>
      </c>
      <c r="C433" s="13">
        <f>[2]S1!C434</f>
        <v>3000</v>
      </c>
      <c r="D433" s="13">
        <f>[2]S1!D434</f>
        <v>0</v>
      </c>
      <c r="E433" s="26">
        <f>[2]S1!E434</f>
        <v>0</v>
      </c>
      <c r="F433" s="26">
        <f>[2]S1!F434</f>
        <v>0</v>
      </c>
      <c r="G433" s="22">
        <f>[2]S1!G434</f>
        <v>1850</v>
      </c>
      <c r="H433" s="22">
        <f>[2]S1!H434</f>
        <v>33</v>
      </c>
      <c r="I433" s="22">
        <f>[2]S1!I434</f>
        <v>51</v>
      </c>
      <c r="J433" s="13">
        <f>[2]S1!J434</f>
        <v>0</v>
      </c>
      <c r="K433" s="19">
        <f>[2]S1!K434</f>
        <v>1934</v>
      </c>
      <c r="L433" s="52">
        <f>[2]S1!L434</f>
        <v>4850</v>
      </c>
      <c r="M433" s="58">
        <f>[2]S1!M434</f>
        <v>9</v>
      </c>
      <c r="N433" s="49">
        <f>[2]S1!P434</f>
        <v>9887259462</v>
      </c>
      <c r="O433" s="14"/>
    </row>
    <row r="434" spans="1:15" x14ac:dyDescent="0.3">
      <c r="A434" s="11">
        <v>3481</v>
      </c>
      <c r="B434" s="12" t="str">
        <f>[3]Name!E2485</f>
        <v>Gita Devi Edival</v>
      </c>
      <c r="C434" s="13">
        <f>[2]S1!C435</f>
        <v>0</v>
      </c>
      <c r="D434" s="13">
        <f>[2]S1!D435</f>
        <v>0</v>
      </c>
      <c r="E434" s="26">
        <f>[2]S1!E435</f>
        <v>200</v>
      </c>
      <c r="F434" s="26">
        <f>[2]S1!F435</f>
        <v>0</v>
      </c>
      <c r="G434" s="22">
        <f>[2]S1!G435</f>
        <v>0</v>
      </c>
      <c r="H434" s="22">
        <f>[2]S1!H435</f>
        <v>0</v>
      </c>
      <c r="I434" s="22">
        <f>[2]S1!I435</f>
        <v>0</v>
      </c>
      <c r="J434" s="13">
        <f>[2]S1!J435</f>
        <v>0</v>
      </c>
      <c r="K434" s="19">
        <f>[2]S1!K435</f>
        <v>200</v>
      </c>
      <c r="L434" s="52">
        <f>[2]S1!L435</f>
        <v>0</v>
      </c>
      <c r="M434" s="58">
        <f>[2]S1!M435</f>
        <v>0</v>
      </c>
      <c r="N434" s="49">
        <f>[2]S1!P435</f>
        <v>9887259462</v>
      </c>
      <c r="O434" s="14"/>
    </row>
    <row r="435" spans="1:15" x14ac:dyDescent="0.3">
      <c r="A435" s="11">
        <v>3482</v>
      </c>
      <c r="B435" s="12" t="str">
        <f>[3]Name!E2486</f>
        <v>Rajendr Kumar Edival</v>
      </c>
      <c r="C435" s="13">
        <f>[2]S1!C436</f>
        <v>3000</v>
      </c>
      <c r="D435" s="13">
        <f>[2]S1!D436</f>
        <v>0</v>
      </c>
      <c r="E435" s="26">
        <f>[2]S1!E436</f>
        <v>0</v>
      </c>
      <c r="F435" s="26">
        <f>[2]S1!F436</f>
        <v>0</v>
      </c>
      <c r="G435" s="22">
        <f>[2]S1!G436</f>
        <v>1791</v>
      </c>
      <c r="H435" s="22">
        <f>[2]S1!H436</f>
        <v>33</v>
      </c>
      <c r="I435" s="22">
        <f>[2]S1!I436</f>
        <v>50</v>
      </c>
      <c r="J435" s="13">
        <f>[2]S1!J436</f>
        <v>0</v>
      </c>
      <c r="K435" s="19">
        <f>[2]S1!K436</f>
        <v>1874</v>
      </c>
      <c r="L435" s="52">
        <f>[2]S1!L436</f>
        <v>4791</v>
      </c>
      <c r="M435" s="58">
        <f>[2]S1!M436</f>
        <v>9</v>
      </c>
      <c r="N435" s="49">
        <f>[2]S1!P436</f>
        <v>9887259462</v>
      </c>
      <c r="O435" s="14"/>
    </row>
    <row r="436" spans="1:15" x14ac:dyDescent="0.3">
      <c r="A436" s="11">
        <v>3483</v>
      </c>
      <c r="B436" s="12" t="str">
        <f>[3]Name!E2487</f>
        <v>Babu Lal Bacher</v>
      </c>
      <c r="C436" s="13">
        <f>[2]S1!C437</f>
        <v>0</v>
      </c>
      <c r="D436" s="13">
        <f>[2]S1!D437</f>
        <v>85225</v>
      </c>
      <c r="E436" s="26">
        <f>[2]S1!E437</f>
        <v>5600</v>
      </c>
      <c r="F436" s="26">
        <f>[2]S1!F437</f>
        <v>5999</v>
      </c>
      <c r="G436" s="22">
        <f>[2]S1!G437</f>
        <v>0</v>
      </c>
      <c r="H436" s="22">
        <f>[2]S1!H437</f>
        <v>100532</v>
      </c>
      <c r="I436" s="22">
        <f>[2]S1!I437</f>
        <v>96382</v>
      </c>
      <c r="J436" s="13">
        <f>[2]S1!J437</f>
        <v>3865</v>
      </c>
      <c r="K436" s="19">
        <f>[2]S1!K437</f>
        <v>212378</v>
      </c>
      <c r="L436" s="52">
        <f>[2]S1!L437</f>
        <v>342810</v>
      </c>
      <c r="M436" s="58">
        <f>[2]S1!M437</f>
        <v>28</v>
      </c>
      <c r="N436" s="49">
        <f>[2]S1!P437</f>
        <v>9784624803</v>
      </c>
      <c r="O436" s="14"/>
    </row>
    <row r="437" spans="1:15" x14ac:dyDescent="0.3">
      <c r="A437" s="11">
        <v>3484</v>
      </c>
      <c r="B437" s="12" t="str">
        <f>[3]Name!E2488</f>
        <v>Rakesh Kumar Bhandoriya</v>
      </c>
      <c r="C437" s="13">
        <f>[2]S1!C438</f>
        <v>500</v>
      </c>
      <c r="D437" s="13">
        <f>[2]S1!D438</f>
        <v>0</v>
      </c>
      <c r="E437" s="26">
        <f>[2]S1!E438</f>
        <v>200</v>
      </c>
      <c r="F437" s="26">
        <f>[2]S1!F438</f>
        <v>0</v>
      </c>
      <c r="G437" s="22">
        <f>[2]S1!G438</f>
        <v>0</v>
      </c>
      <c r="H437" s="22">
        <f>[2]S1!H438</f>
        <v>0</v>
      </c>
      <c r="I437" s="22">
        <f>[2]S1!I438</f>
        <v>0</v>
      </c>
      <c r="J437" s="13">
        <f>[2]S1!J438</f>
        <v>0</v>
      </c>
      <c r="K437" s="19">
        <f>[2]S1!K438</f>
        <v>200</v>
      </c>
      <c r="L437" s="52">
        <f>[2]S1!L438</f>
        <v>0</v>
      </c>
      <c r="M437" s="58">
        <f>[2]S1!M438</f>
        <v>0</v>
      </c>
      <c r="N437" s="49">
        <f>[2]S1!P438</f>
        <v>9602250433</v>
      </c>
      <c r="O437" s="14"/>
    </row>
    <row r="438" spans="1:15" x14ac:dyDescent="0.3">
      <c r="A438" s="11">
        <v>3485</v>
      </c>
      <c r="B438" s="12" t="str">
        <f>[3]Name!E2489</f>
        <v>Manish Kumari Bhandoriya</v>
      </c>
      <c r="C438" s="13">
        <f>[2]S1!C439</f>
        <v>500</v>
      </c>
      <c r="D438" s="13">
        <f>[2]S1!D439</f>
        <v>0</v>
      </c>
      <c r="E438" s="26">
        <f>[2]S1!E439</f>
        <v>200</v>
      </c>
      <c r="F438" s="26">
        <f>[2]S1!F439</f>
        <v>0</v>
      </c>
      <c r="G438" s="22">
        <f>[2]S1!G439</f>
        <v>0</v>
      </c>
      <c r="H438" s="22">
        <f>[2]S1!H439</f>
        <v>0</v>
      </c>
      <c r="I438" s="22">
        <f>[2]S1!I439</f>
        <v>57</v>
      </c>
      <c r="J438" s="13">
        <f>[2]S1!J439</f>
        <v>0</v>
      </c>
      <c r="K438" s="19">
        <f>[2]S1!K439</f>
        <v>257</v>
      </c>
      <c r="L438" s="52">
        <f>[2]S1!L439</f>
        <v>5705</v>
      </c>
      <c r="M438" s="58">
        <f>[2]S1!M439</f>
        <v>28</v>
      </c>
      <c r="N438" s="49">
        <f>[2]S1!P439</f>
        <v>9602250433</v>
      </c>
      <c r="O438" s="14"/>
    </row>
    <row r="439" spans="1:15" x14ac:dyDescent="0.3">
      <c r="A439" s="11">
        <v>3486</v>
      </c>
      <c r="B439" s="12" t="str">
        <f>[3]Name!E2490</f>
        <v>Mamata Devi Bhandoriya</v>
      </c>
      <c r="C439" s="13">
        <f>[2]S1!C440</f>
        <v>500</v>
      </c>
      <c r="D439" s="13">
        <f>[2]S1!D440</f>
        <v>0</v>
      </c>
      <c r="E439" s="26">
        <f>[2]S1!E440</f>
        <v>200</v>
      </c>
      <c r="F439" s="26">
        <f>[2]S1!F440</f>
        <v>0</v>
      </c>
      <c r="G439" s="22">
        <f>[2]S1!G440</f>
        <v>500</v>
      </c>
      <c r="H439" s="22">
        <f>[2]S1!H440</f>
        <v>0</v>
      </c>
      <c r="I439" s="22">
        <f>[2]S1!I440</f>
        <v>65</v>
      </c>
      <c r="J439" s="13">
        <f>[2]S1!J440</f>
        <v>0</v>
      </c>
      <c r="K439" s="19">
        <f>[2]S1!K440</f>
        <v>765</v>
      </c>
      <c r="L439" s="52">
        <f>[2]S1!L440</f>
        <v>6500</v>
      </c>
      <c r="M439" s="58">
        <f>[2]S1!M440</f>
        <v>28</v>
      </c>
      <c r="N439" s="49">
        <f>[2]S1!P440</f>
        <v>9602250433</v>
      </c>
      <c r="O439" s="14"/>
    </row>
    <row r="440" spans="1:15" x14ac:dyDescent="0.3">
      <c r="A440" s="11">
        <v>3487</v>
      </c>
      <c r="B440" s="12" t="str">
        <f>[3]Name!E2491</f>
        <v>Rajesh Kumar Bhandoriya</v>
      </c>
      <c r="C440" s="13">
        <f>[2]S1!C441</f>
        <v>500</v>
      </c>
      <c r="D440" s="13">
        <f>[2]S1!D441</f>
        <v>0</v>
      </c>
      <c r="E440" s="26">
        <f>[2]S1!E441</f>
        <v>200</v>
      </c>
      <c r="F440" s="26">
        <f>[2]S1!F441</f>
        <v>0</v>
      </c>
      <c r="G440" s="22">
        <f>[2]S1!G441</f>
        <v>500</v>
      </c>
      <c r="H440" s="22">
        <f>[2]S1!H441</f>
        <v>0</v>
      </c>
      <c r="I440" s="22">
        <f>[2]S1!I441</f>
        <v>65</v>
      </c>
      <c r="J440" s="13">
        <f>[2]S1!J441</f>
        <v>0</v>
      </c>
      <c r="K440" s="19">
        <f>[2]S1!K441</f>
        <v>765</v>
      </c>
      <c r="L440" s="52">
        <f>[2]S1!L441</f>
        <v>6500</v>
      </c>
      <c r="M440" s="58">
        <f>[2]S1!M441</f>
        <v>28</v>
      </c>
      <c r="N440" s="49">
        <f>[2]S1!P441</f>
        <v>9602250433</v>
      </c>
      <c r="O440" s="14"/>
    </row>
    <row r="441" spans="1:15" x14ac:dyDescent="0.3">
      <c r="A441" s="11">
        <v>3488</v>
      </c>
      <c r="B441" s="12" t="str">
        <f>[3]Name!E2492</f>
        <v>Suresh Kumar Bhandoriya</v>
      </c>
      <c r="C441" s="13">
        <f>[2]S1!C442</f>
        <v>500</v>
      </c>
      <c r="D441" s="13">
        <f>[2]S1!D442</f>
        <v>0</v>
      </c>
      <c r="E441" s="26">
        <f>[2]S1!E442</f>
        <v>200</v>
      </c>
      <c r="F441" s="26">
        <f>[2]S1!F442</f>
        <v>0</v>
      </c>
      <c r="G441" s="22">
        <f>[2]S1!G442</f>
        <v>500</v>
      </c>
      <c r="H441" s="22">
        <f>[2]S1!H442</f>
        <v>0</v>
      </c>
      <c r="I441" s="22">
        <f>[2]S1!I442</f>
        <v>65</v>
      </c>
      <c r="J441" s="13">
        <f>[2]S1!J442</f>
        <v>0</v>
      </c>
      <c r="K441" s="19">
        <f>[2]S1!K442</f>
        <v>765</v>
      </c>
      <c r="L441" s="52">
        <f>[2]S1!L442</f>
        <v>6500</v>
      </c>
      <c r="M441" s="58">
        <f>[2]S1!M442</f>
        <v>28</v>
      </c>
      <c r="N441" s="49">
        <f>[2]S1!P442</f>
        <v>9602250433</v>
      </c>
      <c r="O441" s="14"/>
    </row>
    <row r="442" spans="1:15" x14ac:dyDescent="0.3">
      <c r="A442" s="11">
        <v>3489</v>
      </c>
      <c r="B442" s="12" t="str">
        <f>[3]Name!E2493</f>
        <v>Mamta Devi Ladna</v>
      </c>
      <c r="C442" s="13">
        <f>[2]S1!C443</f>
        <v>500</v>
      </c>
      <c r="D442" s="13">
        <f>[2]S1!D443</f>
        <v>0</v>
      </c>
      <c r="E442" s="26">
        <f>[2]S1!E443</f>
        <v>200</v>
      </c>
      <c r="F442" s="26">
        <f>[2]S1!F443</f>
        <v>0</v>
      </c>
      <c r="G442" s="22">
        <f>[2]S1!G443</f>
        <v>500</v>
      </c>
      <c r="H442" s="22">
        <f>[2]S1!H443</f>
        <v>0</v>
      </c>
      <c r="I442" s="22">
        <f>[2]S1!I443</f>
        <v>90</v>
      </c>
      <c r="J442" s="13">
        <f>[2]S1!J443</f>
        <v>0</v>
      </c>
      <c r="K442" s="19">
        <f>[2]S1!K443</f>
        <v>790</v>
      </c>
      <c r="L442" s="52">
        <f>[2]S1!L443</f>
        <v>9000</v>
      </c>
      <c r="M442" s="58">
        <f>[2]S1!M443</f>
        <v>23</v>
      </c>
      <c r="N442" s="49">
        <f>[2]S1!P443</f>
        <v>9929457372</v>
      </c>
      <c r="O442" s="14"/>
    </row>
    <row r="443" spans="1:15" x14ac:dyDescent="0.3">
      <c r="A443" s="11">
        <v>3490</v>
      </c>
      <c r="B443" s="12" t="str">
        <f>[3]Name!E2494</f>
        <v>Mahesh Kumar Ladna</v>
      </c>
      <c r="C443" s="13">
        <f>[2]S1!C444</f>
        <v>500</v>
      </c>
      <c r="D443" s="13">
        <f>[2]S1!D444</f>
        <v>0</v>
      </c>
      <c r="E443" s="26">
        <f>[2]S1!E444</f>
        <v>200</v>
      </c>
      <c r="F443" s="26">
        <f>[2]S1!F444</f>
        <v>0</v>
      </c>
      <c r="G443" s="22">
        <f>[2]S1!G444</f>
        <v>0</v>
      </c>
      <c r="H443" s="22">
        <f>[2]S1!H444</f>
        <v>0</v>
      </c>
      <c r="I443" s="22">
        <f>[2]S1!I444</f>
        <v>79</v>
      </c>
      <c r="J443" s="13">
        <f>[2]S1!J444</f>
        <v>0</v>
      </c>
      <c r="K443" s="19">
        <f>[2]S1!K444</f>
        <v>279</v>
      </c>
      <c r="L443" s="52">
        <f>[2]S1!L444</f>
        <v>7882</v>
      </c>
      <c r="M443" s="58">
        <f>[2]S1!M444</f>
        <v>23</v>
      </c>
      <c r="N443" s="49">
        <f>[2]S1!P444</f>
        <v>9929457372</v>
      </c>
      <c r="O443" s="14"/>
    </row>
    <row r="444" spans="1:15" x14ac:dyDescent="0.3">
      <c r="A444" s="11">
        <v>3491</v>
      </c>
      <c r="B444" s="12" t="str">
        <f>[3]Name!E2495</f>
        <v>Raj Kumar Ladna</v>
      </c>
      <c r="C444" s="13">
        <f>[2]S1!C445</f>
        <v>500</v>
      </c>
      <c r="D444" s="13">
        <f>[2]S1!D445</f>
        <v>0</v>
      </c>
      <c r="E444" s="26">
        <f>[2]S1!E445</f>
        <v>200</v>
      </c>
      <c r="F444" s="26">
        <f>[2]S1!F445</f>
        <v>0</v>
      </c>
      <c r="G444" s="22">
        <f>[2]S1!G445</f>
        <v>500</v>
      </c>
      <c r="H444" s="22">
        <f>[2]S1!H445</f>
        <v>0</v>
      </c>
      <c r="I444" s="22">
        <f>[2]S1!I445</f>
        <v>90</v>
      </c>
      <c r="J444" s="13">
        <f>[2]S1!J445</f>
        <v>0</v>
      </c>
      <c r="K444" s="19">
        <f>[2]S1!K445</f>
        <v>790</v>
      </c>
      <c r="L444" s="52">
        <f>[2]S1!L445</f>
        <v>9000</v>
      </c>
      <c r="M444" s="58">
        <f>[2]S1!M445</f>
        <v>23</v>
      </c>
      <c r="N444" s="49">
        <f>[2]S1!P445</f>
        <v>9929457372</v>
      </c>
      <c r="O444" s="14"/>
    </row>
    <row r="445" spans="1:15" x14ac:dyDescent="0.3">
      <c r="A445" s="11">
        <v>3492</v>
      </c>
      <c r="B445" s="12" t="str">
        <f>[3]Name!E2496</f>
        <v>Priyanshi Kumari Ladna</v>
      </c>
      <c r="C445" s="13">
        <f>[2]S1!C446</f>
        <v>500</v>
      </c>
      <c r="D445" s="13">
        <f>[2]S1!D446</f>
        <v>0</v>
      </c>
      <c r="E445" s="26">
        <f>[2]S1!E446</f>
        <v>200</v>
      </c>
      <c r="F445" s="26">
        <f>[2]S1!F446</f>
        <v>0</v>
      </c>
      <c r="G445" s="22">
        <f>[2]S1!G446</f>
        <v>500</v>
      </c>
      <c r="H445" s="22">
        <f>[2]S1!H446</f>
        <v>0</v>
      </c>
      <c r="I445" s="22">
        <f>[2]S1!I446</f>
        <v>90</v>
      </c>
      <c r="J445" s="13">
        <f>[2]S1!J446</f>
        <v>0</v>
      </c>
      <c r="K445" s="19">
        <f>[2]S1!K446</f>
        <v>790</v>
      </c>
      <c r="L445" s="52">
        <f>[2]S1!L446</f>
        <v>9000</v>
      </c>
      <c r="M445" s="58">
        <f>[2]S1!M446</f>
        <v>23</v>
      </c>
      <c r="N445" s="49">
        <f>[2]S1!P446</f>
        <v>9929457372</v>
      </c>
      <c r="O445" s="14"/>
    </row>
    <row r="446" spans="1:15" x14ac:dyDescent="0.3">
      <c r="A446" s="11">
        <v>3493</v>
      </c>
      <c r="B446" s="12" t="str">
        <f>[3]Name!E2497</f>
        <v>Hira Lal Ladna</v>
      </c>
      <c r="C446" s="13">
        <f>[2]S1!C447</f>
        <v>0</v>
      </c>
      <c r="D446" s="13">
        <f>[2]S1!D447</f>
        <v>0</v>
      </c>
      <c r="E446" s="26">
        <f>[2]S1!E447</f>
        <v>200</v>
      </c>
      <c r="F446" s="26">
        <f>[2]S1!F447</f>
        <v>0</v>
      </c>
      <c r="G446" s="22">
        <f>[2]S1!G447</f>
        <v>0</v>
      </c>
      <c r="H446" s="22">
        <f>[2]S1!H447</f>
        <v>0</v>
      </c>
      <c r="I446" s="22">
        <f>[2]S1!I447</f>
        <v>30</v>
      </c>
      <c r="J446" s="13">
        <f>[2]S1!J447</f>
        <v>0</v>
      </c>
      <c r="K446" s="19">
        <f>[2]S1!K447</f>
        <v>230</v>
      </c>
      <c r="L446" s="52">
        <f>[2]S1!L447</f>
        <v>2961</v>
      </c>
      <c r="M446" s="58">
        <f>[2]S1!M447</f>
        <v>3</v>
      </c>
      <c r="N446" s="49">
        <f>[2]S1!P447</f>
        <v>9828072747</v>
      </c>
      <c r="O446" s="14"/>
    </row>
    <row r="447" spans="1:15" x14ac:dyDescent="0.3">
      <c r="A447" s="11">
        <v>3494</v>
      </c>
      <c r="B447" s="12" t="str">
        <f>[3]Name!E2498</f>
        <v>Santosh Ladna</v>
      </c>
      <c r="C447" s="13">
        <f>[2]S1!C448</f>
        <v>0</v>
      </c>
      <c r="D447" s="13">
        <f>[2]S1!D448</f>
        <v>0</v>
      </c>
      <c r="E447" s="26">
        <f>[2]S1!E448</f>
        <v>200</v>
      </c>
      <c r="F447" s="26">
        <f>[2]S1!F448</f>
        <v>0</v>
      </c>
      <c r="G447" s="22">
        <f>[2]S1!G448</f>
        <v>0</v>
      </c>
      <c r="H447" s="22">
        <f>[2]S1!H448</f>
        <v>0</v>
      </c>
      <c r="I447" s="22">
        <f>[2]S1!I448</f>
        <v>36</v>
      </c>
      <c r="J447" s="13">
        <f>[2]S1!J448</f>
        <v>0</v>
      </c>
      <c r="K447" s="19">
        <f>[2]S1!K448</f>
        <v>236</v>
      </c>
      <c r="L447" s="52">
        <f>[2]S1!L448</f>
        <v>3600</v>
      </c>
      <c r="M447" s="58">
        <f>[2]S1!M448</f>
        <v>3</v>
      </c>
      <c r="N447" s="49">
        <f>[2]S1!P448</f>
        <v>9828072747</v>
      </c>
      <c r="O447" s="14"/>
    </row>
    <row r="448" spans="1:15" x14ac:dyDescent="0.3">
      <c r="A448" s="11">
        <v>3495</v>
      </c>
      <c r="B448" s="12" t="str">
        <f>[3]Name!E2499</f>
        <v>Komal Ladna</v>
      </c>
      <c r="C448" s="13">
        <f>[2]S1!C449</f>
        <v>0</v>
      </c>
      <c r="D448" s="13">
        <f>[2]S1!D449</f>
        <v>0</v>
      </c>
      <c r="E448" s="26">
        <f>[2]S1!E449</f>
        <v>200</v>
      </c>
      <c r="F448" s="26">
        <f>[2]S1!F449</f>
        <v>0</v>
      </c>
      <c r="G448" s="22">
        <f>[2]S1!G449</f>
        <v>0</v>
      </c>
      <c r="H448" s="22">
        <f>[2]S1!H449</f>
        <v>0</v>
      </c>
      <c r="I448" s="22">
        <f>[2]S1!I449</f>
        <v>36</v>
      </c>
      <c r="J448" s="13">
        <f>[2]S1!J449</f>
        <v>0</v>
      </c>
      <c r="K448" s="19">
        <f>[2]S1!K449</f>
        <v>236</v>
      </c>
      <c r="L448" s="52">
        <f>[2]S1!L449</f>
        <v>3600</v>
      </c>
      <c r="M448" s="58">
        <f>[2]S1!M449</f>
        <v>3</v>
      </c>
      <c r="N448" s="49">
        <f>[2]S1!P449</f>
        <v>9828072747</v>
      </c>
      <c r="O448" s="14"/>
    </row>
    <row r="449" spans="1:15" x14ac:dyDescent="0.3">
      <c r="A449" s="11">
        <v>3496</v>
      </c>
      <c r="B449" s="12" t="str">
        <f>[3]Name!E2500</f>
        <v>Bajarng Lal Varma</v>
      </c>
      <c r="C449" s="13">
        <f>[2]S1!C450</f>
        <v>1000</v>
      </c>
      <c r="D449" s="13">
        <f>[2]S1!D450</f>
        <v>0</v>
      </c>
      <c r="E449" s="26">
        <f>[2]S1!E450</f>
        <v>200</v>
      </c>
      <c r="F449" s="26">
        <f>[2]S1!F450</f>
        <v>0</v>
      </c>
      <c r="G449" s="22">
        <f>[2]S1!G450</f>
        <v>1000</v>
      </c>
      <c r="H449" s="22">
        <f>[2]S1!H450</f>
        <v>0</v>
      </c>
      <c r="I449" s="22">
        <f>[2]S1!I450</f>
        <v>90</v>
      </c>
      <c r="J449" s="13">
        <f>[2]S1!J450</f>
        <v>0</v>
      </c>
      <c r="K449" s="19">
        <f>[2]S1!K450</f>
        <v>1290</v>
      </c>
      <c r="L449" s="52">
        <f>[2]S1!L450</f>
        <v>9000</v>
      </c>
      <c r="M449" s="58">
        <f>[2]S1!M450</f>
        <v>12</v>
      </c>
      <c r="N449" s="49">
        <f>[2]S1!P450</f>
        <v>8619882463</v>
      </c>
      <c r="O449" s="14"/>
    </row>
    <row r="450" spans="1:15" x14ac:dyDescent="0.3">
      <c r="A450" s="11">
        <v>3497</v>
      </c>
      <c r="B450" s="12" t="str">
        <f>[3]Name!E2501</f>
        <v>Kunal Varma</v>
      </c>
      <c r="C450" s="13">
        <f>[2]S1!C451</f>
        <v>0</v>
      </c>
      <c r="D450" s="13">
        <f>[2]S1!D451</f>
        <v>0</v>
      </c>
      <c r="E450" s="26">
        <f>[2]S1!E451</f>
        <v>200</v>
      </c>
      <c r="F450" s="26">
        <f>[2]S1!F451</f>
        <v>0</v>
      </c>
      <c r="G450" s="22">
        <f>[2]S1!G451</f>
        <v>0</v>
      </c>
      <c r="H450" s="22">
        <f>[2]S1!H451</f>
        <v>0</v>
      </c>
      <c r="I450" s="22">
        <f>[2]S1!I451</f>
        <v>0</v>
      </c>
      <c r="J450" s="13">
        <f>[2]S1!J451</f>
        <v>0</v>
      </c>
      <c r="K450" s="19">
        <f>[2]S1!K451</f>
        <v>200</v>
      </c>
      <c r="L450" s="52">
        <f>[2]S1!L451</f>
        <v>0</v>
      </c>
      <c r="M450" s="58">
        <f>[2]S1!M451</f>
        <v>0</v>
      </c>
      <c r="N450" s="49">
        <f>[2]S1!P451</f>
        <v>8619882463</v>
      </c>
      <c r="O450" s="14"/>
    </row>
    <row r="451" spans="1:15" x14ac:dyDescent="0.3">
      <c r="A451" s="11">
        <v>3498</v>
      </c>
      <c r="B451" s="12" t="str">
        <f>[3]Name!E2502</f>
        <v>Mangi Lal meharda</v>
      </c>
      <c r="C451" s="13">
        <f>[2]S1!C452</f>
        <v>0</v>
      </c>
      <c r="D451" s="13">
        <f>[2]S1!D452</f>
        <v>0</v>
      </c>
      <c r="E451" s="26">
        <f>[2]S1!E452</f>
        <v>177</v>
      </c>
      <c r="F451" s="26">
        <f>[2]S1!F452</f>
        <v>0</v>
      </c>
      <c r="G451" s="22">
        <f>[2]S1!G452</f>
        <v>0</v>
      </c>
      <c r="H451" s="22">
        <f>[2]S1!H452</f>
        <v>0</v>
      </c>
      <c r="I451" s="22">
        <f>[2]S1!I452</f>
        <v>0</v>
      </c>
      <c r="J451" s="13">
        <f>[2]S1!J452</f>
        <v>0</v>
      </c>
      <c r="K451" s="19">
        <f>[2]S1!K452</f>
        <v>177</v>
      </c>
      <c r="L451" s="52">
        <f>[2]S1!L452</f>
        <v>0</v>
      </c>
      <c r="M451" s="58">
        <f>[2]S1!M452</f>
        <v>0</v>
      </c>
      <c r="N451" s="49">
        <f>[2]S1!P452</f>
        <v>9571402502</v>
      </c>
      <c r="O451" s="14"/>
    </row>
    <row r="452" spans="1:15" x14ac:dyDescent="0.3">
      <c r="A452" s="11">
        <v>3499</v>
      </c>
      <c r="B452" s="12" t="str">
        <f>[3]Name!E2503</f>
        <v>Dinesh Kumar Meharda</v>
      </c>
      <c r="C452" s="13">
        <f>[2]S1!C453</f>
        <v>0</v>
      </c>
      <c r="D452" s="13">
        <f>[2]S1!D453</f>
        <v>0</v>
      </c>
      <c r="E452" s="26">
        <f>[2]S1!E453</f>
        <v>200</v>
      </c>
      <c r="F452" s="26">
        <f>[2]S1!F453</f>
        <v>0</v>
      </c>
      <c r="G452" s="22">
        <f>[2]S1!G453</f>
        <v>0</v>
      </c>
      <c r="H452" s="22">
        <f>[2]S1!H453</f>
        <v>0</v>
      </c>
      <c r="I452" s="22">
        <f>[2]S1!I453</f>
        <v>0</v>
      </c>
      <c r="J452" s="13">
        <f>[2]S1!J453</f>
        <v>0</v>
      </c>
      <c r="K452" s="19">
        <f>[2]S1!K453</f>
        <v>200</v>
      </c>
      <c r="L452" s="52">
        <f>[2]S1!L453</f>
        <v>0</v>
      </c>
      <c r="M452" s="58">
        <f>[2]S1!M453</f>
        <v>0</v>
      </c>
      <c r="N452" s="49">
        <f>[2]S1!P453</f>
        <v>9571402502</v>
      </c>
      <c r="O452" s="14"/>
    </row>
    <row r="453" spans="1:15" x14ac:dyDescent="0.3">
      <c r="A453" s="11">
        <v>3500</v>
      </c>
      <c r="B453" s="12" t="str">
        <f>[3]Name!E2504</f>
        <v>Kosalya Devi Meharda</v>
      </c>
      <c r="C453" s="13">
        <f>[2]S1!C454</f>
        <v>0</v>
      </c>
      <c r="D453" s="13">
        <f>[2]S1!D454</f>
        <v>0</v>
      </c>
      <c r="E453" s="26">
        <f>[2]S1!E454</f>
        <v>200</v>
      </c>
      <c r="F453" s="26">
        <f>[2]S1!F454</f>
        <v>0</v>
      </c>
      <c r="G453" s="22">
        <f>[2]S1!G454</f>
        <v>0</v>
      </c>
      <c r="H453" s="22">
        <f>[2]S1!H454</f>
        <v>0</v>
      </c>
      <c r="I453" s="22">
        <f>[2]S1!I454</f>
        <v>0</v>
      </c>
      <c r="J453" s="13">
        <f>[2]S1!J454</f>
        <v>0</v>
      </c>
      <c r="K453" s="19">
        <f>[2]S1!K454</f>
        <v>200</v>
      </c>
      <c r="L453" s="52">
        <f>[2]S1!L454</f>
        <v>0</v>
      </c>
      <c r="M453" s="58">
        <f>[2]S1!M454</f>
        <v>0</v>
      </c>
      <c r="N453" s="49">
        <f>[2]S1!P454</f>
        <v>9571402502</v>
      </c>
      <c r="O453" s="14"/>
    </row>
    <row r="454" spans="1:15" x14ac:dyDescent="0.3">
      <c r="A454" s="11">
        <v>3501</v>
      </c>
      <c r="B454" s="12" t="str">
        <f>[3]Name!E2505</f>
        <v>Madan Lal Rojada</v>
      </c>
      <c r="C454" s="13">
        <f>[2]S1!C455</f>
        <v>1000</v>
      </c>
      <c r="D454" s="13">
        <f>[2]S1!D455</f>
        <v>473</v>
      </c>
      <c r="E454" s="26">
        <f>[2]S1!E455</f>
        <v>2600</v>
      </c>
      <c r="F454" s="26">
        <f>[2]S1!F455</f>
        <v>717</v>
      </c>
      <c r="G454" s="22">
        <f>[2]S1!G455</f>
        <v>2060</v>
      </c>
      <c r="H454" s="22">
        <f>[2]S1!H455</f>
        <v>633</v>
      </c>
      <c r="I454" s="22">
        <f>[2]S1!I455</f>
        <v>31</v>
      </c>
      <c r="J454" s="13">
        <f>[2]S1!J455</f>
        <v>0</v>
      </c>
      <c r="K454" s="19">
        <f>[2]S1!K455</f>
        <v>6041</v>
      </c>
      <c r="L454" s="52">
        <f>[2]S1!L455</f>
        <v>3060</v>
      </c>
      <c r="M454" s="58">
        <f>[2]S1!M455</f>
        <v>19</v>
      </c>
      <c r="N454" s="49">
        <f>[2]S1!P455</f>
        <v>8058431101</v>
      </c>
      <c r="O454" s="14"/>
    </row>
    <row r="455" spans="1:15" x14ac:dyDescent="0.3">
      <c r="A455" s="11">
        <v>3502</v>
      </c>
      <c r="B455" s="12" t="str">
        <f>[3]Name!E2506</f>
        <v>Savitri Devi Lal Rojada</v>
      </c>
      <c r="C455" s="13">
        <f>[2]S1!C456</f>
        <v>1000</v>
      </c>
      <c r="D455" s="13">
        <f>[2]S1!D456</f>
        <v>442</v>
      </c>
      <c r="E455" s="26">
        <f>[2]S1!E456</f>
        <v>2600</v>
      </c>
      <c r="F455" s="26">
        <f>[2]S1!F456</f>
        <v>717</v>
      </c>
      <c r="G455" s="22">
        <f>[2]S1!G456</f>
        <v>2594</v>
      </c>
      <c r="H455" s="22">
        <f>[2]S1!H456</f>
        <v>546</v>
      </c>
      <c r="I455" s="22">
        <f>[2]S1!I456</f>
        <v>36</v>
      </c>
      <c r="J455" s="13">
        <f>[2]S1!J456</f>
        <v>0</v>
      </c>
      <c r="K455" s="19">
        <f>[2]S1!K456</f>
        <v>6493</v>
      </c>
      <c r="L455" s="52">
        <f>[2]S1!L456</f>
        <v>3594</v>
      </c>
      <c r="M455" s="58">
        <f>[2]S1!M456</f>
        <v>19</v>
      </c>
      <c r="N455" s="49">
        <f>[2]S1!P456</f>
        <v>8058431101</v>
      </c>
      <c r="O455" s="14"/>
    </row>
    <row r="456" spans="1:15" x14ac:dyDescent="0.3">
      <c r="A456" s="11">
        <v>3503</v>
      </c>
      <c r="B456" s="12" t="str">
        <f>[3]Name!E2507</f>
        <v>Gulab devi Meharda</v>
      </c>
      <c r="C456" s="13">
        <f>[2]S1!C457</f>
        <v>0</v>
      </c>
      <c r="D456" s="13">
        <f>[2]S1!D457</f>
        <v>0</v>
      </c>
      <c r="E456" s="26">
        <f>[2]S1!E457</f>
        <v>0</v>
      </c>
      <c r="F456" s="26">
        <f>[2]S1!F457</f>
        <v>0</v>
      </c>
      <c r="G456" s="22">
        <f>[2]S1!G457</f>
        <v>0</v>
      </c>
      <c r="H456" s="22">
        <f>[2]S1!H457</f>
        <v>0</v>
      </c>
      <c r="I456" s="22">
        <f>[2]S1!I457</f>
        <v>0</v>
      </c>
      <c r="J456" s="13">
        <f>[2]S1!J457</f>
        <v>0</v>
      </c>
      <c r="K456" s="19">
        <f>[2]S1!K457</f>
        <v>0</v>
      </c>
      <c r="L456" s="52">
        <f>[2]S1!L457</f>
        <v>0</v>
      </c>
      <c r="M456" s="58">
        <f>[2]S1!M457</f>
        <v>0</v>
      </c>
      <c r="N456" s="49">
        <f>[2]S1!P457</f>
        <v>8769411411</v>
      </c>
      <c r="O456" s="14"/>
    </row>
    <row r="457" spans="1:15" x14ac:dyDescent="0.3">
      <c r="A457" s="11">
        <v>3504</v>
      </c>
      <c r="B457" s="12" t="str">
        <f>[3]Name!E2508</f>
        <v>Ram Kumar Meharda</v>
      </c>
      <c r="C457" s="13">
        <f>[2]S1!C458</f>
        <v>0</v>
      </c>
      <c r="D457" s="13">
        <f>[2]S1!D458</f>
        <v>0</v>
      </c>
      <c r="E457" s="26">
        <f>[2]S1!E458</f>
        <v>0</v>
      </c>
      <c r="F457" s="26">
        <f>[2]S1!F458</f>
        <v>0</v>
      </c>
      <c r="G457" s="22">
        <f>[2]S1!G458</f>
        <v>0</v>
      </c>
      <c r="H457" s="22">
        <f>[2]S1!H458</f>
        <v>0</v>
      </c>
      <c r="I457" s="22">
        <f>[2]S1!I458</f>
        <v>0</v>
      </c>
      <c r="J457" s="13">
        <f>[2]S1!J458</f>
        <v>0</v>
      </c>
      <c r="K457" s="19">
        <f>[2]S1!K458</f>
        <v>0</v>
      </c>
      <c r="L457" s="52">
        <f>[2]S1!L458</f>
        <v>0</v>
      </c>
      <c r="M457" s="58">
        <f>[2]S1!M458</f>
        <v>0</v>
      </c>
      <c r="N457" s="49">
        <f>[2]S1!P458</f>
        <v>8769411411</v>
      </c>
      <c r="O457" s="14"/>
    </row>
    <row r="458" spans="1:15" x14ac:dyDescent="0.3">
      <c r="A458" s="11">
        <v>3505</v>
      </c>
      <c r="B458" s="12" t="str">
        <f>[3]Name!E2509</f>
        <v>Manju Devi Meharda</v>
      </c>
      <c r="C458" s="13">
        <f>[2]S1!C459</f>
        <v>0</v>
      </c>
      <c r="D458" s="13">
        <f>[2]S1!D459</f>
        <v>0</v>
      </c>
      <c r="E458" s="26">
        <f>[2]S1!E459</f>
        <v>0</v>
      </c>
      <c r="F458" s="26">
        <f>[2]S1!F459</f>
        <v>0</v>
      </c>
      <c r="G458" s="22">
        <f>[2]S1!G459</f>
        <v>0</v>
      </c>
      <c r="H458" s="22">
        <f>[2]S1!H459</f>
        <v>0</v>
      </c>
      <c r="I458" s="22">
        <f>[2]S1!I459</f>
        <v>0</v>
      </c>
      <c r="J458" s="13">
        <f>[2]S1!J459</f>
        <v>0</v>
      </c>
      <c r="K458" s="19">
        <f>[2]S1!K459</f>
        <v>0</v>
      </c>
      <c r="L458" s="52">
        <f>[2]S1!L459</f>
        <v>0</v>
      </c>
      <c r="M458" s="58">
        <f>[2]S1!M459</f>
        <v>0</v>
      </c>
      <c r="N458" s="49">
        <f>[2]S1!P459</f>
        <v>8769411411</v>
      </c>
      <c r="O458" s="14"/>
    </row>
    <row r="459" spans="1:15" x14ac:dyDescent="0.3">
      <c r="A459" s="11">
        <v>3506</v>
      </c>
      <c r="B459" s="12" t="str">
        <f>[3]Name!E2510</f>
        <v>Rekha Kumari Meharda</v>
      </c>
      <c r="C459" s="13">
        <f>[2]S1!C460</f>
        <v>0</v>
      </c>
      <c r="D459" s="13">
        <f>[2]S1!D460</f>
        <v>0</v>
      </c>
      <c r="E459" s="26">
        <f>[2]S1!E460</f>
        <v>0</v>
      </c>
      <c r="F459" s="26">
        <f>[2]S1!F460</f>
        <v>0</v>
      </c>
      <c r="G459" s="22">
        <f>[2]S1!G460</f>
        <v>0</v>
      </c>
      <c r="H459" s="22">
        <f>[2]S1!H460</f>
        <v>0</v>
      </c>
      <c r="I459" s="22">
        <f>[2]S1!I460</f>
        <v>0</v>
      </c>
      <c r="J459" s="13">
        <f>[2]S1!J460</f>
        <v>0</v>
      </c>
      <c r="K459" s="19">
        <f>[2]S1!K460</f>
        <v>0</v>
      </c>
      <c r="L459" s="52">
        <f>[2]S1!L460</f>
        <v>0</v>
      </c>
      <c r="M459" s="58">
        <f>[2]S1!M460</f>
        <v>0</v>
      </c>
      <c r="N459" s="49">
        <f>[2]S1!P460</f>
        <v>8769411411</v>
      </c>
      <c r="O459" s="14"/>
    </row>
    <row r="460" spans="1:15" x14ac:dyDescent="0.3">
      <c r="A460" s="11">
        <v>3507</v>
      </c>
      <c r="B460" s="12" t="str">
        <f>[3]Name!E2511</f>
        <v>Avinash Meharda</v>
      </c>
      <c r="C460" s="13">
        <f>[2]S1!C461</f>
        <v>0</v>
      </c>
      <c r="D460" s="13">
        <f>[2]S1!D461</f>
        <v>0</v>
      </c>
      <c r="E460" s="26">
        <f>[2]S1!E461</f>
        <v>0</v>
      </c>
      <c r="F460" s="26">
        <f>[2]S1!F461</f>
        <v>0</v>
      </c>
      <c r="G460" s="22">
        <f>[2]S1!G461</f>
        <v>0</v>
      </c>
      <c r="H460" s="22">
        <f>[2]S1!H461</f>
        <v>0</v>
      </c>
      <c r="I460" s="22">
        <f>[2]S1!I461</f>
        <v>0</v>
      </c>
      <c r="J460" s="13">
        <f>[2]S1!J461</f>
        <v>0</v>
      </c>
      <c r="K460" s="19">
        <f>[2]S1!K461</f>
        <v>0</v>
      </c>
      <c r="L460" s="52">
        <f>[2]S1!L461</f>
        <v>0</v>
      </c>
      <c r="M460" s="58">
        <f>[2]S1!M461</f>
        <v>0</v>
      </c>
      <c r="N460" s="49">
        <f>[2]S1!P461</f>
        <v>8769411411</v>
      </c>
      <c r="O460" s="14"/>
    </row>
    <row r="461" spans="1:15" x14ac:dyDescent="0.3">
      <c r="A461" s="11">
        <v>3508</v>
      </c>
      <c r="B461" s="12" t="str">
        <f>[3]Name!E2512</f>
        <v>Dipak Kumar Jhatival</v>
      </c>
      <c r="C461" s="13">
        <f>[2]S1!C462</f>
        <v>0</v>
      </c>
      <c r="D461" s="13">
        <f>[2]S1!D462</f>
        <v>0</v>
      </c>
      <c r="E461" s="26">
        <f>[2]S1!E462</f>
        <v>137</v>
      </c>
      <c r="F461" s="26">
        <f>[2]S1!F462</f>
        <v>0</v>
      </c>
      <c r="G461" s="22">
        <f>[2]S1!G462</f>
        <v>0</v>
      </c>
      <c r="H461" s="22">
        <f>[2]S1!H462</f>
        <v>0</v>
      </c>
      <c r="I461" s="22">
        <f>[2]S1!I462</f>
        <v>0</v>
      </c>
      <c r="J461" s="13">
        <f>[2]S1!J462</f>
        <v>0</v>
      </c>
      <c r="K461" s="19">
        <f>[2]S1!K462</f>
        <v>137</v>
      </c>
      <c r="L461" s="52">
        <f>[2]S1!L462</f>
        <v>0</v>
      </c>
      <c r="M461" s="58">
        <f>[2]S1!M462</f>
        <v>0</v>
      </c>
      <c r="N461" s="49">
        <f>[2]S1!P462</f>
        <v>9667461338</v>
      </c>
      <c r="O461" s="14"/>
    </row>
    <row r="462" spans="1:15" x14ac:dyDescent="0.3">
      <c r="A462" s="11">
        <v>3509</v>
      </c>
      <c r="B462" s="12" t="str">
        <f>[3]Name!E2513</f>
        <v>Vinod Kumar Jhatival</v>
      </c>
      <c r="C462" s="13">
        <f>[2]S1!C463</f>
        <v>0</v>
      </c>
      <c r="D462" s="13">
        <f>[2]S1!D463</f>
        <v>0</v>
      </c>
      <c r="E462" s="26">
        <f>[2]S1!E463</f>
        <v>200</v>
      </c>
      <c r="F462" s="26">
        <f>[2]S1!F463</f>
        <v>0</v>
      </c>
      <c r="G462" s="22">
        <f>[2]S1!G463</f>
        <v>0</v>
      </c>
      <c r="H462" s="22">
        <f>[2]S1!H463</f>
        <v>0</v>
      </c>
      <c r="I462" s="22">
        <f>[2]S1!I463</f>
        <v>0</v>
      </c>
      <c r="J462" s="13">
        <f>[2]S1!J463</f>
        <v>0</v>
      </c>
      <c r="K462" s="19">
        <f>[2]S1!K463</f>
        <v>200</v>
      </c>
      <c r="L462" s="52">
        <f>[2]S1!L463</f>
        <v>0</v>
      </c>
      <c r="M462" s="58">
        <f>[2]S1!M463</f>
        <v>0</v>
      </c>
      <c r="N462" s="49">
        <f>[2]S1!P463</f>
        <v>9667461338</v>
      </c>
      <c r="O462" s="14"/>
    </row>
    <row r="463" spans="1:15" x14ac:dyDescent="0.3">
      <c r="A463" s="11">
        <v>3510</v>
      </c>
      <c r="B463" s="12" t="str">
        <f>[3]Name!E2514</f>
        <v>Manbhar devi Jhatival</v>
      </c>
      <c r="C463" s="13">
        <f>[2]S1!C464</f>
        <v>0</v>
      </c>
      <c r="D463" s="13">
        <f>[2]S1!D464</f>
        <v>0</v>
      </c>
      <c r="E463" s="26">
        <f>[2]S1!E464</f>
        <v>200</v>
      </c>
      <c r="F463" s="26">
        <f>[2]S1!F464</f>
        <v>0</v>
      </c>
      <c r="G463" s="22">
        <f>[2]S1!G464</f>
        <v>0</v>
      </c>
      <c r="H463" s="22">
        <f>[2]S1!H464</f>
        <v>0</v>
      </c>
      <c r="I463" s="22">
        <f>[2]S1!I464</f>
        <v>0</v>
      </c>
      <c r="J463" s="13">
        <f>[2]S1!J464</f>
        <v>0</v>
      </c>
      <c r="K463" s="19">
        <f>[2]S1!K464</f>
        <v>200</v>
      </c>
      <c r="L463" s="52">
        <f>[2]S1!L464</f>
        <v>0</v>
      </c>
      <c r="M463" s="58">
        <f>[2]S1!M464</f>
        <v>0</v>
      </c>
      <c r="N463" s="49">
        <f>[2]S1!P464</f>
        <v>9667461338</v>
      </c>
      <c r="O463" s="14"/>
    </row>
    <row r="464" spans="1:15" x14ac:dyDescent="0.3">
      <c r="A464" s="11">
        <v>3511</v>
      </c>
      <c r="B464" s="12" t="str">
        <f>[3]Name!E2515</f>
        <v>Punam Devi Jhatival</v>
      </c>
      <c r="C464" s="13">
        <f>[2]S1!C465</f>
        <v>0</v>
      </c>
      <c r="D464" s="13">
        <f>[2]S1!D465</f>
        <v>0</v>
      </c>
      <c r="E464" s="26">
        <f>[2]S1!E465</f>
        <v>200</v>
      </c>
      <c r="F464" s="26">
        <f>[2]S1!F465</f>
        <v>0</v>
      </c>
      <c r="G464" s="22">
        <f>[2]S1!G465</f>
        <v>0</v>
      </c>
      <c r="H464" s="22">
        <f>[2]S1!H465</f>
        <v>0</v>
      </c>
      <c r="I464" s="22">
        <f>[2]S1!I465</f>
        <v>0</v>
      </c>
      <c r="J464" s="13">
        <f>[2]S1!J465</f>
        <v>0</v>
      </c>
      <c r="K464" s="19">
        <f>[2]S1!K465</f>
        <v>200</v>
      </c>
      <c r="L464" s="52">
        <f>[2]S1!L465</f>
        <v>0</v>
      </c>
      <c r="M464" s="58">
        <f>[2]S1!M465</f>
        <v>0</v>
      </c>
      <c r="N464" s="49">
        <f>[2]S1!P465</f>
        <v>9667461338</v>
      </c>
      <c r="O464" s="14"/>
    </row>
    <row r="465" spans="1:15" x14ac:dyDescent="0.3">
      <c r="A465" s="11">
        <v>3512</v>
      </c>
      <c r="B465" s="12" t="str">
        <f>[3]Name!E2516</f>
        <v>Krasna devi Jhatival</v>
      </c>
      <c r="C465" s="13">
        <f>[2]S1!C466</f>
        <v>0</v>
      </c>
      <c r="D465" s="13">
        <f>[2]S1!D466</f>
        <v>0</v>
      </c>
      <c r="E465" s="26">
        <f>[2]S1!E466</f>
        <v>200</v>
      </c>
      <c r="F465" s="26">
        <f>[2]S1!F466</f>
        <v>0</v>
      </c>
      <c r="G465" s="22">
        <f>[2]S1!G466</f>
        <v>0</v>
      </c>
      <c r="H465" s="22">
        <f>[2]S1!H466</f>
        <v>0</v>
      </c>
      <c r="I465" s="22">
        <f>[2]S1!I466</f>
        <v>0</v>
      </c>
      <c r="J465" s="13">
        <f>[2]S1!J466</f>
        <v>0</v>
      </c>
      <c r="K465" s="19">
        <f>[2]S1!K466</f>
        <v>200</v>
      </c>
      <c r="L465" s="52">
        <f>[2]S1!L466</f>
        <v>0</v>
      </c>
      <c r="M465" s="58">
        <f>[2]S1!M466</f>
        <v>0</v>
      </c>
      <c r="N465" s="49">
        <f>[2]S1!P466</f>
        <v>9667461338</v>
      </c>
      <c r="O465" s="14"/>
    </row>
    <row r="466" spans="1:15" x14ac:dyDescent="0.3">
      <c r="A466" s="11">
        <v>3513</v>
      </c>
      <c r="B466" s="12" t="str">
        <f>[3]Name!E2517</f>
        <v>Nimash Jhatival</v>
      </c>
      <c r="C466" s="13">
        <f>[2]S1!C467</f>
        <v>0</v>
      </c>
      <c r="D466" s="13">
        <f>[2]S1!D467</f>
        <v>0</v>
      </c>
      <c r="E466" s="26">
        <f>[2]S1!E467</f>
        <v>200</v>
      </c>
      <c r="F466" s="26">
        <f>[2]S1!F467</f>
        <v>0</v>
      </c>
      <c r="G466" s="22">
        <f>[2]S1!G467</f>
        <v>0</v>
      </c>
      <c r="H466" s="22">
        <f>[2]S1!H467</f>
        <v>0</v>
      </c>
      <c r="I466" s="22">
        <f>[2]S1!I467</f>
        <v>0</v>
      </c>
      <c r="J466" s="13">
        <f>[2]S1!J467</f>
        <v>0</v>
      </c>
      <c r="K466" s="19">
        <f>[2]S1!K467</f>
        <v>200</v>
      </c>
      <c r="L466" s="52">
        <f>[2]S1!L467</f>
        <v>0</v>
      </c>
      <c r="M466" s="58">
        <f>[2]S1!M467</f>
        <v>0</v>
      </c>
      <c r="N466" s="49">
        <f>[2]S1!P467</f>
        <v>9667461338</v>
      </c>
      <c r="O466" s="14"/>
    </row>
    <row r="467" spans="1:15" x14ac:dyDescent="0.3">
      <c r="A467" s="11">
        <v>3514</v>
      </c>
      <c r="B467" s="12" t="str">
        <f>[3]Name!E2518</f>
        <v>Sani Jhatival</v>
      </c>
      <c r="C467" s="13">
        <f>[2]S1!C468</f>
        <v>0</v>
      </c>
      <c r="D467" s="13">
        <f>[2]S1!D468</f>
        <v>0</v>
      </c>
      <c r="E467" s="26">
        <f>[2]S1!E468</f>
        <v>200</v>
      </c>
      <c r="F467" s="26">
        <f>[2]S1!F468</f>
        <v>0</v>
      </c>
      <c r="G467" s="22">
        <f>[2]S1!G468</f>
        <v>0</v>
      </c>
      <c r="H467" s="22">
        <f>[2]S1!H468</f>
        <v>0</v>
      </c>
      <c r="I467" s="22">
        <f>[2]S1!I468</f>
        <v>0</v>
      </c>
      <c r="J467" s="13">
        <f>[2]S1!J468</f>
        <v>0</v>
      </c>
      <c r="K467" s="19">
        <f>[2]S1!K468</f>
        <v>200</v>
      </c>
      <c r="L467" s="52">
        <f>[2]S1!L468</f>
        <v>0</v>
      </c>
      <c r="M467" s="58">
        <f>[2]S1!M468</f>
        <v>0</v>
      </c>
      <c r="N467" s="49">
        <f>[2]S1!P468</f>
        <v>9667461338</v>
      </c>
      <c r="O467" s="14"/>
    </row>
    <row r="468" spans="1:15" x14ac:dyDescent="0.3">
      <c r="A468" s="11">
        <v>3515</v>
      </c>
      <c r="B468" s="12" t="str">
        <f>[3]Name!E2519</f>
        <v>Sivpratap Verma</v>
      </c>
      <c r="C468" s="13">
        <f>[2]S1!C469</f>
        <v>0</v>
      </c>
      <c r="D468" s="13">
        <f>[2]S1!D469</f>
        <v>0</v>
      </c>
      <c r="E468" s="26">
        <f>[2]S1!E469</f>
        <v>125</v>
      </c>
      <c r="F468" s="26">
        <f>[2]S1!F469</f>
        <v>0</v>
      </c>
      <c r="G468" s="22">
        <f>[2]S1!G469</f>
        <v>0</v>
      </c>
      <c r="H468" s="22">
        <f>[2]S1!H469</f>
        <v>0</v>
      </c>
      <c r="I468" s="22">
        <f>[2]S1!I469</f>
        <v>0</v>
      </c>
      <c r="J468" s="13">
        <f>[2]S1!J469</f>
        <v>0</v>
      </c>
      <c r="K468" s="19">
        <f>[2]S1!K469</f>
        <v>125</v>
      </c>
      <c r="L468" s="52">
        <f>[2]S1!L469</f>
        <v>0</v>
      </c>
      <c r="M468" s="58">
        <f>[2]S1!M469</f>
        <v>0</v>
      </c>
      <c r="N468" s="49">
        <f>[2]S1!P469</f>
        <v>8562002194</v>
      </c>
      <c r="O468" s="14"/>
    </row>
    <row r="469" spans="1:15" x14ac:dyDescent="0.3">
      <c r="A469" s="11">
        <v>3516</v>
      </c>
      <c r="B469" s="12" t="str">
        <f>[3]Name!E2520</f>
        <v>Kajal Verma</v>
      </c>
      <c r="C469" s="13">
        <f>[2]S1!C470</f>
        <v>0</v>
      </c>
      <c r="D469" s="13">
        <f>[2]S1!D470</f>
        <v>0</v>
      </c>
      <c r="E469" s="26">
        <f>[2]S1!E470</f>
        <v>200</v>
      </c>
      <c r="F469" s="26">
        <f>[2]S1!F470</f>
        <v>0</v>
      </c>
      <c r="G469" s="22">
        <f>[2]S1!G470</f>
        <v>0</v>
      </c>
      <c r="H469" s="22">
        <f>[2]S1!H470</f>
        <v>0</v>
      </c>
      <c r="I469" s="22">
        <f>[2]S1!I470</f>
        <v>0</v>
      </c>
      <c r="J469" s="13">
        <f>[2]S1!J470</f>
        <v>0</v>
      </c>
      <c r="K469" s="19">
        <f>[2]S1!K470</f>
        <v>200</v>
      </c>
      <c r="L469" s="52">
        <f>[2]S1!L470</f>
        <v>0</v>
      </c>
      <c r="M469" s="58">
        <f>[2]S1!M470</f>
        <v>0</v>
      </c>
      <c r="N469" s="49">
        <f>[2]S1!P470</f>
        <v>8562002194</v>
      </c>
      <c r="O469" s="14"/>
    </row>
    <row r="470" spans="1:15" x14ac:dyDescent="0.3">
      <c r="A470" s="11">
        <v>3517</v>
      </c>
      <c r="B470" s="12" t="str">
        <f>[3]Name!E2521</f>
        <v>Sivani Verma</v>
      </c>
      <c r="C470" s="13">
        <f>[2]S1!C471</f>
        <v>0</v>
      </c>
      <c r="D470" s="13">
        <f>[2]S1!D471</f>
        <v>0</v>
      </c>
      <c r="E470" s="26">
        <f>[2]S1!E471</f>
        <v>200</v>
      </c>
      <c r="F470" s="26">
        <f>[2]S1!F471</f>
        <v>0</v>
      </c>
      <c r="G470" s="22">
        <f>[2]S1!G471</f>
        <v>0</v>
      </c>
      <c r="H470" s="22">
        <f>[2]S1!H471</f>
        <v>0</v>
      </c>
      <c r="I470" s="22">
        <f>[2]S1!I471</f>
        <v>0</v>
      </c>
      <c r="J470" s="13">
        <f>[2]S1!J471</f>
        <v>0</v>
      </c>
      <c r="K470" s="19">
        <f>[2]S1!K471</f>
        <v>200</v>
      </c>
      <c r="L470" s="52">
        <f>[2]S1!L471</f>
        <v>0</v>
      </c>
      <c r="M470" s="58">
        <f>[2]S1!M471</f>
        <v>0</v>
      </c>
      <c r="N470" s="49">
        <f>[2]S1!P471</f>
        <v>8562002194</v>
      </c>
      <c r="O470" s="14"/>
    </row>
    <row r="471" spans="1:15" x14ac:dyDescent="0.3">
      <c r="A471" s="11">
        <v>3518</v>
      </c>
      <c r="B471" s="12" t="str">
        <f>[3]Name!E2522</f>
        <v>Siv Pratap Varma</v>
      </c>
      <c r="C471" s="13">
        <f>[2]S1!C472</f>
        <v>0</v>
      </c>
      <c r="D471" s="13">
        <f>[2]S1!D472</f>
        <v>0</v>
      </c>
      <c r="E471" s="26">
        <f>[2]S1!E472</f>
        <v>200</v>
      </c>
      <c r="F471" s="26">
        <f>[2]S1!F472</f>
        <v>0</v>
      </c>
      <c r="G471" s="22">
        <f>[2]S1!G472</f>
        <v>0</v>
      </c>
      <c r="H471" s="22">
        <f>[2]S1!H472</f>
        <v>0</v>
      </c>
      <c r="I471" s="22">
        <f>[2]S1!I472</f>
        <v>0</v>
      </c>
      <c r="J471" s="13">
        <f>[2]S1!J472</f>
        <v>0</v>
      </c>
      <c r="K471" s="19">
        <f>[2]S1!K472</f>
        <v>200</v>
      </c>
      <c r="L471" s="52">
        <f>[2]S1!L472</f>
        <v>0</v>
      </c>
      <c r="M471" s="58">
        <f>[2]S1!M472</f>
        <v>0</v>
      </c>
      <c r="N471" s="49">
        <f>[2]S1!P472</f>
        <v>8562002194</v>
      </c>
      <c r="O471" s="14"/>
    </row>
    <row r="472" spans="1:15" x14ac:dyDescent="0.3">
      <c r="A472" s="11">
        <v>3519</v>
      </c>
      <c r="B472" s="12" t="str">
        <f>[3]Name!E2523</f>
        <v>Cailash Chand Varma</v>
      </c>
      <c r="C472" s="13">
        <f>[2]S1!C473</f>
        <v>0</v>
      </c>
      <c r="D472" s="13">
        <f>[2]S1!D473</f>
        <v>0</v>
      </c>
      <c r="E472" s="26">
        <f>[2]S1!E473</f>
        <v>200</v>
      </c>
      <c r="F472" s="26">
        <f>[2]S1!F473</f>
        <v>0</v>
      </c>
      <c r="G472" s="22">
        <f>[2]S1!G473</f>
        <v>0</v>
      </c>
      <c r="H472" s="22">
        <f>[2]S1!H473</f>
        <v>0</v>
      </c>
      <c r="I472" s="22">
        <f>[2]S1!I473</f>
        <v>0</v>
      </c>
      <c r="J472" s="13">
        <f>[2]S1!J473</f>
        <v>0</v>
      </c>
      <c r="K472" s="19">
        <f>[2]S1!K473</f>
        <v>200</v>
      </c>
      <c r="L472" s="52">
        <f>[2]S1!L473</f>
        <v>0</v>
      </c>
      <c r="M472" s="58">
        <f>[2]S1!M473</f>
        <v>0</v>
      </c>
      <c r="N472" s="49">
        <f>[2]S1!P473</f>
        <v>8562002194</v>
      </c>
      <c r="O472" s="14"/>
    </row>
    <row r="473" spans="1:15" x14ac:dyDescent="0.3">
      <c r="A473" s="11">
        <v>3520</v>
      </c>
      <c r="B473" s="12" t="str">
        <f>[3]Name!E2524</f>
        <v>Mukesh Varma</v>
      </c>
      <c r="C473" s="13">
        <f>[2]S1!C474</f>
        <v>0</v>
      </c>
      <c r="D473" s="13">
        <f>[2]S1!D474</f>
        <v>0</v>
      </c>
      <c r="E473" s="26">
        <f>[2]S1!E474</f>
        <v>200</v>
      </c>
      <c r="F473" s="26">
        <f>[2]S1!F474</f>
        <v>0</v>
      </c>
      <c r="G473" s="22">
        <f>[2]S1!G474</f>
        <v>0</v>
      </c>
      <c r="H473" s="22">
        <f>[2]S1!H474</f>
        <v>0</v>
      </c>
      <c r="I473" s="22">
        <f>[2]S1!I474</f>
        <v>0</v>
      </c>
      <c r="J473" s="13">
        <f>[2]S1!J474</f>
        <v>0</v>
      </c>
      <c r="K473" s="19">
        <f>[2]S1!K474</f>
        <v>200</v>
      </c>
      <c r="L473" s="52">
        <f>[2]S1!L474</f>
        <v>0</v>
      </c>
      <c r="M473" s="58">
        <f>[2]S1!M474</f>
        <v>0</v>
      </c>
      <c r="N473" s="49">
        <f>[2]S1!P474</f>
        <v>8562002194</v>
      </c>
      <c r="O473" s="14"/>
    </row>
    <row r="474" spans="1:15" x14ac:dyDescent="0.3">
      <c r="A474" s="11">
        <v>3521</v>
      </c>
      <c r="B474" s="12" t="str">
        <f>[3]Name!E2525</f>
        <v>Sandip Varma</v>
      </c>
      <c r="C474" s="13">
        <f>[2]S1!C475</f>
        <v>0</v>
      </c>
      <c r="D474" s="13">
        <f>[2]S1!D475</f>
        <v>0</v>
      </c>
      <c r="E474" s="26">
        <f>[2]S1!E475</f>
        <v>200</v>
      </c>
      <c r="F474" s="26">
        <f>[2]S1!F475</f>
        <v>0</v>
      </c>
      <c r="G474" s="22">
        <f>[2]S1!G475</f>
        <v>0</v>
      </c>
      <c r="H474" s="22">
        <f>[2]S1!H475</f>
        <v>0</v>
      </c>
      <c r="I474" s="22">
        <f>[2]S1!I475</f>
        <v>0</v>
      </c>
      <c r="J474" s="13">
        <f>[2]S1!J475</f>
        <v>0</v>
      </c>
      <c r="K474" s="19">
        <f>[2]S1!K475</f>
        <v>200</v>
      </c>
      <c r="L474" s="52">
        <f>[2]S1!L475</f>
        <v>0</v>
      </c>
      <c r="M474" s="58">
        <f>[2]S1!M475</f>
        <v>0</v>
      </c>
      <c r="N474" s="49">
        <f>[2]S1!P475</f>
        <v>8562002194</v>
      </c>
      <c r="O474" s="14"/>
    </row>
    <row r="475" spans="1:15" x14ac:dyDescent="0.3">
      <c r="A475" s="11">
        <v>3522</v>
      </c>
      <c r="B475" s="12" t="str">
        <f>[3]Name!E2526</f>
        <v>Ramsavrup Meharada</v>
      </c>
      <c r="C475" s="13">
        <f>[2]S1!C476</f>
        <v>1000</v>
      </c>
      <c r="D475" s="13">
        <f>[2]S1!D476</f>
        <v>0</v>
      </c>
      <c r="E475" s="26">
        <f>[2]S1!E476</f>
        <v>200</v>
      </c>
      <c r="F475" s="26">
        <f>[2]S1!F476</f>
        <v>0</v>
      </c>
      <c r="G475" s="22">
        <f>[2]S1!G476</f>
        <v>1000</v>
      </c>
      <c r="H475" s="22">
        <f>[2]S1!H476</f>
        <v>0</v>
      </c>
      <c r="I475" s="22">
        <f>[2]S1!I476</f>
        <v>170</v>
      </c>
      <c r="J475" s="13">
        <f>[2]S1!J476</f>
        <v>0</v>
      </c>
      <c r="K475" s="19">
        <f>[2]S1!K476</f>
        <v>1370</v>
      </c>
      <c r="L475" s="52">
        <f>[2]S1!L476</f>
        <v>17000</v>
      </c>
      <c r="M475" s="58">
        <f>[2]S1!M476</f>
        <v>4</v>
      </c>
      <c r="N475" s="49">
        <f>[2]S1!P476</f>
        <v>9694390502</v>
      </c>
      <c r="O475" s="14"/>
    </row>
    <row r="476" spans="1:15" x14ac:dyDescent="0.3">
      <c r="A476" s="11">
        <v>3523</v>
      </c>
      <c r="B476" s="12" t="str">
        <f>[3]Name!E2527</f>
        <v>Rajendr Kumar meharda</v>
      </c>
      <c r="C476" s="13">
        <f>[2]S1!C477</f>
        <v>0</v>
      </c>
      <c r="D476" s="13">
        <f>[2]S1!D477</f>
        <v>0</v>
      </c>
      <c r="E476" s="26">
        <f>[2]S1!E477</f>
        <v>172</v>
      </c>
      <c r="F476" s="26">
        <f>[2]S1!F477</f>
        <v>0</v>
      </c>
      <c r="G476" s="22">
        <f>[2]S1!G477</f>
        <v>0</v>
      </c>
      <c r="H476" s="22">
        <f>[2]S1!H477</f>
        <v>0</v>
      </c>
      <c r="I476" s="22">
        <f>[2]S1!I477</f>
        <v>0</v>
      </c>
      <c r="J476" s="13">
        <f>[2]S1!J477</f>
        <v>0</v>
      </c>
      <c r="K476" s="19">
        <f>[2]S1!K477</f>
        <v>172</v>
      </c>
      <c r="L476" s="52">
        <f>[2]S1!L477</f>
        <v>0</v>
      </c>
      <c r="M476" s="58">
        <f>[2]S1!M477</f>
        <v>0</v>
      </c>
      <c r="N476" s="49">
        <f>[2]S1!P477</f>
        <v>9829093076</v>
      </c>
      <c r="O476" s="14"/>
    </row>
    <row r="477" spans="1:15" x14ac:dyDescent="0.3">
      <c r="A477" s="11">
        <v>3524</v>
      </c>
      <c r="B477" s="12" t="str">
        <f>[3]Name!E2528</f>
        <v>Pinki Devi meharda</v>
      </c>
      <c r="C477" s="13">
        <f>[2]S1!C478</f>
        <v>0</v>
      </c>
      <c r="D477" s="13">
        <f>[2]S1!D478</f>
        <v>0</v>
      </c>
      <c r="E477" s="26">
        <f>[2]S1!E478</f>
        <v>190</v>
      </c>
      <c r="F477" s="26">
        <f>[2]S1!F478</f>
        <v>0</v>
      </c>
      <c r="G477" s="22">
        <f>[2]S1!G478</f>
        <v>0</v>
      </c>
      <c r="H477" s="22">
        <f>[2]S1!H478</f>
        <v>0</v>
      </c>
      <c r="I477" s="22">
        <f>[2]S1!I478</f>
        <v>0</v>
      </c>
      <c r="J477" s="13">
        <f>[2]S1!J478</f>
        <v>0</v>
      </c>
      <c r="K477" s="19">
        <f>[2]S1!K478</f>
        <v>190</v>
      </c>
      <c r="L477" s="52">
        <f>[2]S1!L478</f>
        <v>0</v>
      </c>
      <c r="M477" s="58">
        <f>[2]S1!M478</f>
        <v>0</v>
      </c>
      <c r="N477" s="49">
        <f>[2]S1!P478</f>
        <v>9829093076</v>
      </c>
      <c r="O477" s="14"/>
    </row>
    <row r="478" spans="1:15" x14ac:dyDescent="0.3">
      <c r="A478" s="11">
        <v>3525</v>
      </c>
      <c r="B478" s="12" t="str">
        <f>[3]Name!E2529</f>
        <v>Mayank Kumar meharda</v>
      </c>
      <c r="C478" s="13">
        <f>[2]S1!C479</f>
        <v>0</v>
      </c>
      <c r="D478" s="13">
        <f>[2]S1!D479</f>
        <v>0</v>
      </c>
      <c r="E478" s="26">
        <f>[2]S1!E479</f>
        <v>200</v>
      </c>
      <c r="F478" s="26">
        <f>[2]S1!F479</f>
        <v>0</v>
      </c>
      <c r="G478" s="22">
        <f>[2]S1!G479</f>
        <v>0</v>
      </c>
      <c r="H478" s="22">
        <f>[2]S1!H479</f>
        <v>0</v>
      </c>
      <c r="I478" s="22">
        <f>[2]S1!I479</f>
        <v>0</v>
      </c>
      <c r="J478" s="13">
        <f>[2]S1!J479</f>
        <v>0</v>
      </c>
      <c r="K478" s="19">
        <f>[2]S1!K479</f>
        <v>200</v>
      </c>
      <c r="L478" s="52">
        <f>[2]S1!L479</f>
        <v>0</v>
      </c>
      <c r="M478" s="58">
        <f>[2]S1!M479</f>
        <v>0</v>
      </c>
      <c r="N478" s="49">
        <f>[2]S1!P479</f>
        <v>9829093076</v>
      </c>
      <c r="O478" s="14"/>
    </row>
    <row r="479" spans="1:15" x14ac:dyDescent="0.3">
      <c r="A479" s="11">
        <v>3526</v>
      </c>
      <c r="B479" s="12" t="str">
        <f>[3]Name!E2530</f>
        <v>Dinesh Kumar meharda</v>
      </c>
      <c r="C479" s="13">
        <f>[2]S1!C480</f>
        <v>0</v>
      </c>
      <c r="D479" s="13">
        <f>[2]S1!D480</f>
        <v>0</v>
      </c>
      <c r="E479" s="26">
        <f>[2]S1!E480</f>
        <v>200</v>
      </c>
      <c r="F479" s="26">
        <f>[2]S1!F480</f>
        <v>0</v>
      </c>
      <c r="G479" s="22">
        <f>[2]S1!G480</f>
        <v>0</v>
      </c>
      <c r="H479" s="22">
        <f>[2]S1!H480</f>
        <v>0</v>
      </c>
      <c r="I479" s="22">
        <f>[2]S1!I480</f>
        <v>0</v>
      </c>
      <c r="J479" s="13">
        <f>[2]S1!J480</f>
        <v>0</v>
      </c>
      <c r="K479" s="19">
        <f>[2]S1!K480</f>
        <v>200</v>
      </c>
      <c r="L479" s="52">
        <f>[2]S1!L480</f>
        <v>0</v>
      </c>
      <c r="M479" s="58">
        <f>[2]S1!M480</f>
        <v>0</v>
      </c>
      <c r="N479" s="49">
        <f>[2]S1!P480</f>
        <v>9694119106</v>
      </c>
      <c r="O479" s="14"/>
    </row>
    <row r="480" spans="1:15" x14ac:dyDescent="0.3">
      <c r="A480" s="11">
        <v>3527</v>
      </c>
      <c r="B480" s="12" t="str">
        <f>[3]Name!E2531</f>
        <v>Mamta Devi meharda</v>
      </c>
      <c r="C480" s="13">
        <f>[2]S1!C481</f>
        <v>0</v>
      </c>
      <c r="D480" s="13">
        <f>[2]S1!D481</f>
        <v>0</v>
      </c>
      <c r="E480" s="26">
        <f>[2]S1!E481</f>
        <v>166</v>
      </c>
      <c r="F480" s="26">
        <f>[2]S1!F481</f>
        <v>0</v>
      </c>
      <c r="G480" s="22">
        <f>[2]S1!G481</f>
        <v>0</v>
      </c>
      <c r="H480" s="22">
        <f>[2]S1!H481</f>
        <v>0</v>
      </c>
      <c r="I480" s="22">
        <f>[2]S1!I481</f>
        <v>0</v>
      </c>
      <c r="J480" s="13">
        <f>[2]S1!J481</f>
        <v>0</v>
      </c>
      <c r="K480" s="19">
        <f>[2]S1!K481</f>
        <v>166</v>
      </c>
      <c r="L480" s="52">
        <f>[2]S1!L481</f>
        <v>0</v>
      </c>
      <c r="M480" s="58">
        <f>[2]S1!M481</f>
        <v>0</v>
      </c>
      <c r="N480" s="49">
        <f>[2]S1!P481</f>
        <v>9694119106</v>
      </c>
      <c r="O480" s="14"/>
    </row>
    <row r="481" spans="1:15" x14ac:dyDescent="0.3">
      <c r="A481" s="11">
        <v>3528</v>
      </c>
      <c r="B481" s="12" t="str">
        <f>[3]Name!E2532</f>
        <v>SamarKumar meharda</v>
      </c>
      <c r="C481" s="13">
        <f>[2]S1!C482</f>
        <v>0</v>
      </c>
      <c r="D481" s="13">
        <f>[2]S1!D482</f>
        <v>0</v>
      </c>
      <c r="E481" s="26">
        <f>[2]S1!E482</f>
        <v>200</v>
      </c>
      <c r="F481" s="26">
        <f>[2]S1!F482</f>
        <v>0</v>
      </c>
      <c r="G481" s="22">
        <f>[2]S1!G482</f>
        <v>0</v>
      </c>
      <c r="H481" s="22">
        <f>[2]S1!H482</f>
        <v>0</v>
      </c>
      <c r="I481" s="22">
        <f>[2]S1!I482</f>
        <v>0</v>
      </c>
      <c r="J481" s="13">
        <f>[2]S1!J482</f>
        <v>0</v>
      </c>
      <c r="K481" s="19">
        <f>[2]S1!K482</f>
        <v>200</v>
      </c>
      <c r="L481" s="52">
        <f>[2]S1!L482</f>
        <v>0</v>
      </c>
      <c r="M481" s="58">
        <f>[2]S1!M482</f>
        <v>0</v>
      </c>
      <c r="N481" s="49">
        <f>[2]S1!P482</f>
        <v>9694119106</v>
      </c>
      <c r="O481" s="14"/>
    </row>
    <row r="482" spans="1:15" x14ac:dyDescent="0.3">
      <c r="A482" s="11">
        <v>3529</v>
      </c>
      <c r="B482" s="12" t="str">
        <f>[3]Name!E2533</f>
        <v>Dindayal Balai</v>
      </c>
      <c r="C482" s="13">
        <f>[2]S1!C483</f>
        <v>0</v>
      </c>
      <c r="D482" s="13">
        <f>[2]S1!D483</f>
        <v>0</v>
      </c>
      <c r="E482" s="26">
        <f>[2]S1!E483</f>
        <v>200</v>
      </c>
      <c r="F482" s="26">
        <f>[2]S1!F483</f>
        <v>0</v>
      </c>
      <c r="G482" s="22">
        <f>[2]S1!G483</f>
        <v>0</v>
      </c>
      <c r="H482" s="22">
        <f>[2]S1!H483</f>
        <v>0</v>
      </c>
      <c r="I482" s="22">
        <f>[2]S1!I483</f>
        <v>0</v>
      </c>
      <c r="J482" s="13">
        <f>[2]S1!J483</f>
        <v>0</v>
      </c>
      <c r="K482" s="19">
        <f>[2]S1!K483</f>
        <v>200</v>
      </c>
      <c r="L482" s="52">
        <f>[2]S1!L483</f>
        <v>0</v>
      </c>
      <c r="M482" s="58">
        <f>[2]S1!M483</f>
        <v>0</v>
      </c>
      <c r="N482" s="49">
        <f>[2]S1!P483</f>
        <v>7742016348</v>
      </c>
      <c r="O482" s="14"/>
    </row>
    <row r="483" spans="1:15" x14ac:dyDescent="0.3">
      <c r="A483" s="11">
        <v>3530</v>
      </c>
      <c r="B483" s="12" t="str">
        <f>[3]Name!E2534</f>
        <v>Mohit Balai</v>
      </c>
      <c r="C483" s="13">
        <f>[2]S1!C484</f>
        <v>0</v>
      </c>
      <c r="D483" s="13">
        <f>[2]S1!D484</f>
        <v>0</v>
      </c>
      <c r="E483" s="26">
        <f>[2]S1!E484</f>
        <v>200</v>
      </c>
      <c r="F483" s="26">
        <f>[2]S1!F484</f>
        <v>0</v>
      </c>
      <c r="G483" s="22">
        <f>[2]S1!G484</f>
        <v>0</v>
      </c>
      <c r="H483" s="22">
        <f>[2]S1!H484</f>
        <v>0</v>
      </c>
      <c r="I483" s="22">
        <f>[2]S1!I484</f>
        <v>180</v>
      </c>
      <c r="J483" s="13">
        <f>[2]S1!J484</f>
        <v>0</v>
      </c>
      <c r="K483" s="19">
        <f>[2]S1!K484</f>
        <v>380</v>
      </c>
      <c r="L483" s="52">
        <f>[2]S1!L484</f>
        <v>18000</v>
      </c>
      <c r="M483" s="58">
        <f>[2]S1!M484</f>
        <v>1</v>
      </c>
      <c r="N483" s="49">
        <f>[2]S1!P484</f>
        <v>7742016348</v>
      </c>
      <c r="O483" s="14"/>
    </row>
    <row r="484" spans="1:15" x14ac:dyDescent="0.3">
      <c r="A484" s="11">
        <v>3531</v>
      </c>
      <c r="B484" s="12" t="str">
        <f>[3]Name!E2535</f>
        <v>Narngi Devi Balai</v>
      </c>
      <c r="C484" s="13">
        <f>[2]S1!C485</f>
        <v>0</v>
      </c>
      <c r="D484" s="13">
        <f>[2]S1!D485</f>
        <v>0</v>
      </c>
      <c r="E484" s="26">
        <f>[2]S1!E485</f>
        <v>200</v>
      </c>
      <c r="F484" s="26">
        <f>[2]S1!F485</f>
        <v>0</v>
      </c>
      <c r="G484" s="22">
        <f>[2]S1!G485</f>
        <v>0</v>
      </c>
      <c r="H484" s="22">
        <f>[2]S1!H485</f>
        <v>0</v>
      </c>
      <c r="I484" s="22">
        <f>[2]S1!I485</f>
        <v>170</v>
      </c>
      <c r="J484" s="13">
        <f>[2]S1!J485</f>
        <v>0</v>
      </c>
      <c r="K484" s="19">
        <f>[2]S1!K485</f>
        <v>370</v>
      </c>
      <c r="L484" s="52">
        <f>[2]S1!L485</f>
        <v>17000</v>
      </c>
      <c r="M484" s="58">
        <f>[2]S1!M485</f>
        <v>1</v>
      </c>
      <c r="N484" s="49">
        <f>[2]S1!P485</f>
        <v>7742016348</v>
      </c>
      <c r="O484" s="14"/>
    </row>
    <row r="485" spans="1:15" x14ac:dyDescent="0.3">
      <c r="A485" s="11">
        <v>3532</v>
      </c>
      <c r="B485" s="12" t="str">
        <f>[3]Name!E2536</f>
        <v>Tara Chand Chohan</v>
      </c>
      <c r="C485" s="13">
        <f>[2]S1!C486</f>
        <v>0</v>
      </c>
      <c r="D485" s="13">
        <f>[2]S1!D486</f>
        <v>19934</v>
      </c>
      <c r="E485" s="26">
        <f>[2]S1!E486</f>
        <v>4400</v>
      </c>
      <c r="F485" s="26">
        <f>[2]S1!F486</f>
        <v>3301</v>
      </c>
      <c r="G485" s="22">
        <f>[2]S1!G486</f>
        <v>19000</v>
      </c>
      <c r="H485" s="22">
        <f>[2]S1!H486</f>
        <v>21616</v>
      </c>
      <c r="I485" s="22">
        <f>[2]S1!I486</f>
        <v>3040</v>
      </c>
      <c r="J485" s="13">
        <f>[2]S1!J486</f>
        <v>0</v>
      </c>
      <c r="K485" s="19">
        <f>[2]S1!K486</f>
        <v>51357</v>
      </c>
      <c r="L485" s="52">
        <f>[2]S1!L486</f>
        <v>19000</v>
      </c>
      <c r="M485" s="58">
        <f>[2]S1!M486</f>
        <v>25</v>
      </c>
      <c r="N485" s="49">
        <f>[2]S1!P486</f>
        <v>8562053661</v>
      </c>
      <c r="O485" s="14"/>
    </row>
    <row r="486" spans="1:15" x14ac:dyDescent="0.3">
      <c r="A486" s="11">
        <v>3533</v>
      </c>
      <c r="B486" s="12" t="str">
        <f>[3]Name!E2537</f>
        <v>Munni Devi Chohan</v>
      </c>
      <c r="C486" s="13">
        <f>[2]S1!C487</f>
        <v>0</v>
      </c>
      <c r="D486" s="13">
        <f>[2]S1!D487</f>
        <v>19879</v>
      </c>
      <c r="E486" s="26">
        <f>[2]S1!E487</f>
        <v>4400</v>
      </c>
      <c r="F486" s="26">
        <f>[2]S1!F487</f>
        <v>3233</v>
      </c>
      <c r="G486" s="22">
        <f>[2]S1!G487</f>
        <v>19000</v>
      </c>
      <c r="H486" s="22">
        <f>[2]S1!H487</f>
        <v>21616</v>
      </c>
      <c r="I486" s="22">
        <f>[2]S1!I487</f>
        <v>3040</v>
      </c>
      <c r="J486" s="13">
        <f>[2]S1!J487</f>
        <v>0</v>
      </c>
      <c r="K486" s="19">
        <f>[2]S1!K487</f>
        <v>51289</v>
      </c>
      <c r="L486" s="52">
        <f>[2]S1!L487</f>
        <v>19000</v>
      </c>
      <c r="M486" s="58">
        <f>[2]S1!M487</f>
        <v>25</v>
      </c>
      <c r="N486" s="49">
        <f>[2]S1!P487</f>
        <v>8562053661</v>
      </c>
      <c r="O486" s="14"/>
    </row>
    <row r="487" spans="1:15" x14ac:dyDescent="0.3">
      <c r="A487" s="11">
        <v>3534</v>
      </c>
      <c r="B487" s="12" t="str">
        <f>[3]Name!E2538</f>
        <v>Hitesh Kumar Chohan</v>
      </c>
      <c r="C487" s="13">
        <f>[2]S1!C488</f>
        <v>0</v>
      </c>
      <c r="D487" s="13">
        <f>[2]S1!D488</f>
        <v>7671</v>
      </c>
      <c r="E487" s="26">
        <f>[2]S1!E488</f>
        <v>4842</v>
      </c>
      <c r="F487" s="26">
        <f>[2]S1!F488</f>
        <v>4154</v>
      </c>
      <c r="G487" s="22">
        <f>[2]S1!G488</f>
        <v>4212</v>
      </c>
      <c r="H487" s="22">
        <f>[2]S1!H488</f>
        <v>5435</v>
      </c>
      <c r="I487" s="22">
        <f>[2]S1!I488</f>
        <v>672</v>
      </c>
      <c r="J487" s="13">
        <f>[2]S1!J488</f>
        <v>0</v>
      </c>
      <c r="K487" s="19">
        <f>[2]S1!K488</f>
        <v>19315</v>
      </c>
      <c r="L487" s="52">
        <f>[2]S1!L488</f>
        <v>4212</v>
      </c>
      <c r="M487" s="58">
        <f>[2]S1!M488</f>
        <v>22</v>
      </c>
      <c r="N487" s="49">
        <f>[2]S1!P488</f>
        <v>8562053661</v>
      </c>
      <c r="O487" s="14"/>
    </row>
    <row r="488" spans="1:15" x14ac:dyDescent="0.3">
      <c r="A488" s="11">
        <v>3535</v>
      </c>
      <c r="B488" s="12" t="str">
        <f>[3]Name!E2539</f>
        <v>Babu Lal Samariya</v>
      </c>
      <c r="C488" s="13">
        <f>[2]S1!C489</f>
        <v>1000</v>
      </c>
      <c r="D488" s="13">
        <f>[2]S1!D489</f>
        <v>0</v>
      </c>
      <c r="E488" s="26">
        <f>[2]S1!E489</f>
        <v>0</v>
      </c>
      <c r="F488" s="26">
        <f>[2]S1!F489</f>
        <v>0</v>
      </c>
      <c r="G488" s="22">
        <f>[2]S1!G489</f>
        <v>580</v>
      </c>
      <c r="H488" s="22">
        <f>[2]S1!H489</f>
        <v>0</v>
      </c>
      <c r="I488" s="22">
        <f>[2]S1!I489</f>
        <v>166</v>
      </c>
      <c r="J488" s="13">
        <f>[2]S1!J489</f>
        <v>0</v>
      </c>
      <c r="K488" s="19">
        <f>[2]S1!K489</f>
        <v>746</v>
      </c>
      <c r="L488" s="52">
        <f>[2]S1!L489</f>
        <v>16580</v>
      </c>
      <c r="M488" s="58">
        <f>[2]S1!M489</f>
        <v>14</v>
      </c>
      <c r="N488" s="49">
        <f>[2]S1!P489</f>
        <v>8003247594</v>
      </c>
      <c r="O488" s="14"/>
    </row>
    <row r="489" spans="1:15" x14ac:dyDescent="0.3">
      <c r="A489" s="11">
        <v>3536</v>
      </c>
      <c r="B489" s="12" t="str">
        <f>[3]Name!E2540</f>
        <v>Muntu Devi Samariya</v>
      </c>
      <c r="C489" s="13">
        <f>[2]S1!C490</f>
        <v>1000</v>
      </c>
      <c r="D489" s="13">
        <f>[2]S1!D490</f>
        <v>0</v>
      </c>
      <c r="E489" s="26">
        <f>[2]S1!E490</f>
        <v>0</v>
      </c>
      <c r="F489" s="26">
        <f>[2]S1!F490</f>
        <v>0</v>
      </c>
      <c r="G489" s="22">
        <f>[2]S1!G490</f>
        <v>958</v>
      </c>
      <c r="H489" s="22">
        <f>[2]S1!H490</f>
        <v>0</v>
      </c>
      <c r="I489" s="22">
        <f>[2]S1!I490</f>
        <v>170</v>
      </c>
      <c r="J489" s="13">
        <f>[2]S1!J490</f>
        <v>0</v>
      </c>
      <c r="K489" s="19">
        <f>[2]S1!K490</f>
        <v>1128</v>
      </c>
      <c r="L489" s="52">
        <f>[2]S1!L490</f>
        <v>16958</v>
      </c>
      <c r="M489" s="58">
        <f>[2]S1!M490</f>
        <v>14</v>
      </c>
      <c r="N489" s="49">
        <f>[2]S1!P490</f>
        <v>8003247594</v>
      </c>
      <c r="O489" s="14"/>
    </row>
    <row r="490" spans="1:15" x14ac:dyDescent="0.3">
      <c r="A490" s="11">
        <v>3537</v>
      </c>
      <c r="B490" s="12" t="str">
        <f>[3]Name!E2541</f>
        <v>Kanhya Lal Sogan</v>
      </c>
      <c r="C490" s="13">
        <f>[2]S1!C491</f>
        <v>21000</v>
      </c>
      <c r="D490" s="13">
        <f>[2]S1!D491</f>
        <v>0</v>
      </c>
      <c r="E490" s="26">
        <f>[2]S1!E491</f>
        <v>0</v>
      </c>
      <c r="F490" s="26">
        <f>[2]S1!F491</f>
        <v>0</v>
      </c>
      <c r="G490" s="22">
        <f>[2]S1!G491</f>
        <v>0</v>
      </c>
      <c r="H490" s="22">
        <f>[2]S1!H491</f>
        <v>0</v>
      </c>
      <c r="I490" s="22">
        <f>[2]S1!I491</f>
        <v>166</v>
      </c>
      <c r="J490" s="13">
        <f>[2]S1!J491</f>
        <v>0</v>
      </c>
      <c r="K490" s="19">
        <f>[2]S1!K491</f>
        <v>166</v>
      </c>
      <c r="L490" s="52">
        <f>[2]S1!L491</f>
        <v>16623</v>
      </c>
      <c r="M490" s="58">
        <f>[2]S1!M491</f>
        <v>9</v>
      </c>
      <c r="N490" s="49">
        <f>[2]S1!P491</f>
        <v>9929835949</v>
      </c>
      <c r="O490" s="14"/>
    </row>
    <row r="491" spans="1:15" x14ac:dyDescent="0.3">
      <c r="A491" s="11">
        <v>3538</v>
      </c>
      <c r="B491" s="12" t="str">
        <f>[3]Name!E2542</f>
        <v>Rosan Lal Sogan</v>
      </c>
      <c r="C491" s="13">
        <f>[2]S1!C492</f>
        <v>0</v>
      </c>
      <c r="D491" s="13">
        <f>[2]S1!D492</f>
        <v>0</v>
      </c>
      <c r="E491" s="26">
        <f>[2]S1!E492</f>
        <v>200</v>
      </c>
      <c r="F491" s="26">
        <f>[2]S1!F492</f>
        <v>0</v>
      </c>
      <c r="G491" s="22">
        <f>[2]S1!G492</f>
        <v>0</v>
      </c>
      <c r="H491" s="22">
        <f>[2]S1!H492</f>
        <v>0</v>
      </c>
      <c r="I491" s="22">
        <f>[2]S1!I492</f>
        <v>0</v>
      </c>
      <c r="J491" s="13">
        <f>[2]S1!J492</f>
        <v>0</v>
      </c>
      <c r="K491" s="19">
        <f>[2]S1!K492</f>
        <v>200</v>
      </c>
      <c r="L491" s="52">
        <f>[2]S1!L492</f>
        <v>0</v>
      </c>
      <c r="M491" s="58">
        <f>[2]S1!M492</f>
        <v>0</v>
      </c>
      <c r="N491" s="49">
        <f>[2]S1!P492</f>
        <v>9929835949</v>
      </c>
      <c r="O491" s="14"/>
    </row>
    <row r="492" spans="1:15" x14ac:dyDescent="0.3">
      <c r="A492" s="11">
        <v>3539</v>
      </c>
      <c r="B492" s="12" t="str">
        <f>[3]Name!E2543</f>
        <v xml:space="preserve"> Monika Sogan</v>
      </c>
      <c r="C492" s="13">
        <f>[2]S1!C493</f>
        <v>0</v>
      </c>
      <c r="D492" s="13">
        <f>[2]S1!D493</f>
        <v>0</v>
      </c>
      <c r="E492" s="26">
        <f>[2]S1!E493</f>
        <v>200</v>
      </c>
      <c r="F492" s="26">
        <f>[2]S1!F493</f>
        <v>0</v>
      </c>
      <c r="G492" s="22">
        <f>[2]S1!G493</f>
        <v>0</v>
      </c>
      <c r="H492" s="22">
        <f>[2]S1!H493</f>
        <v>0</v>
      </c>
      <c r="I492" s="22">
        <f>[2]S1!I493</f>
        <v>0</v>
      </c>
      <c r="J492" s="13">
        <f>[2]S1!J493</f>
        <v>0</v>
      </c>
      <c r="K492" s="19">
        <f>[2]S1!K493</f>
        <v>200</v>
      </c>
      <c r="L492" s="52">
        <f>[2]S1!L493</f>
        <v>0</v>
      </c>
      <c r="M492" s="58">
        <f>[2]S1!M493</f>
        <v>0</v>
      </c>
      <c r="N492" s="49">
        <f>[2]S1!P493</f>
        <v>9929835949</v>
      </c>
      <c r="O492" s="14"/>
    </row>
    <row r="493" spans="1:15" x14ac:dyDescent="0.3">
      <c r="A493" s="11">
        <v>3540</v>
      </c>
      <c r="B493" s="12" t="str">
        <f>[3]Name!E2544</f>
        <v xml:space="preserve"> HansaSogan</v>
      </c>
      <c r="C493" s="13">
        <f>[2]S1!C494</f>
        <v>0</v>
      </c>
      <c r="D493" s="13">
        <f>[2]S1!D494</f>
        <v>0</v>
      </c>
      <c r="E493" s="26">
        <f>[2]S1!E494</f>
        <v>200</v>
      </c>
      <c r="F493" s="26">
        <f>[2]S1!F494</f>
        <v>0</v>
      </c>
      <c r="G493" s="22">
        <f>[2]S1!G494</f>
        <v>0</v>
      </c>
      <c r="H493" s="22">
        <f>[2]S1!H494</f>
        <v>0</v>
      </c>
      <c r="I493" s="22">
        <f>[2]S1!I494</f>
        <v>0</v>
      </c>
      <c r="J493" s="13">
        <f>[2]S1!J494</f>
        <v>0</v>
      </c>
      <c r="K493" s="19">
        <f>[2]S1!K494</f>
        <v>200</v>
      </c>
      <c r="L493" s="52">
        <f>[2]S1!L494</f>
        <v>0</v>
      </c>
      <c r="M493" s="58">
        <f>[2]S1!M494</f>
        <v>0</v>
      </c>
      <c r="N493" s="49">
        <f>[2]S1!P494</f>
        <v>9929835949</v>
      </c>
      <c r="O493" s="14"/>
    </row>
    <row r="494" spans="1:15" x14ac:dyDescent="0.3">
      <c r="A494" s="11">
        <v>3541</v>
      </c>
      <c r="B494" s="12" t="str">
        <f>[3]Name!E2545</f>
        <v>Anamika Sogan</v>
      </c>
      <c r="C494" s="13">
        <f>[2]S1!C495</f>
        <v>0</v>
      </c>
      <c r="D494" s="13">
        <f>[2]S1!D495</f>
        <v>0</v>
      </c>
      <c r="E494" s="26">
        <f>[2]S1!E495</f>
        <v>200</v>
      </c>
      <c r="F494" s="26">
        <f>[2]S1!F495</f>
        <v>0</v>
      </c>
      <c r="G494" s="22">
        <f>[2]S1!G495</f>
        <v>0</v>
      </c>
      <c r="H494" s="22">
        <f>[2]S1!H495</f>
        <v>0</v>
      </c>
      <c r="I494" s="22">
        <f>[2]S1!I495</f>
        <v>0</v>
      </c>
      <c r="J494" s="13">
        <f>[2]S1!J495</f>
        <v>0</v>
      </c>
      <c r="K494" s="19">
        <f>[2]S1!K495</f>
        <v>200</v>
      </c>
      <c r="L494" s="52">
        <f>[2]S1!L495</f>
        <v>0</v>
      </c>
      <c r="M494" s="58">
        <f>[2]S1!M495</f>
        <v>0</v>
      </c>
      <c r="N494" s="49">
        <f>[2]S1!P495</f>
        <v>9929835949</v>
      </c>
      <c r="O494" s="14"/>
    </row>
    <row r="495" spans="1:15" x14ac:dyDescent="0.3">
      <c r="A495" s="11">
        <v>3542</v>
      </c>
      <c r="B495" s="12" t="str">
        <f>[3]Name!E2546</f>
        <v>Bhola Ram Varma</v>
      </c>
      <c r="C495" s="13">
        <f>[2]S1!C496</f>
        <v>1000</v>
      </c>
      <c r="D495" s="13">
        <f>[2]S1!D496</f>
        <v>0</v>
      </c>
      <c r="E495" s="26">
        <f>[2]S1!E496</f>
        <v>0</v>
      </c>
      <c r="F495" s="26">
        <f>[2]S1!F496</f>
        <v>0</v>
      </c>
      <c r="G495" s="22">
        <f>[2]S1!G496</f>
        <v>1000</v>
      </c>
      <c r="H495" s="22">
        <f>[2]S1!H496</f>
        <v>0</v>
      </c>
      <c r="I495" s="22">
        <f>[2]S1!I496</f>
        <v>230</v>
      </c>
      <c r="J495" s="13">
        <f>[2]S1!J496</f>
        <v>0</v>
      </c>
      <c r="K495" s="19">
        <f>[2]S1!K496</f>
        <v>1230</v>
      </c>
      <c r="L495" s="52">
        <f>[2]S1!L496</f>
        <v>23000</v>
      </c>
      <c r="M495" s="58">
        <f>[2]S1!M496</f>
        <v>8</v>
      </c>
      <c r="N495" s="49">
        <f>[2]S1!P496</f>
        <v>9509694070</v>
      </c>
      <c r="O495" s="14"/>
    </row>
    <row r="496" spans="1:15" x14ac:dyDescent="0.3">
      <c r="A496" s="11">
        <v>3543</v>
      </c>
      <c r="B496" s="12" t="str">
        <f>[3]Name!E2547</f>
        <v>Pinki Varma</v>
      </c>
      <c r="C496" s="13">
        <f>[2]S1!C497</f>
        <v>1000</v>
      </c>
      <c r="D496" s="13">
        <f>[2]S1!D497</f>
        <v>0</v>
      </c>
      <c r="E496" s="26">
        <f>[2]S1!E497</f>
        <v>0</v>
      </c>
      <c r="F496" s="26">
        <f>[2]S1!F497</f>
        <v>0</v>
      </c>
      <c r="G496" s="22">
        <f>[2]S1!G497</f>
        <v>1000</v>
      </c>
      <c r="H496" s="22">
        <f>[2]S1!H497</f>
        <v>0</v>
      </c>
      <c r="I496" s="22">
        <f>[2]S1!I497</f>
        <v>230</v>
      </c>
      <c r="J496" s="13">
        <f>[2]S1!J497</f>
        <v>0</v>
      </c>
      <c r="K496" s="19">
        <f>[2]S1!K497</f>
        <v>1230</v>
      </c>
      <c r="L496" s="52">
        <f>[2]S1!L497</f>
        <v>23000</v>
      </c>
      <c r="M496" s="58">
        <f>[2]S1!M497</f>
        <v>8</v>
      </c>
      <c r="N496" s="49">
        <f>[2]S1!P497</f>
        <v>9509694070</v>
      </c>
      <c r="O496" s="14"/>
    </row>
    <row r="497" spans="1:15" x14ac:dyDescent="0.3">
      <c r="A497" s="11">
        <v>3544</v>
      </c>
      <c r="B497" s="12" t="str">
        <f>[3]Name!E2548</f>
        <v>Vinod Kumar Varma</v>
      </c>
      <c r="C497" s="13">
        <f>[2]S1!C498</f>
        <v>500</v>
      </c>
      <c r="D497" s="13">
        <f>[2]S1!D498</f>
        <v>0</v>
      </c>
      <c r="E497" s="26">
        <f>[2]S1!E498</f>
        <v>200</v>
      </c>
      <c r="F497" s="26">
        <f>[2]S1!F498</f>
        <v>0</v>
      </c>
      <c r="G497" s="22">
        <f>[2]S1!G498</f>
        <v>500</v>
      </c>
      <c r="H497" s="22">
        <f>[2]S1!H498</f>
        <v>0</v>
      </c>
      <c r="I497" s="22">
        <f>[2]S1!I498</f>
        <v>165</v>
      </c>
      <c r="J497" s="13">
        <f>[2]S1!J498</f>
        <v>0</v>
      </c>
      <c r="K497" s="19">
        <f>[2]S1!K498</f>
        <v>865</v>
      </c>
      <c r="L497" s="52">
        <f>[2]S1!L498</f>
        <v>16500</v>
      </c>
      <c r="M497" s="58">
        <f>[2]S1!M498</f>
        <v>8</v>
      </c>
      <c r="N497" s="49">
        <f>[2]S1!P498</f>
        <v>9509694070</v>
      </c>
      <c r="O497" s="14"/>
    </row>
    <row r="498" spans="1:15" x14ac:dyDescent="0.3">
      <c r="A498" s="11">
        <v>3545</v>
      </c>
      <c r="B498" s="12" t="str">
        <f>[3]Name!E2549</f>
        <v>Puja Varma</v>
      </c>
      <c r="C498" s="13">
        <f>[2]S1!C499</f>
        <v>500</v>
      </c>
      <c r="D498" s="13">
        <f>[2]S1!D499</f>
        <v>0</v>
      </c>
      <c r="E498" s="26">
        <f>[2]S1!E499</f>
        <v>200</v>
      </c>
      <c r="F498" s="26">
        <f>[2]S1!F499</f>
        <v>0</v>
      </c>
      <c r="G498" s="22">
        <f>[2]S1!G499</f>
        <v>0</v>
      </c>
      <c r="H498" s="22">
        <f>[2]S1!H499</f>
        <v>0</v>
      </c>
      <c r="I498" s="22">
        <f>[2]S1!I499</f>
        <v>149</v>
      </c>
      <c r="J498" s="13">
        <f>[2]S1!J499</f>
        <v>0</v>
      </c>
      <c r="K498" s="19">
        <f>[2]S1!K499</f>
        <v>349</v>
      </c>
      <c r="L498" s="52">
        <f>[2]S1!L499</f>
        <v>14926</v>
      </c>
      <c r="M498" s="58">
        <f>[2]S1!M499</f>
        <v>8</v>
      </c>
      <c r="N498" s="49">
        <f>[2]S1!P499</f>
        <v>9509694070</v>
      </c>
      <c r="O498" s="14"/>
    </row>
    <row r="499" spans="1:15" x14ac:dyDescent="0.3">
      <c r="A499" s="11">
        <v>3546</v>
      </c>
      <c r="B499" s="12" t="str">
        <f>[3]Name!E2550</f>
        <v>Gita Varma</v>
      </c>
      <c r="C499" s="13">
        <f>[2]S1!C500</f>
        <v>500</v>
      </c>
      <c r="D499" s="13">
        <f>[2]S1!D500</f>
        <v>0</v>
      </c>
      <c r="E499" s="26">
        <f>[2]S1!E500</f>
        <v>200</v>
      </c>
      <c r="F499" s="26">
        <f>[2]S1!F500</f>
        <v>0</v>
      </c>
      <c r="G499" s="22">
        <f>[2]S1!G500</f>
        <v>500</v>
      </c>
      <c r="H499" s="22">
        <f>[2]S1!H500</f>
        <v>0</v>
      </c>
      <c r="I499" s="22">
        <f>[2]S1!I500</f>
        <v>165</v>
      </c>
      <c r="J499" s="13">
        <f>[2]S1!J500</f>
        <v>0</v>
      </c>
      <c r="K499" s="19">
        <f>[2]S1!K500</f>
        <v>865</v>
      </c>
      <c r="L499" s="52">
        <f>[2]S1!L500</f>
        <v>16500</v>
      </c>
      <c r="M499" s="58">
        <f>[2]S1!M500</f>
        <v>8</v>
      </c>
      <c r="N499" s="49">
        <f>[2]S1!P500</f>
        <v>9509694070</v>
      </c>
      <c r="O499" s="14"/>
    </row>
    <row r="500" spans="1:15" x14ac:dyDescent="0.3">
      <c r="A500" s="11">
        <v>3547</v>
      </c>
      <c r="B500" s="12" t="str">
        <f>[3]Name!E2551</f>
        <v>Sohan Lal Meharda</v>
      </c>
      <c r="C500" s="13">
        <f>[2]S1!C501</f>
        <v>500</v>
      </c>
      <c r="D500" s="13">
        <f>[2]S1!D501</f>
        <v>0</v>
      </c>
      <c r="E500" s="26">
        <f>[2]S1!E501</f>
        <v>200</v>
      </c>
      <c r="F500" s="26">
        <f>[2]S1!F501</f>
        <v>0</v>
      </c>
      <c r="G500" s="22">
        <f>[2]S1!G501</f>
        <v>423</v>
      </c>
      <c r="H500" s="22">
        <f>[2]S1!H501</f>
        <v>0</v>
      </c>
      <c r="I500" s="22">
        <f>[2]S1!I501</f>
        <v>84</v>
      </c>
      <c r="J500" s="13">
        <f>[2]S1!J501</f>
        <v>0</v>
      </c>
      <c r="K500" s="19">
        <f>[2]S1!K501</f>
        <v>707</v>
      </c>
      <c r="L500" s="52">
        <f>[2]S1!L501</f>
        <v>8423</v>
      </c>
      <c r="M500" s="58">
        <f>[2]S1!M501</f>
        <v>24</v>
      </c>
      <c r="N500" s="49">
        <f>[2]S1!P501</f>
        <v>9785280999</v>
      </c>
      <c r="O500" s="14"/>
    </row>
    <row r="501" spans="1:15" x14ac:dyDescent="0.3">
      <c r="A501" s="11">
        <v>3548</v>
      </c>
      <c r="B501" s="12" t="str">
        <f>[3]Name!E2552</f>
        <v>Kailash Chand Meharda</v>
      </c>
      <c r="C501" s="13">
        <f>[2]S1!C502</f>
        <v>0</v>
      </c>
      <c r="D501" s="13">
        <f>[2]S1!D502</f>
        <v>0</v>
      </c>
      <c r="E501" s="26">
        <f>[2]S1!E502</f>
        <v>200</v>
      </c>
      <c r="F501" s="26">
        <f>[2]S1!F502</f>
        <v>0</v>
      </c>
      <c r="G501" s="22">
        <f>[2]S1!G502</f>
        <v>0</v>
      </c>
      <c r="H501" s="22">
        <f>[2]S1!H502</f>
        <v>0</v>
      </c>
      <c r="I501" s="22">
        <f>[2]S1!I502</f>
        <v>0</v>
      </c>
      <c r="J501" s="13">
        <f>[2]S1!J502</f>
        <v>0</v>
      </c>
      <c r="K501" s="19">
        <f>[2]S1!K502</f>
        <v>200</v>
      </c>
      <c r="L501" s="52">
        <f>[2]S1!L502</f>
        <v>0</v>
      </c>
      <c r="M501" s="58">
        <f>[2]S1!M502</f>
        <v>0</v>
      </c>
      <c r="N501" s="49">
        <f>[2]S1!P502</f>
        <v>8949159299</v>
      </c>
      <c r="O501" s="14"/>
    </row>
    <row r="502" spans="1:15" x14ac:dyDescent="0.3">
      <c r="A502" s="11">
        <v>3549</v>
      </c>
      <c r="B502" s="12" t="str">
        <f>[3]Name!E2553</f>
        <v xml:space="preserve"> Sahil Kumar Meharda</v>
      </c>
      <c r="C502" s="13">
        <f>[2]S1!C503</f>
        <v>2000</v>
      </c>
      <c r="D502" s="13">
        <f>[2]S1!D503</f>
        <v>0</v>
      </c>
      <c r="E502" s="26">
        <f>[2]S1!E503</f>
        <v>200</v>
      </c>
      <c r="F502" s="26">
        <f>[2]S1!F503</f>
        <v>0</v>
      </c>
      <c r="G502" s="22">
        <f>[2]S1!G503</f>
        <v>2000</v>
      </c>
      <c r="H502" s="22">
        <f>[2]S1!H503</f>
        <v>0</v>
      </c>
      <c r="I502" s="22">
        <f>[2]S1!I503</f>
        <v>120</v>
      </c>
      <c r="J502" s="13">
        <f>[2]S1!J503</f>
        <v>0</v>
      </c>
      <c r="K502" s="19">
        <f>[2]S1!K503</f>
        <v>2320</v>
      </c>
      <c r="L502" s="52">
        <f>[2]S1!L503</f>
        <v>12000</v>
      </c>
      <c r="M502" s="58">
        <f>[2]S1!M503</f>
        <v>5</v>
      </c>
      <c r="N502" s="49">
        <f>[2]S1!P503</f>
        <v>8949159299</v>
      </c>
      <c r="O502" s="14"/>
    </row>
    <row r="503" spans="1:15" x14ac:dyDescent="0.3">
      <c r="A503" s="11">
        <v>3550</v>
      </c>
      <c r="B503" s="12" t="str">
        <f>[3]Name!E2554</f>
        <v xml:space="preserve"> Samar Kumar Meharda</v>
      </c>
      <c r="C503" s="13">
        <f>[2]S1!C504</f>
        <v>2000</v>
      </c>
      <c r="D503" s="13">
        <f>[2]S1!D504</f>
        <v>0</v>
      </c>
      <c r="E503" s="26">
        <f>[2]S1!E504</f>
        <v>200</v>
      </c>
      <c r="F503" s="26">
        <f>[2]S1!F504</f>
        <v>0</v>
      </c>
      <c r="G503" s="22">
        <f>[2]S1!G504</f>
        <v>1937</v>
      </c>
      <c r="H503" s="22">
        <f>[2]S1!H504</f>
        <v>0</v>
      </c>
      <c r="I503" s="22">
        <f>[2]S1!I504</f>
        <v>119</v>
      </c>
      <c r="J503" s="13">
        <f>[2]S1!J504</f>
        <v>0</v>
      </c>
      <c r="K503" s="19">
        <f>[2]S1!K504</f>
        <v>2256</v>
      </c>
      <c r="L503" s="52">
        <f>[2]S1!L504</f>
        <v>11937</v>
      </c>
      <c r="M503" s="58">
        <f>[2]S1!M504</f>
        <v>5</v>
      </c>
      <c r="N503" s="49">
        <f>[2]S1!P504</f>
        <v>8949159299</v>
      </c>
      <c r="O503" s="14"/>
    </row>
    <row r="504" spans="1:15" x14ac:dyDescent="0.3">
      <c r="A504" s="11">
        <v>3551</v>
      </c>
      <c r="B504" s="12" t="str">
        <f>[3]Name!E2555</f>
        <v>Aanndi Lal</v>
      </c>
      <c r="C504" s="13">
        <f>[2]S1!C505</f>
        <v>500</v>
      </c>
      <c r="D504" s="13">
        <f>[2]S1!D505</f>
        <v>0</v>
      </c>
      <c r="E504" s="26">
        <f>[2]S1!E505</f>
        <v>200</v>
      </c>
      <c r="F504" s="26">
        <f>[2]S1!F505</f>
        <v>0</v>
      </c>
      <c r="G504" s="22">
        <f>[2]S1!G505</f>
        <v>500</v>
      </c>
      <c r="H504" s="22">
        <f>[2]S1!H505</f>
        <v>0</v>
      </c>
      <c r="I504" s="22">
        <f>[2]S1!I505</f>
        <v>95</v>
      </c>
      <c r="J504" s="13">
        <f>[2]S1!J505</f>
        <v>0</v>
      </c>
      <c r="K504" s="19">
        <f>[2]S1!K505</f>
        <v>795</v>
      </c>
      <c r="L504" s="52">
        <f>[2]S1!L505</f>
        <v>9500</v>
      </c>
      <c r="M504" s="58">
        <f>[2]S1!M505</f>
        <v>22</v>
      </c>
      <c r="N504" s="49">
        <f>[2]S1!P505</f>
        <v>9680688645</v>
      </c>
      <c r="O504" s="14"/>
    </row>
    <row r="505" spans="1:15" x14ac:dyDescent="0.3">
      <c r="A505" s="11">
        <v>3552</v>
      </c>
      <c r="B505" s="12" t="str">
        <f>[3]Name!E2556</f>
        <v>Kana Devi</v>
      </c>
      <c r="C505" s="13">
        <f>[2]S1!C506</f>
        <v>500</v>
      </c>
      <c r="D505" s="13">
        <f>[2]S1!D506</f>
        <v>0</v>
      </c>
      <c r="E505" s="26">
        <f>[2]S1!E506</f>
        <v>200</v>
      </c>
      <c r="F505" s="26">
        <f>[2]S1!F506</f>
        <v>0</v>
      </c>
      <c r="G505" s="22">
        <f>[2]S1!G506</f>
        <v>500</v>
      </c>
      <c r="H505" s="22">
        <f>[2]S1!H506</f>
        <v>0</v>
      </c>
      <c r="I505" s="22">
        <f>[2]S1!I506</f>
        <v>95</v>
      </c>
      <c r="J505" s="13">
        <f>[2]S1!J506</f>
        <v>0</v>
      </c>
      <c r="K505" s="19">
        <f>[2]S1!K506</f>
        <v>795</v>
      </c>
      <c r="L505" s="52">
        <f>[2]S1!L506</f>
        <v>9500</v>
      </c>
      <c r="M505" s="58">
        <f>[2]S1!M506</f>
        <v>22</v>
      </c>
      <c r="N505" s="49">
        <f>[2]S1!P506</f>
        <v>9680688645</v>
      </c>
      <c r="O505" s="14"/>
    </row>
    <row r="506" spans="1:15" x14ac:dyDescent="0.3">
      <c r="A506" s="11">
        <v>3553</v>
      </c>
      <c r="B506" s="12" t="str">
        <f>[3]Name!E2557</f>
        <v>Manju Devi</v>
      </c>
      <c r="C506" s="13">
        <f>[2]S1!C507</f>
        <v>500</v>
      </c>
      <c r="D506" s="13">
        <f>[2]S1!D507</f>
        <v>0</v>
      </c>
      <c r="E506" s="26">
        <f>[2]S1!E507</f>
        <v>200</v>
      </c>
      <c r="F506" s="26">
        <f>[2]S1!F507</f>
        <v>0</v>
      </c>
      <c r="G506" s="22">
        <f>[2]S1!G507</f>
        <v>500</v>
      </c>
      <c r="H506" s="22">
        <f>[2]S1!H507</f>
        <v>0</v>
      </c>
      <c r="I506" s="22">
        <f>[2]S1!I507</f>
        <v>95</v>
      </c>
      <c r="J506" s="13">
        <f>[2]S1!J507</f>
        <v>0</v>
      </c>
      <c r="K506" s="19">
        <f>[2]S1!K507</f>
        <v>795</v>
      </c>
      <c r="L506" s="52">
        <f>[2]S1!L507</f>
        <v>9500</v>
      </c>
      <c r="M506" s="58">
        <f>[2]S1!M507</f>
        <v>22</v>
      </c>
      <c r="N506" s="49">
        <f>[2]S1!P507</f>
        <v>9680688645</v>
      </c>
      <c r="O506" s="14"/>
    </row>
    <row r="507" spans="1:15" x14ac:dyDescent="0.3">
      <c r="A507" s="11">
        <v>3554</v>
      </c>
      <c r="B507" s="12" t="str">
        <f>[3]Name!E2558</f>
        <v>Gunjal</v>
      </c>
      <c r="C507" s="13">
        <f>[2]S1!C508</f>
        <v>500</v>
      </c>
      <c r="D507" s="13">
        <f>[2]S1!D508</f>
        <v>0</v>
      </c>
      <c r="E507" s="26">
        <f>[2]S1!E508</f>
        <v>200</v>
      </c>
      <c r="F507" s="26">
        <f>[2]S1!F508</f>
        <v>0</v>
      </c>
      <c r="G507" s="22">
        <f>[2]S1!G508</f>
        <v>500</v>
      </c>
      <c r="H507" s="22">
        <f>[2]S1!H508</f>
        <v>0</v>
      </c>
      <c r="I507" s="22">
        <f>[2]S1!I508</f>
        <v>95</v>
      </c>
      <c r="J507" s="13">
        <f>[2]S1!J508</f>
        <v>0</v>
      </c>
      <c r="K507" s="19">
        <f>[2]S1!K508</f>
        <v>795</v>
      </c>
      <c r="L507" s="52">
        <f>[2]S1!L508</f>
        <v>9500</v>
      </c>
      <c r="M507" s="58">
        <f>[2]S1!M508</f>
        <v>22</v>
      </c>
      <c r="N507" s="49">
        <f>[2]S1!P508</f>
        <v>9680688645</v>
      </c>
      <c r="O507" s="14"/>
    </row>
    <row r="508" spans="1:15" x14ac:dyDescent="0.3">
      <c r="A508" s="11">
        <v>3555</v>
      </c>
      <c r="B508" s="12" t="str">
        <f>[3]Name!E2559</f>
        <v>khyati</v>
      </c>
      <c r="C508" s="13">
        <f>[2]S1!C509</f>
        <v>500</v>
      </c>
      <c r="D508" s="13">
        <f>[2]S1!D509</f>
        <v>0</v>
      </c>
      <c r="E508" s="26">
        <f>[2]S1!E509</f>
        <v>200</v>
      </c>
      <c r="F508" s="26">
        <f>[2]S1!F509</f>
        <v>0</v>
      </c>
      <c r="G508" s="22">
        <f>[2]S1!G509</f>
        <v>0</v>
      </c>
      <c r="H508" s="22">
        <f>[2]S1!H509</f>
        <v>0</v>
      </c>
      <c r="I508" s="22">
        <f>[2]S1!I509</f>
        <v>41</v>
      </c>
      <c r="J508" s="13">
        <f>[2]S1!J509</f>
        <v>0</v>
      </c>
      <c r="K508" s="19">
        <f>[2]S1!K509</f>
        <v>241</v>
      </c>
      <c r="L508" s="52">
        <f>[2]S1!L509</f>
        <v>4064</v>
      </c>
      <c r="M508" s="58">
        <f>[2]S1!M509</f>
        <v>22</v>
      </c>
      <c r="N508" s="49">
        <f>[2]S1!P509</f>
        <v>9680688645</v>
      </c>
      <c r="O508" s="14"/>
    </row>
    <row r="509" spans="1:15" x14ac:dyDescent="0.3">
      <c r="A509" s="11">
        <v>3556</v>
      </c>
      <c r="B509" s="12" t="str">
        <f>[3]Name!E2560</f>
        <v>Sohan Lal Bunkar</v>
      </c>
      <c r="C509" s="13">
        <f>[2]S1!C510</f>
        <v>0</v>
      </c>
      <c r="D509" s="13">
        <f>[2]S1!D510</f>
        <v>0</v>
      </c>
      <c r="E509" s="26">
        <f>[2]S1!E510</f>
        <v>200</v>
      </c>
      <c r="F509" s="26">
        <f>[2]S1!F510</f>
        <v>0</v>
      </c>
      <c r="G509" s="22">
        <f>[2]S1!G510</f>
        <v>0</v>
      </c>
      <c r="H509" s="22">
        <f>[2]S1!H510</f>
        <v>0</v>
      </c>
      <c r="I509" s="22">
        <f>[2]S1!I510</f>
        <v>0</v>
      </c>
      <c r="J509" s="13">
        <f>[2]S1!J510</f>
        <v>0</v>
      </c>
      <c r="K509" s="19">
        <f>[2]S1!K510</f>
        <v>200</v>
      </c>
      <c r="L509" s="52">
        <f>[2]S1!L510</f>
        <v>0</v>
      </c>
      <c r="M509" s="58">
        <f>[2]S1!M510</f>
        <v>0</v>
      </c>
      <c r="N509" s="49">
        <f>[2]S1!P510</f>
        <v>9352230042</v>
      </c>
      <c r="O509" s="14"/>
    </row>
    <row r="510" spans="1:15" x14ac:dyDescent="0.3">
      <c r="A510" s="11">
        <v>3557</v>
      </c>
      <c r="B510" s="12" t="str">
        <f>[3]Name!E2561</f>
        <v>Mangi Devi Bunkar</v>
      </c>
      <c r="C510" s="13">
        <f>[2]S1!C511</f>
        <v>0</v>
      </c>
      <c r="D510" s="13">
        <f>[2]S1!D511</f>
        <v>0</v>
      </c>
      <c r="E510" s="26">
        <f>[2]S1!E511</f>
        <v>200</v>
      </c>
      <c r="F510" s="26">
        <f>[2]S1!F511</f>
        <v>0</v>
      </c>
      <c r="G510" s="22">
        <f>[2]S1!G511</f>
        <v>0</v>
      </c>
      <c r="H510" s="22">
        <f>[2]S1!H511</f>
        <v>0</v>
      </c>
      <c r="I510" s="22">
        <f>[2]S1!I511</f>
        <v>0</v>
      </c>
      <c r="J510" s="13">
        <f>[2]S1!J511</f>
        <v>0</v>
      </c>
      <c r="K510" s="19">
        <f>[2]S1!K511</f>
        <v>200</v>
      </c>
      <c r="L510" s="52">
        <f>[2]S1!L511</f>
        <v>0</v>
      </c>
      <c r="M510" s="58">
        <f>[2]S1!M511</f>
        <v>0</v>
      </c>
      <c r="N510" s="49">
        <f>[2]S1!P511</f>
        <v>9352230042</v>
      </c>
      <c r="O510" s="14"/>
    </row>
    <row r="511" spans="1:15" x14ac:dyDescent="0.3">
      <c r="A511" s="11">
        <v>3558</v>
      </c>
      <c r="B511" s="12" t="str">
        <f>[3]Name!E2562</f>
        <v>Laxman Kalohiya</v>
      </c>
      <c r="C511" s="13">
        <f>[2]S1!C512</f>
        <v>0</v>
      </c>
      <c r="D511" s="13">
        <f>[2]S1!D512</f>
        <v>0</v>
      </c>
      <c r="E511" s="26">
        <f>[2]S1!E512</f>
        <v>989</v>
      </c>
      <c r="F511" s="26">
        <f>[2]S1!F512</f>
        <v>0</v>
      </c>
      <c r="G511" s="22">
        <f>[2]S1!G512</f>
        <v>0</v>
      </c>
      <c r="H511" s="22">
        <f>[2]S1!H512</f>
        <v>0</v>
      </c>
      <c r="I511" s="22">
        <f>[2]S1!I512</f>
        <v>0</v>
      </c>
      <c r="J511" s="13">
        <f>[2]S1!J512</f>
        <v>0</v>
      </c>
      <c r="K511" s="19">
        <f>[2]S1!K512</f>
        <v>989</v>
      </c>
      <c r="L511" s="52">
        <f>[2]S1!L512</f>
        <v>0</v>
      </c>
      <c r="M511" s="58">
        <f>[2]S1!M512</f>
        <v>0</v>
      </c>
      <c r="N511" s="49">
        <f>[2]S1!P512</f>
        <v>9782135618</v>
      </c>
      <c r="O511" s="14"/>
    </row>
    <row r="512" spans="1:15" x14ac:dyDescent="0.3">
      <c r="A512" s="11">
        <v>3559</v>
      </c>
      <c r="B512" s="12" t="str">
        <f>[3]Name!E2563</f>
        <v>Mali Ram Varma</v>
      </c>
      <c r="C512" s="13">
        <f>[2]S1!C513</f>
        <v>1500</v>
      </c>
      <c r="D512" s="13">
        <f>[2]S1!D513</f>
        <v>0</v>
      </c>
      <c r="E512" s="26">
        <f>[2]S1!E513</f>
        <v>0</v>
      </c>
      <c r="F512" s="26">
        <f>[2]S1!F513</f>
        <v>0</v>
      </c>
      <c r="G512" s="22">
        <f>[2]S1!G513</f>
        <v>1500</v>
      </c>
      <c r="H512" s="22">
        <f>[2]S1!H513</f>
        <v>0</v>
      </c>
      <c r="I512" s="22">
        <f>[2]S1!I513</f>
        <v>300</v>
      </c>
      <c r="J512" s="13">
        <f>[2]S1!J513</f>
        <v>0</v>
      </c>
      <c r="K512" s="19">
        <f>[2]S1!K513</f>
        <v>1800</v>
      </c>
      <c r="L512" s="52">
        <f>[2]S1!L513</f>
        <v>30000</v>
      </c>
      <c r="M512" s="58">
        <f>[2]S1!M513</f>
        <v>1</v>
      </c>
      <c r="N512" s="49">
        <f>[2]S1!P513</f>
        <v>8741978113</v>
      </c>
      <c r="O512" s="14"/>
    </row>
    <row r="513" spans="1:15" x14ac:dyDescent="0.3">
      <c r="A513" s="11">
        <v>3560</v>
      </c>
      <c r="B513" s="12" t="str">
        <f>[3]Name!E2564</f>
        <v>Khusi Varma</v>
      </c>
      <c r="C513" s="13">
        <f>[2]S1!C514</f>
        <v>1500</v>
      </c>
      <c r="D513" s="13">
        <f>[2]S1!D514</f>
        <v>0</v>
      </c>
      <c r="E513" s="26">
        <f>[2]S1!E514</f>
        <v>0</v>
      </c>
      <c r="F513" s="26">
        <f>[2]S1!F514</f>
        <v>0</v>
      </c>
      <c r="G513" s="22">
        <f>[2]S1!G514</f>
        <v>1500</v>
      </c>
      <c r="H513" s="22">
        <f>[2]S1!H514</f>
        <v>0</v>
      </c>
      <c r="I513" s="22">
        <f>[2]S1!I514</f>
        <v>300</v>
      </c>
      <c r="J513" s="13">
        <f>[2]S1!J514</f>
        <v>0</v>
      </c>
      <c r="K513" s="19">
        <f>[2]S1!K514</f>
        <v>1800</v>
      </c>
      <c r="L513" s="52">
        <f>[2]S1!L514</f>
        <v>30000</v>
      </c>
      <c r="M513" s="58">
        <f>[2]S1!M514</f>
        <v>1</v>
      </c>
      <c r="N513" s="49">
        <f>[2]S1!P514</f>
        <v>8741978113</v>
      </c>
      <c r="O513" s="14"/>
    </row>
    <row r="514" spans="1:15" x14ac:dyDescent="0.3">
      <c r="A514" s="11">
        <v>3561</v>
      </c>
      <c r="B514" s="12" t="str">
        <f>[3]Name!E2565</f>
        <v>Vijay Varma</v>
      </c>
      <c r="C514" s="13">
        <f>[2]S1!C515</f>
        <v>1500</v>
      </c>
      <c r="D514" s="13">
        <f>[2]S1!D515</f>
        <v>0</v>
      </c>
      <c r="E514" s="26">
        <f>[2]S1!E515</f>
        <v>0</v>
      </c>
      <c r="F514" s="26">
        <f>[2]S1!F515</f>
        <v>0</v>
      </c>
      <c r="G514" s="22">
        <f>[2]S1!G515</f>
        <v>1500</v>
      </c>
      <c r="H514" s="22">
        <f>[2]S1!H515</f>
        <v>0</v>
      </c>
      <c r="I514" s="22">
        <f>[2]S1!I515</f>
        <v>300</v>
      </c>
      <c r="J514" s="13">
        <f>[2]S1!J515</f>
        <v>0</v>
      </c>
      <c r="K514" s="19">
        <f>[2]S1!K515</f>
        <v>1800</v>
      </c>
      <c r="L514" s="52">
        <f>[2]S1!L515</f>
        <v>30000</v>
      </c>
      <c r="M514" s="58">
        <f>[2]S1!M515</f>
        <v>1</v>
      </c>
      <c r="N514" s="49">
        <f>[2]S1!P515</f>
        <v>8741978113</v>
      </c>
      <c r="O514" s="14"/>
    </row>
    <row r="515" spans="1:15" x14ac:dyDescent="0.3">
      <c r="A515" s="11">
        <v>3562</v>
      </c>
      <c r="B515" s="12" t="str">
        <f>[3]Name!E2566</f>
        <v>Nita Varma</v>
      </c>
      <c r="C515" s="13">
        <f>[2]S1!C516</f>
        <v>1500</v>
      </c>
      <c r="D515" s="13">
        <f>[2]S1!D516</f>
        <v>0</v>
      </c>
      <c r="E515" s="26">
        <f>[2]S1!E516</f>
        <v>0</v>
      </c>
      <c r="F515" s="26">
        <f>[2]S1!F516</f>
        <v>0</v>
      </c>
      <c r="G515" s="22">
        <f>[2]S1!G516</f>
        <v>1500</v>
      </c>
      <c r="H515" s="22">
        <f>[2]S1!H516</f>
        <v>0</v>
      </c>
      <c r="I515" s="22">
        <f>[2]S1!I516</f>
        <v>300</v>
      </c>
      <c r="J515" s="13">
        <f>[2]S1!J516</f>
        <v>0</v>
      </c>
      <c r="K515" s="19">
        <f>[2]S1!K516</f>
        <v>1800</v>
      </c>
      <c r="L515" s="52">
        <f>[2]S1!L516</f>
        <v>30000</v>
      </c>
      <c r="M515" s="58">
        <f>[2]S1!M516</f>
        <v>1</v>
      </c>
      <c r="N515" s="49">
        <f>[2]S1!P516</f>
        <v>8741978113</v>
      </c>
      <c r="O515" s="14"/>
    </row>
    <row r="516" spans="1:15" x14ac:dyDescent="0.3">
      <c r="A516" s="11">
        <v>3563</v>
      </c>
      <c r="B516" s="12" t="str">
        <f>[3]Name!E2567</f>
        <v>Bhagirth Rathi</v>
      </c>
      <c r="C516" s="13">
        <f>[2]S1!C517</f>
        <v>0</v>
      </c>
      <c r="D516" s="13">
        <f>[2]S1!D517</f>
        <v>0</v>
      </c>
      <c r="E516" s="26">
        <f>[2]S1!E517</f>
        <v>200</v>
      </c>
      <c r="F516" s="26">
        <f>[2]S1!F517</f>
        <v>0</v>
      </c>
      <c r="G516" s="22">
        <f>[2]S1!G517</f>
        <v>0</v>
      </c>
      <c r="H516" s="22">
        <f>[2]S1!H517</f>
        <v>0</v>
      </c>
      <c r="I516" s="22">
        <f>[2]S1!I517</f>
        <v>0</v>
      </c>
      <c r="J516" s="13">
        <f>[2]S1!J517</f>
        <v>0</v>
      </c>
      <c r="K516" s="19">
        <f>[2]S1!K517</f>
        <v>200</v>
      </c>
      <c r="L516" s="52">
        <f>[2]S1!L517</f>
        <v>0</v>
      </c>
      <c r="M516" s="58">
        <f>[2]S1!M517</f>
        <v>0</v>
      </c>
      <c r="N516" s="49">
        <f>[2]S1!P517</f>
        <v>8003245618</v>
      </c>
      <c r="O516" s="14"/>
    </row>
    <row r="517" spans="1:15" x14ac:dyDescent="0.3">
      <c r="A517" s="11">
        <v>3564</v>
      </c>
      <c r="B517" s="12" t="str">
        <f>[3]Name!E2568</f>
        <v>Laxmi dev Rathi</v>
      </c>
      <c r="C517" s="13">
        <f>[2]S1!C518</f>
        <v>0</v>
      </c>
      <c r="D517" s="13">
        <f>[2]S1!D518</f>
        <v>0</v>
      </c>
      <c r="E517" s="26">
        <f>[2]S1!E518</f>
        <v>200</v>
      </c>
      <c r="F517" s="26">
        <f>[2]S1!F518</f>
        <v>0</v>
      </c>
      <c r="G517" s="22">
        <f>[2]S1!G518</f>
        <v>0</v>
      </c>
      <c r="H517" s="22">
        <f>[2]S1!H518</f>
        <v>0</v>
      </c>
      <c r="I517" s="22">
        <f>[2]S1!I518</f>
        <v>0</v>
      </c>
      <c r="J517" s="13">
        <f>[2]S1!J518</f>
        <v>0</v>
      </c>
      <c r="K517" s="19">
        <f>[2]S1!K518</f>
        <v>200</v>
      </c>
      <c r="L517" s="52">
        <f>[2]S1!L518</f>
        <v>0</v>
      </c>
      <c r="M517" s="58">
        <f>[2]S1!M518</f>
        <v>0</v>
      </c>
      <c r="N517" s="49">
        <f>[2]S1!P518</f>
        <v>8003245618</v>
      </c>
      <c r="O517" s="14"/>
    </row>
    <row r="518" spans="1:15" x14ac:dyDescent="0.3">
      <c r="A518" s="11">
        <v>3565</v>
      </c>
      <c r="B518" s="12" t="str">
        <f>[3]Name!E2569</f>
        <v>Mohan Lal Maharda</v>
      </c>
      <c r="C518" s="13">
        <f>[2]S1!C519</f>
        <v>200</v>
      </c>
      <c r="D518" s="13">
        <f>[2]S1!D519</f>
        <v>0</v>
      </c>
      <c r="E518" s="26">
        <f>[2]S1!E519</f>
        <v>200</v>
      </c>
      <c r="F518" s="26">
        <f>[2]S1!F519</f>
        <v>0</v>
      </c>
      <c r="G518" s="22">
        <f>[2]S1!G519</f>
        <v>200</v>
      </c>
      <c r="H518" s="22">
        <f>[2]S1!H519</f>
        <v>0</v>
      </c>
      <c r="I518" s="22">
        <f>[2]S1!I519</f>
        <v>246</v>
      </c>
      <c r="J518" s="13">
        <f>[2]S1!J519</f>
        <v>0</v>
      </c>
      <c r="K518" s="19">
        <f>[2]S1!K519</f>
        <v>646</v>
      </c>
      <c r="L518" s="52">
        <f>[2]S1!L519</f>
        <v>24600</v>
      </c>
      <c r="M518" s="58">
        <f>[2]S1!M519</f>
        <v>28</v>
      </c>
      <c r="N518" s="49">
        <f>[2]S1!P519</f>
        <v>9929194619</v>
      </c>
      <c r="O518" s="14"/>
    </row>
    <row r="519" spans="1:15" x14ac:dyDescent="0.3">
      <c r="A519" s="11">
        <v>3566</v>
      </c>
      <c r="B519" s="12" t="str">
        <f>[3]Name!E2570</f>
        <v>Ajay Kumar Meharda</v>
      </c>
      <c r="C519" s="13">
        <f>[2]S1!C520</f>
        <v>200</v>
      </c>
      <c r="D519" s="13">
        <f>[2]S1!D520</f>
        <v>0</v>
      </c>
      <c r="E519" s="26">
        <f>[2]S1!E520</f>
        <v>200</v>
      </c>
      <c r="F519" s="26">
        <f>[2]S1!F520</f>
        <v>0</v>
      </c>
      <c r="G519" s="22">
        <f>[2]S1!G520</f>
        <v>200</v>
      </c>
      <c r="H519" s="22">
        <f>[2]S1!H520</f>
        <v>0</v>
      </c>
      <c r="I519" s="22">
        <f>[2]S1!I520</f>
        <v>246</v>
      </c>
      <c r="J519" s="13">
        <f>[2]S1!J520</f>
        <v>0</v>
      </c>
      <c r="K519" s="19">
        <f>[2]S1!K520</f>
        <v>646</v>
      </c>
      <c r="L519" s="52">
        <f>[2]S1!L520</f>
        <v>24600</v>
      </c>
      <c r="M519" s="58">
        <f>[2]S1!M520</f>
        <v>28</v>
      </c>
      <c r="N519" s="49">
        <f>[2]S1!P520</f>
        <v>9929194619</v>
      </c>
      <c r="O519" s="14"/>
    </row>
    <row r="520" spans="1:15" x14ac:dyDescent="0.3">
      <c r="A520" s="11">
        <v>3567</v>
      </c>
      <c r="B520" s="12" t="str">
        <f>[3]Name!E2571</f>
        <v>Mohan Lal Maharda</v>
      </c>
      <c r="C520" s="13">
        <f>[2]S1!C521</f>
        <v>200</v>
      </c>
      <c r="D520" s="13">
        <f>[2]S1!D521</f>
        <v>0</v>
      </c>
      <c r="E520" s="26">
        <f>[2]S1!E521</f>
        <v>200</v>
      </c>
      <c r="F520" s="26">
        <f>[2]S1!F521</f>
        <v>0</v>
      </c>
      <c r="G520" s="22">
        <f>[2]S1!G521</f>
        <v>200</v>
      </c>
      <c r="H520" s="22">
        <f>[2]S1!H521</f>
        <v>0</v>
      </c>
      <c r="I520" s="22">
        <f>[2]S1!I521</f>
        <v>246</v>
      </c>
      <c r="J520" s="13">
        <f>[2]S1!J521</f>
        <v>0</v>
      </c>
      <c r="K520" s="19">
        <f>[2]S1!K521</f>
        <v>646</v>
      </c>
      <c r="L520" s="52">
        <f>[2]S1!L521</f>
        <v>24600</v>
      </c>
      <c r="M520" s="58">
        <f>[2]S1!M521</f>
        <v>28</v>
      </c>
      <c r="N520" s="49">
        <f>[2]S1!P521</f>
        <v>9929194619</v>
      </c>
      <c r="O520" s="14"/>
    </row>
    <row r="521" spans="1:15" x14ac:dyDescent="0.3">
      <c r="A521" s="11">
        <v>3568</v>
      </c>
      <c r="B521" s="12" t="str">
        <f>[3]Name!E2572</f>
        <v>Vimala Devi Meharda</v>
      </c>
      <c r="C521" s="13">
        <f>[2]S1!C522</f>
        <v>200</v>
      </c>
      <c r="D521" s="13">
        <f>[2]S1!D522</f>
        <v>0</v>
      </c>
      <c r="E521" s="26">
        <f>[2]S1!E522</f>
        <v>200</v>
      </c>
      <c r="F521" s="26">
        <f>[2]S1!F522</f>
        <v>0</v>
      </c>
      <c r="G521" s="22">
        <f>[2]S1!G522</f>
        <v>200</v>
      </c>
      <c r="H521" s="22">
        <f>[2]S1!H522</f>
        <v>0</v>
      </c>
      <c r="I521" s="22">
        <f>[2]S1!I522</f>
        <v>246</v>
      </c>
      <c r="J521" s="13">
        <f>[2]S1!J522</f>
        <v>0</v>
      </c>
      <c r="K521" s="19">
        <f>[2]S1!K522</f>
        <v>646</v>
      </c>
      <c r="L521" s="52">
        <f>[2]S1!L522</f>
        <v>24600</v>
      </c>
      <c r="M521" s="58">
        <f>[2]S1!M522</f>
        <v>28</v>
      </c>
      <c r="N521" s="49">
        <f>[2]S1!P522</f>
        <v>9929194619</v>
      </c>
      <c r="O521" s="14"/>
    </row>
    <row r="522" spans="1:15" x14ac:dyDescent="0.3">
      <c r="A522" s="11">
        <v>3569</v>
      </c>
      <c r="B522" s="12" t="str">
        <f>[3]Name!E2573</f>
        <v>Vimala Devi Meharda</v>
      </c>
      <c r="C522" s="13">
        <f>[2]S1!C523</f>
        <v>200</v>
      </c>
      <c r="D522" s="13">
        <f>[2]S1!D523</f>
        <v>0</v>
      </c>
      <c r="E522" s="26">
        <f>[2]S1!E523</f>
        <v>200</v>
      </c>
      <c r="F522" s="26">
        <f>[2]S1!F523</f>
        <v>0</v>
      </c>
      <c r="G522" s="22">
        <f>[2]S1!G523</f>
        <v>200</v>
      </c>
      <c r="H522" s="22">
        <f>[2]S1!H523</f>
        <v>0</v>
      </c>
      <c r="I522" s="22">
        <f>[2]S1!I523</f>
        <v>246</v>
      </c>
      <c r="J522" s="13">
        <f>[2]S1!J523</f>
        <v>0</v>
      </c>
      <c r="K522" s="19">
        <f>[2]S1!K523</f>
        <v>646</v>
      </c>
      <c r="L522" s="52">
        <f>[2]S1!L523</f>
        <v>24600</v>
      </c>
      <c r="M522" s="58">
        <f>[2]S1!M523</f>
        <v>28</v>
      </c>
      <c r="N522" s="49">
        <f>[2]S1!P523</f>
        <v>9929194619</v>
      </c>
      <c r="O522" s="14"/>
    </row>
    <row r="523" spans="1:15" x14ac:dyDescent="0.3">
      <c r="A523" s="11">
        <v>3570</v>
      </c>
      <c r="B523" s="12" t="str">
        <f>[3]Name!E2574</f>
        <v>Sankar Lal Bagamar</v>
      </c>
      <c r="C523" s="13">
        <f>[2]S1!C524</f>
        <v>0</v>
      </c>
      <c r="D523" s="13">
        <f>[2]S1!D524</f>
        <v>0</v>
      </c>
      <c r="E523" s="26">
        <f>[2]S1!E524</f>
        <v>200</v>
      </c>
      <c r="F523" s="26">
        <f>[2]S1!F524</f>
        <v>0</v>
      </c>
      <c r="G523" s="22">
        <f>[2]S1!G524</f>
        <v>0</v>
      </c>
      <c r="H523" s="22">
        <f>[2]S1!H524</f>
        <v>0</v>
      </c>
      <c r="I523" s="22">
        <f>[2]S1!I524</f>
        <v>0</v>
      </c>
      <c r="J523" s="13">
        <f>[2]S1!J524</f>
        <v>0</v>
      </c>
      <c r="K523" s="19">
        <f>[2]S1!K524</f>
        <v>200</v>
      </c>
      <c r="L523" s="52">
        <f>[2]S1!L524</f>
        <v>0</v>
      </c>
      <c r="M523" s="58">
        <f>[2]S1!M524</f>
        <v>0</v>
      </c>
      <c r="N523" s="49">
        <f>[2]S1!P524</f>
        <v>9982361246</v>
      </c>
      <c r="O523" s="14"/>
    </row>
    <row r="524" spans="1:15" x14ac:dyDescent="0.3">
      <c r="A524" s="11">
        <v>3571</v>
      </c>
      <c r="B524" s="12" t="str">
        <f>[3]Name!E2575</f>
        <v>Puja Kumari Bagamar</v>
      </c>
      <c r="C524" s="13">
        <f>[2]S1!C525</f>
        <v>0</v>
      </c>
      <c r="D524" s="13">
        <f>[2]S1!D525</f>
        <v>0</v>
      </c>
      <c r="E524" s="26">
        <f>[2]S1!E525</f>
        <v>200</v>
      </c>
      <c r="F524" s="26">
        <f>[2]S1!F525</f>
        <v>0</v>
      </c>
      <c r="G524" s="22">
        <f>[2]S1!G525</f>
        <v>0</v>
      </c>
      <c r="H524" s="22">
        <f>[2]S1!H525</f>
        <v>0</v>
      </c>
      <c r="I524" s="22">
        <f>[2]S1!I525</f>
        <v>0</v>
      </c>
      <c r="J524" s="13">
        <f>[2]S1!J525</f>
        <v>0</v>
      </c>
      <c r="K524" s="19">
        <f>[2]S1!K525</f>
        <v>200</v>
      </c>
      <c r="L524" s="52">
        <f>[2]S1!L525</f>
        <v>0</v>
      </c>
      <c r="M524" s="58">
        <f>[2]S1!M525</f>
        <v>0</v>
      </c>
      <c r="N524" s="49">
        <f>[2]S1!P525</f>
        <v>9982361246</v>
      </c>
      <c r="O524" s="14"/>
    </row>
    <row r="525" spans="1:15" x14ac:dyDescent="0.3">
      <c r="A525" s="11">
        <v>3572</v>
      </c>
      <c r="B525" s="12" t="str">
        <f>[3]Name!E2576</f>
        <v>Jay Kumar Bagamar</v>
      </c>
      <c r="C525" s="13">
        <f>[2]S1!C526</f>
        <v>0</v>
      </c>
      <c r="D525" s="13">
        <f>[2]S1!D526</f>
        <v>0</v>
      </c>
      <c r="E525" s="26">
        <f>[2]S1!E526</f>
        <v>200</v>
      </c>
      <c r="F525" s="26">
        <f>[2]S1!F526</f>
        <v>0</v>
      </c>
      <c r="G525" s="22">
        <f>[2]S1!G526</f>
        <v>0</v>
      </c>
      <c r="H525" s="22">
        <f>[2]S1!H526</f>
        <v>0</v>
      </c>
      <c r="I525" s="22">
        <f>[2]S1!I526</f>
        <v>0</v>
      </c>
      <c r="J525" s="13">
        <f>[2]S1!J526</f>
        <v>0</v>
      </c>
      <c r="K525" s="19">
        <f>[2]S1!K526</f>
        <v>200</v>
      </c>
      <c r="L525" s="52">
        <f>[2]S1!L526</f>
        <v>0</v>
      </c>
      <c r="M525" s="58">
        <f>[2]S1!M526</f>
        <v>0</v>
      </c>
      <c r="N525" s="49">
        <f>[2]S1!P526</f>
        <v>9982361246</v>
      </c>
      <c r="O525" s="14"/>
    </row>
    <row r="526" spans="1:15" x14ac:dyDescent="0.3">
      <c r="A526" s="11">
        <v>3573</v>
      </c>
      <c r="B526" s="12" t="str">
        <f>[3]Name!E2577</f>
        <v>Jay Kumar Bagamar</v>
      </c>
      <c r="C526" s="13">
        <f>[2]S1!C527</f>
        <v>0</v>
      </c>
      <c r="D526" s="13">
        <f>[2]S1!D527</f>
        <v>0</v>
      </c>
      <c r="E526" s="26">
        <f>[2]S1!E527</f>
        <v>200</v>
      </c>
      <c r="F526" s="26">
        <f>[2]S1!F527</f>
        <v>0</v>
      </c>
      <c r="G526" s="22">
        <f>[2]S1!G527</f>
        <v>0</v>
      </c>
      <c r="H526" s="22">
        <f>[2]S1!H527</f>
        <v>154</v>
      </c>
      <c r="I526" s="22">
        <f>[2]S1!I527</f>
        <v>224</v>
      </c>
      <c r="J526" s="13">
        <f>[2]S1!J527</f>
        <v>0</v>
      </c>
      <c r="K526" s="19">
        <f>[2]S1!K527</f>
        <v>578</v>
      </c>
      <c r="L526" s="52">
        <f>[2]S1!L527</f>
        <v>21000</v>
      </c>
      <c r="M526" s="58">
        <f>[2]S1!M527</f>
        <v>1</v>
      </c>
      <c r="N526" s="49">
        <f>[2]S1!P527</f>
        <v>9982361246</v>
      </c>
      <c r="O526" s="14"/>
    </row>
    <row r="527" spans="1:15" x14ac:dyDescent="0.3">
      <c r="A527" s="11">
        <v>3574</v>
      </c>
      <c r="B527" s="12" t="str">
        <f>[3]Name!E2578</f>
        <v>Puja Kumari Bagamar</v>
      </c>
      <c r="C527" s="13">
        <f>[2]S1!C528</f>
        <v>0</v>
      </c>
      <c r="D527" s="13">
        <f>[2]S1!D528</f>
        <v>0</v>
      </c>
      <c r="E527" s="26">
        <f>[2]S1!E528</f>
        <v>200</v>
      </c>
      <c r="F527" s="26">
        <f>[2]S1!F528</f>
        <v>0</v>
      </c>
      <c r="G527" s="22">
        <f>[2]S1!G528</f>
        <v>0</v>
      </c>
      <c r="H527" s="22">
        <f>[2]S1!H528</f>
        <v>152</v>
      </c>
      <c r="I527" s="22">
        <f>[2]S1!I528</f>
        <v>144</v>
      </c>
      <c r="J527" s="13">
        <f>[2]S1!J528</f>
        <v>0</v>
      </c>
      <c r="K527" s="19">
        <f>[2]S1!K528</f>
        <v>496</v>
      </c>
      <c r="L527" s="52">
        <f>[2]S1!L528</f>
        <v>12970</v>
      </c>
      <c r="M527" s="58">
        <f>[2]S1!M528</f>
        <v>1</v>
      </c>
      <c r="N527" s="49">
        <f>[2]S1!P528</f>
        <v>9982361246</v>
      </c>
      <c r="O527" s="14"/>
    </row>
    <row r="528" spans="1:15" x14ac:dyDescent="0.3">
      <c r="A528" s="11">
        <v>3575</v>
      </c>
      <c r="B528" s="12" t="str">
        <f>[3]Name!E2579</f>
        <v>Payal kumari Khandelwal</v>
      </c>
      <c r="C528" s="13">
        <f>[2]S1!C529</f>
        <v>200</v>
      </c>
      <c r="D528" s="13">
        <f>[2]S1!D529</f>
        <v>0</v>
      </c>
      <c r="E528" s="26">
        <f>[2]S1!E529</f>
        <v>200</v>
      </c>
      <c r="F528" s="26">
        <f>[2]S1!F529</f>
        <v>0</v>
      </c>
      <c r="G528" s="22">
        <f>[2]S1!G529</f>
        <v>200</v>
      </c>
      <c r="H528" s="22">
        <f>[2]S1!H529</f>
        <v>0</v>
      </c>
      <c r="I528" s="22">
        <f>[2]S1!I529</f>
        <v>246</v>
      </c>
      <c r="J528" s="13">
        <f>[2]S1!J529</f>
        <v>0</v>
      </c>
      <c r="K528" s="19">
        <f>[2]S1!K529</f>
        <v>646</v>
      </c>
      <c r="L528" s="52">
        <f>[2]S1!L529</f>
        <v>24600</v>
      </c>
      <c r="M528" s="58">
        <f>[2]S1!M529</f>
        <v>28</v>
      </c>
      <c r="N528" s="49">
        <f>[2]S1!P529</f>
        <v>9664229613</v>
      </c>
      <c r="O528" s="14"/>
    </row>
    <row r="529" spans="1:15" x14ac:dyDescent="0.3">
      <c r="A529" s="11">
        <v>3576</v>
      </c>
      <c r="B529" s="12" t="str">
        <f>[3]Name!E2580</f>
        <v xml:space="preserve">Dev Raj Khandelwal </v>
      </c>
      <c r="C529" s="13">
        <f>[2]S1!C530</f>
        <v>200</v>
      </c>
      <c r="D529" s="13">
        <f>[2]S1!D530</f>
        <v>0</v>
      </c>
      <c r="E529" s="26">
        <f>[2]S1!E530</f>
        <v>200</v>
      </c>
      <c r="F529" s="26">
        <f>[2]S1!F530</f>
        <v>0</v>
      </c>
      <c r="G529" s="22">
        <f>[2]S1!G530</f>
        <v>0</v>
      </c>
      <c r="H529" s="22">
        <f>[2]S1!H530</f>
        <v>0</v>
      </c>
      <c r="I529" s="22">
        <f>[2]S1!I530</f>
        <v>231</v>
      </c>
      <c r="J529" s="13">
        <f>[2]S1!J530</f>
        <v>0</v>
      </c>
      <c r="K529" s="19">
        <f>[2]S1!K530</f>
        <v>431</v>
      </c>
      <c r="L529" s="52">
        <f>[2]S1!L530</f>
        <v>23100</v>
      </c>
      <c r="M529" s="58">
        <f>[2]S1!M530</f>
        <v>28</v>
      </c>
      <c r="N529" s="49">
        <f>[2]S1!P530</f>
        <v>9664229613</v>
      </c>
      <c r="O529" s="14"/>
    </row>
    <row r="530" spans="1:15" x14ac:dyDescent="0.3">
      <c r="A530" s="11">
        <v>3577</v>
      </c>
      <c r="B530" s="12" t="str">
        <f>[3]Name!E2581</f>
        <v>Babu Lal Khandelwal</v>
      </c>
      <c r="C530" s="13">
        <f>[2]S1!C531</f>
        <v>200</v>
      </c>
      <c r="D530" s="13">
        <f>[2]S1!D531</f>
        <v>0</v>
      </c>
      <c r="E530" s="26">
        <f>[2]S1!E531</f>
        <v>200</v>
      </c>
      <c r="F530" s="26">
        <f>[2]S1!F531</f>
        <v>0</v>
      </c>
      <c r="G530" s="22">
        <f>[2]S1!G531</f>
        <v>0</v>
      </c>
      <c r="H530" s="22">
        <f>[2]S1!H531</f>
        <v>0</v>
      </c>
      <c r="I530" s="22">
        <f>[2]S1!I531</f>
        <v>130</v>
      </c>
      <c r="J530" s="13">
        <f>[2]S1!J531</f>
        <v>0</v>
      </c>
      <c r="K530" s="19">
        <f>[2]S1!K531</f>
        <v>330</v>
      </c>
      <c r="L530" s="52">
        <f>[2]S1!L531</f>
        <v>12999</v>
      </c>
      <c r="M530" s="58">
        <f>[2]S1!M531</f>
        <v>28</v>
      </c>
      <c r="N530" s="49">
        <f>[2]S1!P531</f>
        <v>9664229613</v>
      </c>
      <c r="O530" s="14"/>
    </row>
    <row r="531" spans="1:15" x14ac:dyDescent="0.3">
      <c r="A531" s="11">
        <v>3578</v>
      </c>
      <c r="B531" s="12" t="str">
        <f>[3]Name!E2582</f>
        <v>Lali Devi Khandelwal</v>
      </c>
      <c r="C531" s="13">
        <f>[2]S1!C532</f>
        <v>200</v>
      </c>
      <c r="D531" s="13">
        <f>[2]S1!D532</f>
        <v>0</v>
      </c>
      <c r="E531" s="26">
        <f>[2]S1!E532</f>
        <v>200</v>
      </c>
      <c r="F531" s="26">
        <f>[2]S1!F532</f>
        <v>0</v>
      </c>
      <c r="G531" s="22">
        <f>[2]S1!G532</f>
        <v>0</v>
      </c>
      <c r="H531" s="22">
        <f>[2]S1!H532</f>
        <v>0</v>
      </c>
      <c r="I531" s="22">
        <f>[2]S1!I532</f>
        <v>0</v>
      </c>
      <c r="J531" s="13">
        <f>[2]S1!J532</f>
        <v>0</v>
      </c>
      <c r="K531" s="19">
        <f>[2]S1!K532</f>
        <v>200</v>
      </c>
      <c r="L531" s="52">
        <f>[2]S1!L532</f>
        <v>0</v>
      </c>
      <c r="M531" s="58">
        <f>[2]S1!M532</f>
        <v>0</v>
      </c>
      <c r="N531" s="49">
        <f>[2]S1!P532</f>
        <v>9664229613</v>
      </c>
      <c r="O531" s="14"/>
    </row>
    <row r="532" spans="1:15" x14ac:dyDescent="0.3">
      <c r="A532" s="11">
        <v>3579</v>
      </c>
      <c r="B532" s="12" t="str">
        <f>[3]Name!E2583</f>
        <v>Sona Kumari Khandelwal</v>
      </c>
      <c r="C532" s="13">
        <f>[2]S1!C533</f>
        <v>500</v>
      </c>
      <c r="D532" s="13">
        <f>[2]S1!D533</f>
        <v>0</v>
      </c>
      <c r="E532" s="26">
        <f>[2]S1!E533</f>
        <v>200</v>
      </c>
      <c r="F532" s="26">
        <f>[2]S1!F533</f>
        <v>0</v>
      </c>
      <c r="G532" s="22">
        <f>[2]S1!G533</f>
        <v>0</v>
      </c>
      <c r="H532" s="22">
        <f>[2]S1!H533</f>
        <v>0</v>
      </c>
      <c r="I532" s="22">
        <f>[2]S1!I533</f>
        <v>507</v>
      </c>
      <c r="J532" s="13">
        <f>[2]S1!J533</f>
        <v>0</v>
      </c>
      <c r="K532" s="19">
        <f>[2]S1!K533</f>
        <v>707</v>
      </c>
      <c r="L532" s="52">
        <f>[2]S1!L533</f>
        <v>50734</v>
      </c>
      <c r="M532" s="58">
        <f>[2]S1!M533</f>
        <v>5</v>
      </c>
      <c r="N532" s="49">
        <f>[2]S1!P533</f>
        <v>9664229613</v>
      </c>
      <c r="O532" s="14"/>
    </row>
    <row r="533" spans="1:15" x14ac:dyDescent="0.3">
      <c r="A533" s="11">
        <v>3580</v>
      </c>
      <c r="B533" s="12" t="str">
        <f>[3]Name!E2584</f>
        <v>Payal kumari Khandelwal</v>
      </c>
      <c r="C533" s="13">
        <f>[2]S1!C534</f>
        <v>500</v>
      </c>
      <c r="D533" s="13">
        <f>[2]S1!D534</f>
        <v>0</v>
      </c>
      <c r="E533" s="26">
        <f>[2]S1!E534</f>
        <v>200</v>
      </c>
      <c r="F533" s="26">
        <f>[2]S1!F534</f>
        <v>0</v>
      </c>
      <c r="G533" s="22">
        <f>[2]S1!G534</f>
        <v>500</v>
      </c>
      <c r="H533" s="22">
        <f>[2]S1!H534</f>
        <v>0</v>
      </c>
      <c r="I533" s="22">
        <f>[2]S1!I534</f>
        <v>580</v>
      </c>
      <c r="J533" s="13">
        <f>[2]S1!J534</f>
        <v>0</v>
      </c>
      <c r="K533" s="19">
        <f>[2]S1!K534</f>
        <v>1280</v>
      </c>
      <c r="L533" s="52">
        <f>[2]S1!L534</f>
        <v>58000</v>
      </c>
      <c r="M533" s="58">
        <f>[2]S1!M534</f>
        <v>5</v>
      </c>
      <c r="N533" s="49">
        <f>[2]S1!P534</f>
        <v>9664229613</v>
      </c>
      <c r="O533" s="14"/>
    </row>
    <row r="534" spans="1:15" x14ac:dyDescent="0.3">
      <c r="A534" s="11">
        <v>3581</v>
      </c>
      <c r="B534" s="12" t="str">
        <f>[3]Name!E2585</f>
        <v xml:space="preserve">Dev Raj Khandelwal </v>
      </c>
      <c r="C534" s="13">
        <f>[2]S1!C535</f>
        <v>500</v>
      </c>
      <c r="D534" s="13">
        <f>[2]S1!D535</f>
        <v>0</v>
      </c>
      <c r="E534" s="26">
        <f>[2]S1!E535</f>
        <v>200</v>
      </c>
      <c r="F534" s="26">
        <f>[2]S1!F535</f>
        <v>0</v>
      </c>
      <c r="G534" s="22">
        <f>[2]S1!G535</f>
        <v>500</v>
      </c>
      <c r="H534" s="22">
        <f>[2]S1!H535</f>
        <v>0</v>
      </c>
      <c r="I534" s="22">
        <f>[2]S1!I535</f>
        <v>480</v>
      </c>
      <c r="J534" s="13">
        <f>[2]S1!J535</f>
        <v>0</v>
      </c>
      <c r="K534" s="19">
        <f>[2]S1!K535</f>
        <v>1180</v>
      </c>
      <c r="L534" s="52">
        <f>[2]S1!L535</f>
        <v>48000</v>
      </c>
      <c r="M534" s="58">
        <f>[2]S1!M535</f>
        <v>5</v>
      </c>
      <c r="N534" s="49">
        <f>[2]S1!P535</f>
        <v>9664229613</v>
      </c>
      <c r="O534" s="14"/>
    </row>
    <row r="535" spans="1:15" x14ac:dyDescent="0.3">
      <c r="A535" s="11">
        <v>3582</v>
      </c>
      <c r="B535" s="12" t="str">
        <f>[3]Name!E2586</f>
        <v>Babu Lal Khandelwal</v>
      </c>
      <c r="C535" s="13">
        <f>[2]S1!C536</f>
        <v>250</v>
      </c>
      <c r="D535" s="13">
        <f>[2]S1!D536</f>
        <v>0</v>
      </c>
      <c r="E535" s="26">
        <f>[2]S1!E536</f>
        <v>200</v>
      </c>
      <c r="F535" s="26">
        <f>[2]S1!F536</f>
        <v>0</v>
      </c>
      <c r="G535" s="22">
        <f>[2]S1!G536</f>
        <v>0</v>
      </c>
      <c r="H535" s="22">
        <f>[2]S1!H536</f>
        <v>0</v>
      </c>
      <c r="I535" s="22">
        <f>[2]S1!I536</f>
        <v>485</v>
      </c>
      <c r="J535" s="13">
        <f>[2]S1!J536</f>
        <v>0</v>
      </c>
      <c r="K535" s="19">
        <f>[2]S1!K536</f>
        <v>685</v>
      </c>
      <c r="L535" s="52">
        <f>[2]S1!L536</f>
        <v>48500</v>
      </c>
      <c r="M535" s="58">
        <f>[2]S1!M536</f>
        <v>5</v>
      </c>
      <c r="N535" s="49">
        <f>[2]S1!P536</f>
        <v>9664229613</v>
      </c>
      <c r="O535" s="14"/>
    </row>
    <row r="536" spans="1:15" x14ac:dyDescent="0.3">
      <c r="A536" s="11">
        <v>3583</v>
      </c>
      <c r="B536" s="12" t="str">
        <f>[3]Name!E2587</f>
        <v>Lali Devi Khandelwal</v>
      </c>
      <c r="C536" s="13">
        <f>[2]S1!C537</f>
        <v>250</v>
      </c>
      <c r="D536" s="13">
        <f>[2]S1!D537</f>
        <v>0</v>
      </c>
      <c r="E536" s="26">
        <f>[2]S1!E537</f>
        <v>200</v>
      </c>
      <c r="F536" s="26">
        <f>[2]S1!F537</f>
        <v>0</v>
      </c>
      <c r="G536" s="22">
        <f>[2]S1!G537</f>
        <v>0</v>
      </c>
      <c r="H536" s="22">
        <f>[2]S1!H537</f>
        <v>0</v>
      </c>
      <c r="I536" s="22">
        <f>[2]S1!I537</f>
        <v>485</v>
      </c>
      <c r="J536" s="13">
        <f>[2]S1!J537</f>
        <v>0</v>
      </c>
      <c r="K536" s="19">
        <f>[2]S1!K537</f>
        <v>685</v>
      </c>
      <c r="L536" s="52">
        <f>[2]S1!L537</f>
        <v>48500</v>
      </c>
      <c r="M536" s="58">
        <f>[2]S1!M537</f>
        <v>5</v>
      </c>
      <c r="N536" s="49">
        <f>[2]S1!P537</f>
        <v>9664229613</v>
      </c>
      <c r="O536" s="14"/>
    </row>
    <row r="537" spans="1:15" x14ac:dyDescent="0.3">
      <c r="A537" s="11">
        <v>3584</v>
      </c>
      <c r="B537" s="12" t="str">
        <f>[3]Name!E2588</f>
        <v>Sona Kumari Khandelwal</v>
      </c>
      <c r="C537" s="13">
        <f>[2]S1!C538</f>
        <v>250</v>
      </c>
      <c r="D537" s="13">
        <f>[2]S1!D538</f>
        <v>0</v>
      </c>
      <c r="E537" s="26">
        <f>[2]S1!E538</f>
        <v>200</v>
      </c>
      <c r="F537" s="26">
        <f>[2]S1!F538</f>
        <v>0</v>
      </c>
      <c r="G537" s="22">
        <f>[2]S1!G538</f>
        <v>0</v>
      </c>
      <c r="H537" s="22">
        <f>[2]S1!H538</f>
        <v>0</v>
      </c>
      <c r="I537" s="22">
        <f>[2]S1!I538</f>
        <v>485</v>
      </c>
      <c r="J537" s="13">
        <f>[2]S1!J538</f>
        <v>0</v>
      </c>
      <c r="K537" s="19">
        <f>[2]S1!K538</f>
        <v>685</v>
      </c>
      <c r="L537" s="52">
        <f>[2]S1!L538</f>
        <v>48500</v>
      </c>
      <c r="M537" s="58">
        <f>[2]S1!M538</f>
        <v>5</v>
      </c>
      <c r="N537" s="49">
        <f>[2]S1!P538</f>
        <v>9664229613</v>
      </c>
      <c r="O537" s="14"/>
    </row>
    <row r="538" spans="1:15" x14ac:dyDescent="0.3">
      <c r="A538" s="11">
        <v>3585</v>
      </c>
      <c r="B538" s="12" t="str">
        <f>[3]Name!E2589</f>
        <v>Ramesh Kumar Bunkar</v>
      </c>
      <c r="C538" s="13">
        <f>[2]S1!C539</f>
        <v>0</v>
      </c>
      <c r="D538" s="13">
        <f>[2]S1!D539</f>
        <v>4076</v>
      </c>
      <c r="E538" s="26">
        <f>[2]S1!E539</f>
        <v>5368</v>
      </c>
      <c r="F538" s="26">
        <f>[2]S1!F539</f>
        <v>5434</v>
      </c>
      <c r="G538" s="22">
        <f>[2]S1!G539</f>
        <v>0</v>
      </c>
      <c r="H538" s="22">
        <f>[2]S1!H539</f>
        <v>0</v>
      </c>
      <c r="I538" s="22">
        <f>[2]S1!I539</f>
        <v>1796</v>
      </c>
      <c r="J538" s="13">
        <f>[2]S1!J539</f>
        <v>200</v>
      </c>
      <c r="K538" s="19">
        <f>[2]S1!K539</f>
        <v>12798</v>
      </c>
      <c r="L538" s="52">
        <f>[2]S1!L539</f>
        <v>8756</v>
      </c>
      <c r="M538" s="58">
        <f>[2]S1!M539</f>
        <v>28</v>
      </c>
      <c r="N538" s="49">
        <f>[2]S1!P539</f>
        <v>935113848530</v>
      </c>
      <c r="O538" s="14"/>
    </row>
    <row r="539" spans="1:15" x14ac:dyDescent="0.3">
      <c r="A539" s="11">
        <v>3586</v>
      </c>
      <c r="B539" s="12" t="str">
        <f>[3]Name!E2590</f>
        <v>Ramdev Bunkar</v>
      </c>
      <c r="C539" s="13">
        <f>[2]S1!C540</f>
        <v>500</v>
      </c>
      <c r="D539" s="13">
        <f>[2]S1!D540</f>
        <v>0</v>
      </c>
      <c r="E539" s="26">
        <f>[2]S1!E540</f>
        <v>0</v>
      </c>
      <c r="F539" s="26">
        <f>[2]S1!F540</f>
        <v>0</v>
      </c>
      <c r="G539" s="22">
        <f>[2]S1!G540</f>
        <v>500</v>
      </c>
      <c r="H539" s="22">
        <f>[2]S1!H540</f>
        <v>0</v>
      </c>
      <c r="I539" s="22">
        <f>[2]S1!I540</f>
        <v>250</v>
      </c>
      <c r="J539" s="13">
        <f>[2]S1!J540</f>
        <v>0</v>
      </c>
      <c r="K539" s="19">
        <f>[2]S1!K540</f>
        <v>750</v>
      </c>
      <c r="L539" s="52">
        <f>[2]S1!L540</f>
        <v>25000</v>
      </c>
      <c r="M539" s="58">
        <f>[2]S1!M540</f>
        <v>11</v>
      </c>
      <c r="N539" s="49">
        <f>[2]S1!P540</f>
        <v>9680409946</v>
      </c>
      <c r="O539" s="14"/>
    </row>
    <row r="540" spans="1:15" x14ac:dyDescent="0.3">
      <c r="A540" s="11">
        <v>3587</v>
      </c>
      <c r="B540" s="12" t="str">
        <f>[3]Name!E2591</f>
        <v>Gyan Chand Bunkar</v>
      </c>
      <c r="C540" s="13">
        <f>[2]S1!C541</f>
        <v>1000</v>
      </c>
      <c r="D540" s="13">
        <f>[2]S1!D541</f>
        <v>0</v>
      </c>
      <c r="E540" s="26">
        <f>[2]S1!E541</f>
        <v>0</v>
      </c>
      <c r="F540" s="26">
        <f>[2]S1!F541</f>
        <v>0</v>
      </c>
      <c r="G540" s="22">
        <f>[2]S1!G541</f>
        <v>1000</v>
      </c>
      <c r="H540" s="22">
        <f>[2]S1!H541</f>
        <v>0</v>
      </c>
      <c r="I540" s="22">
        <f>[2]S1!I541</f>
        <v>0</v>
      </c>
      <c r="J540" s="13">
        <f>[2]S1!J541</f>
        <v>0</v>
      </c>
      <c r="K540" s="19">
        <f>[2]S1!K541</f>
        <v>1000</v>
      </c>
      <c r="L540" s="52">
        <f>[2]S1!L541</f>
        <v>30000</v>
      </c>
      <c r="M540" s="58">
        <f>[2]S1!M541</f>
        <v>1</v>
      </c>
      <c r="N540" s="49">
        <f>[2]S1!P541</f>
        <v>9680409946</v>
      </c>
      <c r="O540" s="14"/>
    </row>
    <row r="541" spans="1:15" x14ac:dyDescent="0.3">
      <c r="A541" s="11">
        <v>3588</v>
      </c>
      <c r="B541" s="12" t="str">
        <f>[3]Name!E2592</f>
        <v>Roshan Kumar Bunkar</v>
      </c>
      <c r="C541" s="13">
        <f>[2]S1!C542</f>
        <v>1000</v>
      </c>
      <c r="D541" s="13">
        <f>[2]S1!D542</f>
        <v>0</v>
      </c>
      <c r="E541" s="26">
        <f>[2]S1!E542</f>
        <v>0</v>
      </c>
      <c r="F541" s="26">
        <f>[2]S1!F542</f>
        <v>0</v>
      </c>
      <c r="G541" s="22">
        <f>[2]S1!G542</f>
        <v>1000</v>
      </c>
      <c r="H541" s="22">
        <f>[2]S1!H542</f>
        <v>0</v>
      </c>
      <c r="I541" s="22">
        <f>[2]S1!I542</f>
        <v>240</v>
      </c>
      <c r="J541" s="13">
        <f>[2]S1!J542</f>
        <v>0</v>
      </c>
      <c r="K541" s="19">
        <f>[2]S1!K542</f>
        <v>1240</v>
      </c>
      <c r="L541" s="52">
        <f>[2]S1!L542</f>
        <v>24000</v>
      </c>
      <c r="M541" s="58">
        <f>[2]S1!M542</f>
        <v>7</v>
      </c>
      <c r="N541" s="49">
        <f>[2]S1!P542</f>
        <v>9680409946</v>
      </c>
      <c r="O541" s="14"/>
    </row>
    <row r="542" spans="1:15" x14ac:dyDescent="0.3">
      <c r="A542" s="11">
        <v>3589</v>
      </c>
      <c r="B542" s="12" t="str">
        <f>[3]Name!E2593</f>
        <v>Sita Devi Bunkar</v>
      </c>
      <c r="C542" s="13">
        <f>[2]S1!C543</f>
        <v>500</v>
      </c>
      <c r="D542" s="13">
        <f>[2]S1!D543</f>
        <v>0</v>
      </c>
      <c r="E542" s="26">
        <f>[2]S1!E543</f>
        <v>200</v>
      </c>
      <c r="F542" s="26">
        <f>[2]S1!F543</f>
        <v>0</v>
      </c>
      <c r="G542" s="22">
        <f>[2]S1!G543</f>
        <v>477</v>
      </c>
      <c r="H542" s="22">
        <f>[2]S1!H543</f>
        <v>0</v>
      </c>
      <c r="I542" s="22">
        <f>[2]S1!I543</f>
        <v>170</v>
      </c>
      <c r="J542" s="13">
        <f>[2]S1!J543</f>
        <v>0</v>
      </c>
      <c r="K542" s="19">
        <f>[2]S1!K543</f>
        <v>847</v>
      </c>
      <c r="L542" s="52">
        <f>[2]S1!L543</f>
        <v>16977</v>
      </c>
      <c r="M542" s="58">
        <f>[2]S1!M543</f>
        <v>7</v>
      </c>
      <c r="N542" s="49">
        <f>[2]S1!P543</f>
        <v>9680409946</v>
      </c>
      <c r="O542" s="14"/>
    </row>
    <row r="543" spans="1:15" x14ac:dyDescent="0.3">
      <c r="A543" s="11">
        <v>3590</v>
      </c>
      <c r="B543" s="12" t="str">
        <f>[3]Name!E2594</f>
        <v>Suresh Kumar Balai</v>
      </c>
      <c r="C543" s="13">
        <f>[2]S1!C544</f>
        <v>0</v>
      </c>
      <c r="D543" s="13">
        <f>[2]S1!D544</f>
        <v>17456</v>
      </c>
      <c r="E543" s="26">
        <f>[2]S1!E544</f>
        <v>5582</v>
      </c>
      <c r="F543" s="26">
        <f>[2]S1!F544</f>
        <v>5957</v>
      </c>
      <c r="G543" s="22">
        <f>[2]S1!G544</f>
        <v>0</v>
      </c>
      <c r="H543" s="22">
        <f>[2]S1!H544</f>
        <v>15863</v>
      </c>
      <c r="I543" s="22">
        <f>[2]S1!I544</f>
        <v>14812</v>
      </c>
      <c r="J543" s="13">
        <f>[2]S1!J544</f>
        <v>529</v>
      </c>
      <c r="K543" s="19">
        <f>[2]S1!K544</f>
        <v>42743</v>
      </c>
      <c r="L543" s="52">
        <f>[2]S1!L544</f>
        <v>52900</v>
      </c>
      <c r="M543" s="58">
        <f>[2]S1!M544</f>
        <v>28</v>
      </c>
      <c r="N543" s="49">
        <f>[2]S1!P544</f>
        <v>9829285694</v>
      </c>
      <c r="O543" s="14"/>
    </row>
    <row r="544" spans="1:15" x14ac:dyDescent="0.3">
      <c r="A544" s="11">
        <v>3591</v>
      </c>
      <c r="B544" s="12" t="str">
        <f>[3]Name!E2595</f>
        <v>Ramchandr Varma</v>
      </c>
      <c r="C544" s="13">
        <f>[2]S1!C545</f>
        <v>0</v>
      </c>
      <c r="D544" s="13">
        <f>[2]S1!D545</f>
        <v>7789</v>
      </c>
      <c r="E544" s="26">
        <f>[2]S1!E545</f>
        <v>5569</v>
      </c>
      <c r="F544" s="26">
        <f>[2]S1!F545</f>
        <v>5925</v>
      </c>
      <c r="G544" s="22">
        <f>[2]S1!G545</f>
        <v>0</v>
      </c>
      <c r="H544" s="22">
        <f>[2]S1!H545</f>
        <v>3811</v>
      </c>
      <c r="I544" s="22">
        <f>[2]S1!I545</f>
        <v>3556</v>
      </c>
      <c r="J544" s="13">
        <f>[2]S1!J545</f>
        <v>127</v>
      </c>
      <c r="K544" s="19">
        <f>[2]S1!K545</f>
        <v>18988</v>
      </c>
      <c r="L544" s="52">
        <f>[2]S1!L545</f>
        <v>12700</v>
      </c>
      <c r="M544" s="58">
        <f>[2]S1!M545</f>
        <v>28</v>
      </c>
      <c r="N544" s="49">
        <f>[2]S1!P545</f>
        <v>9887814589</v>
      </c>
      <c r="O544" s="14"/>
    </row>
    <row r="545" spans="1:15" x14ac:dyDescent="0.3">
      <c r="A545" s="11">
        <v>3592</v>
      </c>
      <c r="B545" s="12" t="str">
        <f>[3]Name!E2596</f>
        <v>Radhesyam Rathi</v>
      </c>
      <c r="C545" s="13">
        <f>[2]S1!C546</f>
        <v>0</v>
      </c>
      <c r="D545" s="13">
        <f>[2]S1!D546</f>
        <v>0</v>
      </c>
      <c r="E545" s="26">
        <f>[2]S1!E546</f>
        <v>200</v>
      </c>
      <c r="F545" s="26">
        <f>[2]S1!F546</f>
        <v>0</v>
      </c>
      <c r="G545" s="22">
        <f>[2]S1!G546</f>
        <v>0</v>
      </c>
      <c r="H545" s="22">
        <f>[2]S1!H546</f>
        <v>0</v>
      </c>
      <c r="I545" s="22">
        <f>[2]S1!I546</f>
        <v>0</v>
      </c>
      <c r="J545" s="13">
        <f>[2]S1!J546</f>
        <v>0</v>
      </c>
      <c r="K545" s="19">
        <f>[2]S1!K546</f>
        <v>200</v>
      </c>
      <c r="L545" s="52">
        <f>[2]S1!L546</f>
        <v>0</v>
      </c>
      <c r="M545" s="58">
        <f>[2]S1!M546</f>
        <v>0</v>
      </c>
      <c r="N545" s="49">
        <f>[2]S1!P546</f>
        <v>9928410700</v>
      </c>
      <c r="O545" s="14"/>
    </row>
    <row r="546" spans="1:15" x14ac:dyDescent="0.3">
      <c r="A546" s="11">
        <v>3593</v>
      </c>
      <c r="B546" s="12" t="str">
        <f>[3]Name!E2597</f>
        <v>Ankit Kumar Khadakval</v>
      </c>
      <c r="C546" s="13">
        <f>[2]S1!C547</f>
        <v>0</v>
      </c>
      <c r="D546" s="13">
        <f>[2]S1!D547</f>
        <v>0</v>
      </c>
      <c r="E546" s="26">
        <f>[2]S1!E547</f>
        <v>200</v>
      </c>
      <c r="F546" s="26">
        <f>[2]S1!F547</f>
        <v>0</v>
      </c>
      <c r="G546" s="22">
        <f>[2]S1!G547</f>
        <v>0</v>
      </c>
      <c r="H546" s="22">
        <f>[2]S1!H547</f>
        <v>0</v>
      </c>
      <c r="I546" s="22">
        <f>[2]S1!I547</f>
        <v>0</v>
      </c>
      <c r="J546" s="13">
        <f>[2]S1!J547</f>
        <v>0</v>
      </c>
      <c r="K546" s="19">
        <f>[2]S1!K547</f>
        <v>200</v>
      </c>
      <c r="L546" s="52">
        <f>[2]S1!L547</f>
        <v>0</v>
      </c>
      <c r="M546" s="58">
        <f>[2]S1!M547</f>
        <v>0</v>
      </c>
      <c r="N546" s="49">
        <f>[2]S1!P547</f>
        <v>9529285842</v>
      </c>
      <c r="O546" s="14"/>
    </row>
    <row r="547" spans="1:15" x14ac:dyDescent="0.3">
      <c r="A547" s="11">
        <v>3594</v>
      </c>
      <c r="B547" s="12" t="str">
        <f>[3]Name!E2598</f>
        <v>Hanuman Sahay Khadakval</v>
      </c>
      <c r="C547" s="13">
        <f>[2]S1!C548</f>
        <v>0</v>
      </c>
      <c r="D547" s="13">
        <f>[2]S1!D548</f>
        <v>0</v>
      </c>
      <c r="E547" s="26">
        <f>[2]S1!E548</f>
        <v>200</v>
      </c>
      <c r="F547" s="26">
        <f>[2]S1!F548</f>
        <v>0</v>
      </c>
      <c r="G547" s="22">
        <f>[2]S1!G548</f>
        <v>0</v>
      </c>
      <c r="H547" s="22">
        <f>[2]S1!H548</f>
        <v>0</v>
      </c>
      <c r="I547" s="22">
        <f>[2]S1!I548</f>
        <v>0</v>
      </c>
      <c r="J547" s="13">
        <f>[2]S1!J548</f>
        <v>0</v>
      </c>
      <c r="K547" s="19">
        <f>[2]S1!K548</f>
        <v>200</v>
      </c>
      <c r="L547" s="52">
        <f>[2]S1!L548</f>
        <v>0</v>
      </c>
      <c r="M547" s="58">
        <f>[2]S1!M548</f>
        <v>0</v>
      </c>
      <c r="N547" s="49">
        <f>[2]S1!P548</f>
        <v>9529285842</v>
      </c>
      <c r="O547" s="14"/>
    </row>
    <row r="548" spans="1:15" x14ac:dyDescent="0.3">
      <c r="A548" s="11">
        <v>3595</v>
      </c>
      <c r="B548" s="12" t="str">
        <f>[3]Name!E2599</f>
        <v>Amit Kumar Khadakval</v>
      </c>
      <c r="C548" s="13">
        <f>[2]S1!C549</f>
        <v>0</v>
      </c>
      <c r="D548" s="13">
        <f>[2]S1!D549</f>
        <v>0</v>
      </c>
      <c r="E548" s="26">
        <f>[2]S1!E549</f>
        <v>200</v>
      </c>
      <c r="F548" s="26">
        <f>[2]S1!F549</f>
        <v>0</v>
      </c>
      <c r="G548" s="22">
        <f>[2]S1!G549</f>
        <v>0</v>
      </c>
      <c r="H548" s="22">
        <f>[2]S1!H549</f>
        <v>0</v>
      </c>
      <c r="I548" s="22">
        <f>[2]S1!I549</f>
        <v>0</v>
      </c>
      <c r="J548" s="13">
        <f>[2]S1!J549</f>
        <v>0</v>
      </c>
      <c r="K548" s="19">
        <f>[2]S1!K549</f>
        <v>200</v>
      </c>
      <c r="L548" s="52">
        <f>[2]S1!L549</f>
        <v>0</v>
      </c>
      <c r="M548" s="58">
        <f>[2]S1!M549</f>
        <v>0</v>
      </c>
      <c r="N548" s="49">
        <f>[2]S1!P549</f>
        <v>9529285842</v>
      </c>
      <c r="O548" s="14"/>
    </row>
    <row r="549" spans="1:15" x14ac:dyDescent="0.3">
      <c r="A549" s="11">
        <v>3596</v>
      </c>
      <c r="B549" s="12" t="str">
        <f>[3]Name!E2600</f>
        <v>Naval kisor Besarvadiya</v>
      </c>
      <c r="C549" s="13">
        <f>[2]S1!C550</f>
        <v>1000</v>
      </c>
      <c r="D549" s="13">
        <f>[2]S1!D550</f>
        <v>0</v>
      </c>
      <c r="E549" s="26">
        <f>[2]S1!E550</f>
        <v>0</v>
      </c>
      <c r="F549" s="26">
        <f>[2]S1!F550</f>
        <v>0</v>
      </c>
      <c r="G549" s="22">
        <f>[2]S1!G550</f>
        <v>1000</v>
      </c>
      <c r="H549" s="22">
        <f>[2]S1!H550</f>
        <v>0</v>
      </c>
      <c r="I549" s="22">
        <f>[2]S1!I550</f>
        <v>280</v>
      </c>
      <c r="J549" s="13">
        <f>[2]S1!J550</f>
        <v>0</v>
      </c>
      <c r="K549" s="19">
        <f>[2]S1!K550</f>
        <v>1280</v>
      </c>
      <c r="L549" s="52">
        <f>[2]S1!L550</f>
        <v>28000</v>
      </c>
      <c r="M549" s="58">
        <f>[2]S1!M550</f>
        <v>3</v>
      </c>
      <c r="N549" s="49">
        <f>[2]S1!P550</f>
        <v>9351353093</v>
      </c>
      <c r="O549" s="14"/>
    </row>
    <row r="550" spans="1:15" x14ac:dyDescent="0.3">
      <c r="A550" s="11">
        <v>3597</v>
      </c>
      <c r="B550" s="12" t="str">
        <f>[3]Name!E2601</f>
        <v>Neha kumari Besarvadiya</v>
      </c>
      <c r="C550" s="13">
        <f>[2]S1!C551</f>
        <v>1000</v>
      </c>
      <c r="D550" s="13">
        <f>[2]S1!D551</f>
        <v>0</v>
      </c>
      <c r="E550" s="26">
        <f>[2]S1!E551</f>
        <v>0</v>
      </c>
      <c r="F550" s="26">
        <f>[2]S1!F551</f>
        <v>0</v>
      </c>
      <c r="G550" s="22">
        <f>[2]S1!G551</f>
        <v>1000</v>
      </c>
      <c r="H550" s="22">
        <f>[2]S1!H551</f>
        <v>0</v>
      </c>
      <c r="I550" s="22">
        <f>[2]S1!I551</f>
        <v>280</v>
      </c>
      <c r="J550" s="13">
        <f>[2]S1!J551</f>
        <v>0</v>
      </c>
      <c r="K550" s="19">
        <f>[2]S1!K551</f>
        <v>1280</v>
      </c>
      <c r="L550" s="52">
        <f>[2]S1!L551</f>
        <v>28000</v>
      </c>
      <c r="M550" s="58">
        <f>[2]S1!M551</f>
        <v>3</v>
      </c>
      <c r="N550" s="49">
        <f>[2]S1!P551</f>
        <v>9351353093</v>
      </c>
      <c r="O550" s="14"/>
    </row>
    <row r="551" spans="1:15" x14ac:dyDescent="0.3">
      <c r="A551" s="11">
        <v>3598</v>
      </c>
      <c r="B551" s="12" t="str">
        <f>[3]Name!E2602</f>
        <v>Mamta kumari Besarvadiya</v>
      </c>
      <c r="C551" s="13">
        <f>[2]S1!C552</f>
        <v>1000</v>
      </c>
      <c r="D551" s="13">
        <f>[2]S1!D552</f>
        <v>0</v>
      </c>
      <c r="E551" s="26">
        <f>[2]S1!E552</f>
        <v>0</v>
      </c>
      <c r="F551" s="26">
        <f>[2]S1!F552</f>
        <v>0</v>
      </c>
      <c r="G551" s="22">
        <f>[2]S1!G552</f>
        <v>1000</v>
      </c>
      <c r="H551" s="22">
        <f>[2]S1!H552</f>
        <v>0</v>
      </c>
      <c r="I551" s="22">
        <f>[2]S1!I552</f>
        <v>280</v>
      </c>
      <c r="J551" s="13">
        <f>[2]S1!J552</f>
        <v>0</v>
      </c>
      <c r="K551" s="19">
        <f>[2]S1!K552</f>
        <v>1280</v>
      </c>
      <c r="L551" s="52">
        <f>[2]S1!L552</f>
        <v>28000</v>
      </c>
      <c r="M551" s="58">
        <f>[2]S1!M552</f>
        <v>3</v>
      </c>
      <c r="N551" s="49">
        <f>[2]S1!P552</f>
        <v>9351353093</v>
      </c>
      <c r="O551" s="14"/>
    </row>
    <row r="552" spans="1:15" x14ac:dyDescent="0.3">
      <c r="A552" s="11">
        <v>3599</v>
      </c>
      <c r="B552" s="12" t="str">
        <f>[3]Name!E2603</f>
        <v>Krasna kumari Besarvadiya</v>
      </c>
      <c r="C552" s="13">
        <f>[2]S1!C553</f>
        <v>1000</v>
      </c>
      <c r="D552" s="13">
        <f>[2]S1!D553</f>
        <v>0</v>
      </c>
      <c r="E552" s="26">
        <f>[2]S1!E553</f>
        <v>0</v>
      </c>
      <c r="F552" s="26">
        <f>[2]S1!F553</f>
        <v>0</v>
      </c>
      <c r="G552" s="22">
        <f>[2]S1!G553</f>
        <v>1000</v>
      </c>
      <c r="H552" s="22">
        <f>[2]S1!H553</f>
        <v>0</v>
      </c>
      <c r="I552" s="22">
        <f>[2]S1!I553</f>
        <v>280</v>
      </c>
      <c r="J552" s="13">
        <f>[2]S1!J553</f>
        <v>0</v>
      </c>
      <c r="K552" s="19">
        <f>[2]S1!K553</f>
        <v>1280</v>
      </c>
      <c r="L552" s="52">
        <f>[2]S1!L553</f>
        <v>28000</v>
      </c>
      <c r="M552" s="58">
        <f>[2]S1!M553</f>
        <v>3</v>
      </c>
      <c r="N552" s="49">
        <f>[2]S1!P553</f>
        <v>9351353093</v>
      </c>
      <c r="O552" s="14"/>
    </row>
    <row r="553" spans="1:15" x14ac:dyDescent="0.3">
      <c r="A553" s="11">
        <v>3600</v>
      </c>
      <c r="B553" s="12" t="str">
        <f>[3]Name!E2604</f>
        <v>Prahalad Lohiya</v>
      </c>
      <c r="C553" s="13">
        <f>[2]S1!C554</f>
        <v>0</v>
      </c>
      <c r="D553" s="13">
        <f>[2]S1!D554</f>
        <v>0</v>
      </c>
      <c r="E553" s="26">
        <f>[2]S1!E554</f>
        <v>200</v>
      </c>
      <c r="F553" s="26">
        <f>[2]S1!F554</f>
        <v>0</v>
      </c>
      <c r="G553" s="22">
        <f>[2]S1!G554</f>
        <v>0</v>
      </c>
      <c r="H553" s="22">
        <f>[2]S1!H554</f>
        <v>0</v>
      </c>
      <c r="I553" s="22">
        <f>[2]S1!I554</f>
        <v>180</v>
      </c>
      <c r="J553" s="13">
        <f>[2]S1!J554</f>
        <v>0</v>
      </c>
      <c r="K553" s="19">
        <f>[2]S1!K554</f>
        <v>380</v>
      </c>
      <c r="L553" s="52">
        <f>[2]S1!L554</f>
        <v>18000</v>
      </c>
      <c r="M553" s="58">
        <f>[2]S1!M554</f>
        <v>2</v>
      </c>
      <c r="N553" s="49">
        <f>[2]S1!P554</f>
        <v>9782865220</v>
      </c>
      <c r="O553" s="14"/>
    </row>
    <row r="554" spans="1:15" x14ac:dyDescent="0.3">
      <c r="A554" s="11">
        <v>3601</v>
      </c>
      <c r="B554" s="12" t="str">
        <f>[3]Name!E2605</f>
        <v>Lali devi lohiya</v>
      </c>
      <c r="C554" s="13">
        <f>[2]S1!C555</f>
        <v>0</v>
      </c>
      <c r="D554" s="13">
        <f>[2]S1!D555</f>
        <v>0</v>
      </c>
      <c r="E554" s="26">
        <f>[2]S1!E555</f>
        <v>200</v>
      </c>
      <c r="F554" s="26">
        <f>[2]S1!F555</f>
        <v>0</v>
      </c>
      <c r="G554" s="22">
        <f>[2]S1!G555</f>
        <v>18000</v>
      </c>
      <c r="H554" s="22">
        <f>[2]S1!H555</f>
        <v>0</v>
      </c>
      <c r="I554" s="22">
        <f>[2]S1!I555</f>
        <v>180</v>
      </c>
      <c r="J554" s="13">
        <f>[2]S1!J555</f>
        <v>0</v>
      </c>
      <c r="K554" s="19">
        <f>[2]S1!K555</f>
        <v>18380</v>
      </c>
      <c r="L554" s="52">
        <f>[2]S1!L555</f>
        <v>18000</v>
      </c>
      <c r="M554" s="58">
        <f>[2]S1!M555</f>
        <v>6</v>
      </c>
      <c r="N554" s="49">
        <f>[2]S1!P555</f>
        <v>9782865220</v>
      </c>
      <c r="O554" s="14"/>
    </row>
    <row r="555" spans="1:15" x14ac:dyDescent="0.3">
      <c r="A555" s="11">
        <v>3602</v>
      </c>
      <c r="B555" s="12" t="str">
        <f>[3]Name!E2606</f>
        <v>Ramjilal Gotwal</v>
      </c>
      <c r="C555" s="13">
        <f>[2]S1!C556</f>
        <v>0</v>
      </c>
      <c r="D555" s="13">
        <f>[2]S1!D556</f>
        <v>0</v>
      </c>
      <c r="E555" s="26">
        <f>[2]S1!E556</f>
        <v>0</v>
      </c>
      <c r="F555" s="26">
        <f>[2]S1!F556</f>
        <v>0</v>
      </c>
      <c r="G555" s="22">
        <f>[2]S1!G556</f>
        <v>0</v>
      </c>
      <c r="H555" s="22">
        <f>[2]S1!H556</f>
        <v>0</v>
      </c>
      <c r="I555" s="22">
        <f>[2]S1!I556</f>
        <v>0</v>
      </c>
      <c r="J555" s="13">
        <f>[2]S1!J556</f>
        <v>0</v>
      </c>
      <c r="K555" s="19">
        <f>[2]S1!K556</f>
        <v>0</v>
      </c>
      <c r="L555" s="52">
        <f>[2]S1!L556</f>
        <v>0</v>
      </c>
      <c r="M555" s="58">
        <f>[2]S1!M556</f>
        <v>0</v>
      </c>
      <c r="N555" s="49">
        <f>[2]S1!P556</f>
        <v>9829708536</v>
      </c>
      <c r="O555" s="14"/>
    </row>
    <row r="556" spans="1:15" x14ac:dyDescent="0.3">
      <c r="A556" s="11">
        <v>3603</v>
      </c>
      <c r="B556" s="12" t="str">
        <f>[3]Name!E2607</f>
        <v>Prem Devi Gotwal</v>
      </c>
      <c r="C556" s="13">
        <f>[2]S1!C557</f>
        <v>0</v>
      </c>
      <c r="D556" s="13">
        <f>[2]S1!D557</f>
        <v>0</v>
      </c>
      <c r="E556" s="26">
        <f>[2]S1!E557</f>
        <v>200</v>
      </c>
      <c r="F556" s="26">
        <f>[2]S1!F557</f>
        <v>0</v>
      </c>
      <c r="G556" s="22">
        <f>[2]S1!G557</f>
        <v>0</v>
      </c>
      <c r="H556" s="22">
        <f>[2]S1!H557</f>
        <v>0</v>
      </c>
      <c r="I556" s="22">
        <f>[2]S1!I557</f>
        <v>0</v>
      </c>
      <c r="J556" s="13">
        <f>[2]S1!J557</f>
        <v>0</v>
      </c>
      <c r="K556" s="19">
        <f>[2]S1!K557</f>
        <v>200</v>
      </c>
      <c r="L556" s="52">
        <f>[2]S1!L557</f>
        <v>0</v>
      </c>
      <c r="M556" s="58">
        <f>[2]S1!M557</f>
        <v>0</v>
      </c>
      <c r="N556" s="49">
        <f>[2]S1!P557</f>
        <v>9829708536</v>
      </c>
      <c r="O556" s="14"/>
    </row>
    <row r="557" spans="1:15" x14ac:dyDescent="0.3">
      <c r="A557" s="11">
        <v>3604</v>
      </c>
      <c r="B557" s="12" t="str">
        <f>[3]Name!E2608</f>
        <v>Radesyam Parihar</v>
      </c>
      <c r="C557" s="13">
        <f>[2]S1!C558</f>
        <v>0</v>
      </c>
      <c r="D557" s="13">
        <f>[2]S1!D558</f>
        <v>0</v>
      </c>
      <c r="E557" s="26">
        <f>[2]S1!E558</f>
        <v>200</v>
      </c>
      <c r="F557" s="26">
        <f>[2]S1!F558</f>
        <v>0</v>
      </c>
      <c r="G557" s="22">
        <f>[2]S1!G558</f>
        <v>0</v>
      </c>
      <c r="H557" s="22">
        <f>[2]S1!H558</f>
        <v>0</v>
      </c>
      <c r="I557" s="22">
        <f>[2]S1!I558</f>
        <v>0</v>
      </c>
      <c r="J557" s="13">
        <f>[2]S1!J558</f>
        <v>0</v>
      </c>
      <c r="K557" s="19">
        <f>[2]S1!K558</f>
        <v>200</v>
      </c>
      <c r="L557" s="52">
        <f>[2]S1!L558</f>
        <v>0</v>
      </c>
      <c r="M557" s="58">
        <f>[2]S1!M558</f>
        <v>0</v>
      </c>
      <c r="N557" s="49">
        <f>[2]S1!P558</f>
        <v>9399047760</v>
      </c>
      <c r="O557" s="14"/>
    </row>
    <row r="558" spans="1:15" x14ac:dyDescent="0.3">
      <c r="A558" s="11">
        <v>3605</v>
      </c>
      <c r="B558" s="12" t="str">
        <f>[3]Name!E2609</f>
        <v>Puja Parihar</v>
      </c>
      <c r="C558" s="13">
        <f>[2]S1!C559</f>
        <v>0</v>
      </c>
      <c r="D558" s="13">
        <f>[2]S1!D559</f>
        <v>0</v>
      </c>
      <c r="E558" s="26">
        <f>[2]S1!E559</f>
        <v>200</v>
      </c>
      <c r="F558" s="26">
        <f>[2]S1!F559</f>
        <v>0</v>
      </c>
      <c r="G558" s="22">
        <f>[2]S1!G559</f>
        <v>0</v>
      </c>
      <c r="H558" s="22">
        <f>[2]S1!H559</f>
        <v>0</v>
      </c>
      <c r="I558" s="22">
        <f>[2]S1!I559</f>
        <v>0</v>
      </c>
      <c r="J558" s="13">
        <f>[2]S1!J559</f>
        <v>0</v>
      </c>
      <c r="K558" s="19">
        <f>[2]S1!K559</f>
        <v>200</v>
      </c>
      <c r="L558" s="52">
        <f>[2]S1!L559</f>
        <v>-80</v>
      </c>
      <c r="M558" s="58">
        <f>[2]S1!M559</f>
        <v>19</v>
      </c>
      <c r="N558" s="49">
        <f>[2]S1!P559</f>
        <v>9399047760</v>
      </c>
      <c r="O558" s="14"/>
    </row>
    <row r="559" spans="1:15" x14ac:dyDescent="0.3">
      <c r="A559" s="11">
        <v>3606</v>
      </c>
      <c r="B559" s="12" t="str">
        <f>[3]Name!E2610</f>
        <v>Mohan Lal Gadval</v>
      </c>
      <c r="C559" s="13">
        <f>[2]S1!C560</f>
        <v>250</v>
      </c>
      <c r="D559" s="13">
        <f>[2]S1!D560</f>
        <v>0</v>
      </c>
      <c r="E559" s="26">
        <f>[2]S1!E560</f>
        <v>200</v>
      </c>
      <c r="F559" s="26">
        <f>[2]S1!F560</f>
        <v>0</v>
      </c>
      <c r="G559" s="22">
        <f>[2]S1!G560</f>
        <v>250</v>
      </c>
      <c r="H559" s="22">
        <f>[2]S1!H560</f>
        <v>0</v>
      </c>
      <c r="I559" s="22">
        <f>[2]S1!I560</f>
        <v>165</v>
      </c>
      <c r="J559" s="13">
        <f>[2]S1!J560</f>
        <v>0</v>
      </c>
      <c r="K559" s="19">
        <f>[2]S1!K560</f>
        <v>615</v>
      </c>
      <c r="L559" s="52">
        <f>[2]S1!L560</f>
        <v>16500</v>
      </c>
      <c r="M559" s="58">
        <f>[2]S1!M560</f>
        <v>15</v>
      </c>
      <c r="N559" s="49">
        <f>[2]S1!P560</f>
        <v>8000025359</v>
      </c>
      <c r="O559" s="14"/>
    </row>
    <row r="560" spans="1:15" x14ac:dyDescent="0.3">
      <c r="A560" s="11">
        <v>3607</v>
      </c>
      <c r="B560" s="12" t="str">
        <f>[3]Name!E2611</f>
        <v>Suresh Kumar Tandada</v>
      </c>
      <c r="C560" s="13">
        <f>[2]S1!C561</f>
        <v>900</v>
      </c>
      <c r="D560" s="13">
        <f>[2]S1!D561</f>
        <v>0</v>
      </c>
      <c r="E560" s="26">
        <f>[2]S1!E561</f>
        <v>200</v>
      </c>
      <c r="F560" s="26">
        <f>[2]S1!F561</f>
        <v>0</v>
      </c>
      <c r="G560" s="22">
        <f>[2]S1!G561</f>
        <v>0</v>
      </c>
      <c r="H560" s="22">
        <f>[2]S1!H561</f>
        <v>0</v>
      </c>
      <c r="I560" s="22">
        <f>[2]S1!I561</f>
        <v>75</v>
      </c>
      <c r="J560" s="13">
        <f>[2]S1!J561</f>
        <v>0</v>
      </c>
      <c r="K560" s="19">
        <f>[2]S1!K561</f>
        <v>275</v>
      </c>
      <c r="L560" s="52">
        <f>[2]S1!L561</f>
        <v>7516</v>
      </c>
      <c r="M560" s="58">
        <f>[2]S1!M561</f>
        <v>4</v>
      </c>
      <c r="N560" s="49">
        <f>[2]S1!P561</f>
        <v>8561054892</v>
      </c>
      <c r="O560" s="14"/>
    </row>
    <row r="561" spans="1:15" x14ac:dyDescent="0.3">
      <c r="A561" s="11">
        <v>3608</v>
      </c>
      <c r="B561" s="12" t="str">
        <f>[3]Name!E2612</f>
        <v>Ramesh Chand Bunkar</v>
      </c>
      <c r="C561" s="13">
        <f>[2]S1!C562</f>
        <v>0</v>
      </c>
      <c r="D561" s="13">
        <f>[2]S1!D562</f>
        <v>5595</v>
      </c>
      <c r="E561" s="26">
        <f>[2]S1!E562</f>
        <v>4401</v>
      </c>
      <c r="F561" s="26">
        <f>[2]S1!F562</f>
        <v>3305</v>
      </c>
      <c r="G561" s="22">
        <f>[2]S1!G562</f>
        <v>3050</v>
      </c>
      <c r="H561" s="22">
        <f>[2]S1!H562</f>
        <v>4155</v>
      </c>
      <c r="I561" s="22">
        <f>[2]S1!I562</f>
        <v>682</v>
      </c>
      <c r="J561" s="13">
        <f>[2]S1!J562</f>
        <v>0</v>
      </c>
      <c r="K561" s="19">
        <f>[2]S1!K562</f>
        <v>15593</v>
      </c>
      <c r="L561" s="52">
        <f>[2]S1!L562</f>
        <v>3050</v>
      </c>
      <c r="M561" s="58">
        <f>[2]S1!M562</f>
        <v>22</v>
      </c>
      <c r="N561" s="49">
        <f>[2]S1!P562</f>
        <v>9784270274</v>
      </c>
      <c r="O561" s="14"/>
    </row>
    <row r="562" spans="1:15" x14ac:dyDescent="0.3">
      <c r="A562" s="11">
        <v>3609</v>
      </c>
      <c r="B562" s="12" t="str">
        <f>[3]Name!E2613</f>
        <v>Bhagavan Sahay Bal</v>
      </c>
      <c r="C562" s="13">
        <f>[2]S1!C563</f>
        <v>0</v>
      </c>
      <c r="D562" s="13">
        <f>[2]S1!D563</f>
        <v>0</v>
      </c>
      <c r="E562" s="26">
        <f>[2]S1!E563</f>
        <v>200</v>
      </c>
      <c r="F562" s="26">
        <f>[2]S1!F563</f>
        <v>2</v>
      </c>
      <c r="G562" s="22">
        <f>[2]S1!G563</f>
        <v>0</v>
      </c>
      <c r="H562" s="22">
        <f>[2]S1!H563</f>
        <v>0</v>
      </c>
      <c r="I562" s="22">
        <f>[2]S1!I563</f>
        <v>0</v>
      </c>
      <c r="J562" s="13">
        <f>[2]S1!J563</f>
        <v>0</v>
      </c>
      <c r="K562" s="19">
        <f>[2]S1!K563</f>
        <v>202</v>
      </c>
      <c r="L562" s="52">
        <f>[2]S1!L563</f>
        <v>0</v>
      </c>
      <c r="M562" s="58">
        <f>[2]S1!M563</f>
        <v>0</v>
      </c>
      <c r="N562" s="49">
        <f>[2]S1!P563</f>
        <v>9829450072</v>
      </c>
      <c r="O562" s="14"/>
    </row>
    <row r="563" spans="1:15" x14ac:dyDescent="0.3">
      <c r="A563" s="11">
        <v>3610</v>
      </c>
      <c r="B563" s="12" t="str">
        <f>[3]Name!E2614</f>
        <v>Rajendra Kumar Bal</v>
      </c>
      <c r="C563" s="13">
        <f>[2]S1!C564</f>
        <v>0</v>
      </c>
      <c r="D563" s="13">
        <f>[2]S1!D564</f>
        <v>0</v>
      </c>
      <c r="E563" s="26">
        <f>[2]S1!E564</f>
        <v>200</v>
      </c>
      <c r="F563" s="26">
        <f>[2]S1!F564</f>
        <v>0</v>
      </c>
      <c r="G563" s="22">
        <f>[2]S1!G564</f>
        <v>0</v>
      </c>
      <c r="H563" s="22">
        <f>[2]S1!H564</f>
        <v>0</v>
      </c>
      <c r="I563" s="22">
        <f>[2]S1!I564</f>
        <v>0</v>
      </c>
      <c r="J563" s="13">
        <f>[2]S1!J564</f>
        <v>0</v>
      </c>
      <c r="K563" s="19">
        <f>[2]S1!K564</f>
        <v>200</v>
      </c>
      <c r="L563" s="52">
        <f>[2]S1!L564</f>
        <v>0</v>
      </c>
      <c r="M563" s="58">
        <f>[2]S1!M564</f>
        <v>0</v>
      </c>
      <c r="N563" s="49">
        <f>[2]S1!P564</f>
        <v>9829450072</v>
      </c>
      <c r="O563" s="14"/>
    </row>
    <row r="564" spans="1:15" x14ac:dyDescent="0.3">
      <c r="A564" s="11">
        <v>3611</v>
      </c>
      <c r="B564" s="12" t="str">
        <f>[3]Name!E2615</f>
        <v>Dhanraj Bal</v>
      </c>
      <c r="C564" s="13">
        <f>[2]S1!C565</f>
        <v>0</v>
      </c>
      <c r="D564" s="13">
        <f>[2]S1!D565</f>
        <v>0</v>
      </c>
      <c r="E564" s="26">
        <f>[2]S1!E565</f>
        <v>200</v>
      </c>
      <c r="F564" s="26">
        <f>[2]S1!F565</f>
        <v>0</v>
      </c>
      <c r="G564" s="22">
        <f>[2]S1!G565</f>
        <v>0</v>
      </c>
      <c r="H564" s="22">
        <f>[2]S1!H565</f>
        <v>0</v>
      </c>
      <c r="I564" s="22">
        <f>[2]S1!I565</f>
        <v>0</v>
      </c>
      <c r="J564" s="13">
        <f>[2]S1!J565</f>
        <v>0</v>
      </c>
      <c r="K564" s="19">
        <f>[2]S1!K565</f>
        <v>200</v>
      </c>
      <c r="L564" s="52">
        <f>[2]S1!L565</f>
        <v>0</v>
      </c>
      <c r="M564" s="58">
        <f>[2]S1!M565</f>
        <v>0</v>
      </c>
      <c r="N564" s="49">
        <f>[2]S1!P565</f>
        <v>9829450072</v>
      </c>
      <c r="O564" s="14"/>
    </row>
    <row r="565" spans="1:15" x14ac:dyDescent="0.3">
      <c r="A565" s="11">
        <v>3612</v>
      </c>
      <c r="B565" s="12" t="str">
        <f>[3]Name!E2616</f>
        <v>Puja Kumari Bal</v>
      </c>
      <c r="C565" s="13">
        <f>[2]S1!C566</f>
        <v>0</v>
      </c>
      <c r="D565" s="13">
        <f>[2]S1!D566</f>
        <v>0</v>
      </c>
      <c r="E565" s="26">
        <f>[2]S1!E566</f>
        <v>200</v>
      </c>
      <c r="F565" s="26">
        <f>[2]S1!F566</f>
        <v>0</v>
      </c>
      <c r="G565" s="22">
        <f>[2]S1!G566</f>
        <v>0</v>
      </c>
      <c r="H565" s="22">
        <f>[2]S1!H566</f>
        <v>0</v>
      </c>
      <c r="I565" s="22">
        <f>[2]S1!I566</f>
        <v>0</v>
      </c>
      <c r="J565" s="13">
        <f>[2]S1!J566</f>
        <v>0</v>
      </c>
      <c r="K565" s="19">
        <f>[2]S1!K566</f>
        <v>200</v>
      </c>
      <c r="L565" s="52">
        <f>[2]S1!L566</f>
        <v>0</v>
      </c>
      <c r="M565" s="58">
        <f>[2]S1!M566</f>
        <v>0</v>
      </c>
      <c r="N565" s="49">
        <f>[2]S1!P566</f>
        <v>9829450072</v>
      </c>
      <c r="O565" s="14"/>
    </row>
    <row r="566" spans="1:15" x14ac:dyDescent="0.3">
      <c r="A566" s="11">
        <v>3613</v>
      </c>
      <c r="B566" s="12" t="str">
        <f>[3]Name!E2617</f>
        <v>Ramesvar Meharda</v>
      </c>
      <c r="C566" s="13">
        <f>[2]S1!C567</f>
        <v>0</v>
      </c>
      <c r="D566" s="13">
        <f>[2]S1!D567</f>
        <v>0</v>
      </c>
      <c r="E566" s="26">
        <f>[2]S1!E567</f>
        <v>200</v>
      </c>
      <c r="F566" s="26">
        <f>[2]S1!F567</f>
        <v>0</v>
      </c>
      <c r="G566" s="22">
        <f>[2]S1!G567</f>
        <v>0</v>
      </c>
      <c r="H566" s="22">
        <f>[2]S1!H567</f>
        <v>0</v>
      </c>
      <c r="I566" s="22">
        <f>[2]S1!I567</f>
        <v>123</v>
      </c>
      <c r="J566" s="13">
        <f>[2]S1!J567</f>
        <v>0</v>
      </c>
      <c r="K566" s="19">
        <f>[2]S1!K567</f>
        <v>323</v>
      </c>
      <c r="L566" s="52">
        <f>[2]S1!L567</f>
        <v>12268</v>
      </c>
      <c r="M566" s="58">
        <f>[2]S1!M567</f>
        <v>3</v>
      </c>
      <c r="N566" s="49">
        <f>[2]S1!P567</f>
        <v>9829642938</v>
      </c>
      <c r="O566" s="14"/>
    </row>
    <row r="567" spans="1:15" x14ac:dyDescent="0.3">
      <c r="A567" s="11">
        <v>3614</v>
      </c>
      <c r="B567" s="12" t="str">
        <f>[3]Name!E2618</f>
        <v>Mira Devi Meharda</v>
      </c>
      <c r="C567" s="13">
        <f>[2]S1!C568</f>
        <v>0</v>
      </c>
      <c r="D567" s="13">
        <f>[2]S1!D568</f>
        <v>0</v>
      </c>
      <c r="E567" s="26">
        <f>[2]S1!E568</f>
        <v>200</v>
      </c>
      <c r="F567" s="26">
        <f>[2]S1!F568</f>
        <v>0</v>
      </c>
      <c r="G567" s="22">
        <f>[2]S1!G568</f>
        <v>0</v>
      </c>
      <c r="H567" s="22">
        <f>[2]S1!H568</f>
        <v>0</v>
      </c>
      <c r="I567" s="22">
        <f>[2]S1!I568</f>
        <v>130</v>
      </c>
      <c r="J567" s="13">
        <f>[2]S1!J568</f>
        <v>0</v>
      </c>
      <c r="K567" s="19">
        <f>[2]S1!K568</f>
        <v>330</v>
      </c>
      <c r="L567" s="52">
        <f>[2]S1!L568</f>
        <v>13000</v>
      </c>
      <c r="M567" s="58">
        <f>[2]S1!M568</f>
        <v>3</v>
      </c>
      <c r="N567" s="49">
        <f>[2]S1!P568</f>
        <v>9829642938</v>
      </c>
      <c r="O567" s="14"/>
    </row>
    <row r="568" spans="1:15" x14ac:dyDescent="0.3">
      <c r="A568" s="11">
        <v>3615</v>
      </c>
      <c r="B568" s="12" t="str">
        <f>[3]Name!E2619</f>
        <v>Ankit kumar Meharda</v>
      </c>
      <c r="C568" s="13">
        <f>[2]S1!C569</f>
        <v>0</v>
      </c>
      <c r="D568" s="13">
        <f>[2]S1!D569</f>
        <v>0</v>
      </c>
      <c r="E568" s="26">
        <f>[2]S1!E569</f>
        <v>200</v>
      </c>
      <c r="F568" s="26">
        <f>[2]S1!F569</f>
        <v>0</v>
      </c>
      <c r="G568" s="22">
        <f>[2]S1!G569</f>
        <v>0</v>
      </c>
      <c r="H568" s="22">
        <f>[2]S1!H569</f>
        <v>0</v>
      </c>
      <c r="I568" s="22">
        <f>[2]S1!I569</f>
        <v>125</v>
      </c>
      <c r="J568" s="13">
        <f>[2]S1!J569</f>
        <v>0</v>
      </c>
      <c r="K568" s="19">
        <f>[2]S1!K569</f>
        <v>325</v>
      </c>
      <c r="L568" s="52">
        <f>[2]S1!L569</f>
        <v>12500</v>
      </c>
      <c r="M568" s="58">
        <f>[2]S1!M569</f>
        <v>3</v>
      </c>
      <c r="N568" s="49">
        <f>[2]S1!P569</f>
        <v>9829642938</v>
      </c>
      <c r="O568" s="14"/>
    </row>
    <row r="569" spans="1:15" x14ac:dyDescent="0.3">
      <c r="A569" s="11">
        <v>3616</v>
      </c>
      <c r="B569" s="12" t="str">
        <f>[3]Name!E2620</f>
        <v>Babu Lal  Bunkar</v>
      </c>
      <c r="C569" s="13">
        <f>[2]S1!C570</f>
        <v>0</v>
      </c>
      <c r="D569" s="13">
        <f>[2]S1!D570</f>
        <v>0</v>
      </c>
      <c r="E569" s="26">
        <f>[2]S1!E570</f>
        <v>100</v>
      </c>
      <c r="F569" s="26">
        <f>[2]S1!F570</f>
        <v>0</v>
      </c>
      <c r="G569" s="22">
        <f>[2]S1!G570</f>
        <v>0</v>
      </c>
      <c r="H569" s="22">
        <f>[2]S1!H570</f>
        <v>0</v>
      </c>
      <c r="I569" s="22">
        <f>[2]S1!I570</f>
        <v>0</v>
      </c>
      <c r="J569" s="13">
        <f>[2]S1!J570</f>
        <v>0</v>
      </c>
      <c r="K569" s="19">
        <f>[2]S1!K570</f>
        <v>100</v>
      </c>
      <c r="L569" s="52">
        <f>[2]S1!L570</f>
        <v>0</v>
      </c>
      <c r="M569" s="58">
        <f>[2]S1!M570</f>
        <v>0</v>
      </c>
      <c r="N569" s="49">
        <f>[2]S1!P570</f>
        <v>968068892425</v>
      </c>
      <c r="O569" s="14"/>
    </row>
    <row r="570" spans="1:15" x14ac:dyDescent="0.3">
      <c r="A570" s="11">
        <v>3617</v>
      </c>
      <c r="B570" s="12" t="str">
        <f>[3]Name!E2621</f>
        <v>Hansa Bunkar</v>
      </c>
      <c r="C570" s="13">
        <f>[2]S1!C571</f>
        <v>0</v>
      </c>
      <c r="D570" s="13">
        <f>[2]S1!D571</f>
        <v>0</v>
      </c>
      <c r="E570" s="26">
        <f>[2]S1!E571</f>
        <v>57</v>
      </c>
      <c r="F570" s="26">
        <f>[2]S1!F571</f>
        <v>0</v>
      </c>
      <c r="G570" s="22">
        <f>[2]S1!G571</f>
        <v>0</v>
      </c>
      <c r="H570" s="22">
        <f>[2]S1!H571</f>
        <v>0</v>
      </c>
      <c r="I570" s="22">
        <f>[2]S1!I571</f>
        <v>0</v>
      </c>
      <c r="J570" s="13">
        <f>[2]S1!J571</f>
        <v>0</v>
      </c>
      <c r="K570" s="19">
        <f>[2]S1!K571</f>
        <v>57</v>
      </c>
      <c r="L570" s="52">
        <f>[2]S1!L571</f>
        <v>0</v>
      </c>
      <c r="M570" s="58">
        <f>[2]S1!M571</f>
        <v>0</v>
      </c>
      <c r="N570" s="49">
        <f>[2]S1!P571</f>
        <v>968068892425</v>
      </c>
      <c r="O570" s="14"/>
    </row>
    <row r="571" spans="1:15" x14ac:dyDescent="0.3">
      <c r="A571" s="11">
        <v>3618</v>
      </c>
      <c r="B571" s="12" t="str">
        <f>[3]Name!E2622</f>
        <v>Sivani Kalohiya</v>
      </c>
      <c r="C571" s="13">
        <f>[2]S1!C572</f>
        <v>0</v>
      </c>
      <c r="D571" s="13">
        <f>[2]S1!D572</f>
        <v>31</v>
      </c>
      <c r="E571" s="26">
        <f>[2]S1!E572</f>
        <v>1800</v>
      </c>
      <c r="F571" s="26">
        <f>[2]S1!F572</f>
        <v>406</v>
      </c>
      <c r="G571" s="22">
        <f>[2]S1!G572</f>
        <v>0</v>
      </c>
      <c r="H571" s="22">
        <f>[2]S1!H572</f>
        <v>0</v>
      </c>
      <c r="I571" s="22">
        <f>[2]S1!I572</f>
        <v>0</v>
      </c>
      <c r="J571" s="13">
        <f>[2]S1!J572</f>
        <v>0</v>
      </c>
      <c r="K571" s="19">
        <f>[2]S1!K572</f>
        <v>2206</v>
      </c>
      <c r="L571" s="52">
        <f>[2]S1!L572</f>
        <v>0</v>
      </c>
      <c r="M571" s="58">
        <f>[2]S1!M572</f>
        <v>0</v>
      </c>
      <c r="N571" s="49">
        <f>[2]S1!P572</f>
        <v>9602637651</v>
      </c>
      <c r="O571" s="14"/>
    </row>
    <row r="572" spans="1:15" x14ac:dyDescent="0.3">
      <c r="A572" s="11">
        <v>3619</v>
      </c>
      <c r="B572" s="12" t="str">
        <f>[3]Name!E2623</f>
        <v>Solani Kalohiya</v>
      </c>
      <c r="C572" s="13">
        <f>[2]S1!C573</f>
        <v>500</v>
      </c>
      <c r="D572" s="13">
        <f>[2]S1!D573</f>
        <v>31</v>
      </c>
      <c r="E572" s="26">
        <f>[2]S1!E573</f>
        <v>1800</v>
      </c>
      <c r="F572" s="26">
        <f>[2]S1!F573</f>
        <v>406</v>
      </c>
      <c r="G572" s="22">
        <f>[2]S1!G573</f>
        <v>1259</v>
      </c>
      <c r="H572" s="22">
        <f>[2]S1!H573</f>
        <v>0</v>
      </c>
      <c r="I572" s="22">
        <f>[2]S1!I573</f>
        <v>1152</v>
      </c>
      <c r="J572" s="13">
        <f>[2]S1!J573</f>
        <v>0</v>
      </c>
      <c r="K572" s="19">
        <f>[2]S1!K573</f>
        <v>4617</v>
      </c>
      <c r="L572" s="52">
        <f>[2]S1!L573</f>
        <v>12759</v>
      </c>
      <c r="M572" s="58">
        <f>[2]S1!M573</f>
        <v>17</v>
      </c>
      <c r="N572" s="49">
        <f>[2]S1!P573</f>
        <v>9602637651</v>
      </c>
      <c r="O572" s="14"/>
    </row>
    <row r="573" spans="1:15" x14ac:dyDescent="0.3">
      <c r="A573" s="11">
        <v>3620</v>
      </c>
      <c r="B573" s="12" t="str">
        <f>[3]Name!E2624</f>
        <v>Harisankar Kalohiya</v>
      </c>
      <c r="C573" s="13">
        <f>[2]S1!C574</f>
        <v>500</v>
      </c>
      <c r="D573" s="13">
        <f>[2]S1!D574</f>
        <v>31</v>
      </c>
      <c r="E573" s="26">
        <f>[2]S1!E574</f>
        <v>1800</v>
      </c>
      <c r="F573" s="26">
        <f>[2]S1!F574</f>
        <v>406</v>
      </c>
      <c r="G573" s="22">
        <f>[2]S1!G574</f>
        <v>2106</v>
      </c>
      <c r="H573" s="22">
        <f>[2]S1!H574</f>
        <v>0</v>
      </c>
      <c r="I573" s="22">
        <f>[2]S1!I574</f>
        <v>1224</v>
      </c>
      <c r="J573" s="13">
        <f>[2]S1!J574</f>
        <v>0</v>
      </c>
      <c r="K573" s="19">
        <f>[2]S1!K574</f>
        <v>5536</v>
      </c>
      <c r="L573" s="52">
        <f>[2]S1!L574</f>
        <v>13606</v>
      </c>
      <c r="M573" s="58">
        <f>[2]S1!M574</f>
        <v>17</v>
      </c>
      <c r="N573" s="49">
        <f>[2]S1!P574</f>
        <v>9602637651</v>
      </c>
      <c r="O573" s="14"/>
    </row>
    <row r="574" spans="1:15" x14ac:dyDescent="0.3">
      <c r="A574" s="11">
        <v>3621</v>
      </c>
      <c r="B574" s="12" t="str">
        <f>[3]Name!E2625</f>
        <v>Puran Mal Gurava</v>
      </c>
      <c r="C574" s="13">
        <f>[2]S1!C575</f>
        <v>0</v>
      </c>
      <c r="D574" s="13">
        <f>[2]S1!D575</f>
        <v>0</v>
      </c>
      <c r="E574" s="26">
        <f>[2]S1!E575</f>
        <v>200</v>
      </c>
      <c r="F574" s="26">
        <f>[2]S1!F575</f>
        <v>0</v>
      </c>
      <c r="G574" s="22">
        <f>[2]S1!G575</f>
        <v>0</v>
      </c>
      <c r="H574" s="22">
        <f>[2]S1!H575</f>
        <v>0</v>
      </c>
      <c r="I574" s="22">
        <f>[2]S1!I575</f>
        <v>0</v>
      </c>
      <c r="J574" s="13">
        <f>[2]S1!J575</f>
        <v>0</v>
      </c>
      <c r="K574" s="19">
        <f>[2]S1!K575</f>
        <v>200</v>
      </c>
      <c r="L574" s="52">
        <f>[2]S1!L575</f>
        <v>0</v>
      </c>
      <c r="M574" s="58">
        <f>[2]S1!M575</f>
        <v>0</v>
      </c>
      <c r="N574" s="49">
        <f>[2]S1!P575</f>
        <v>9982965532</v>
      </c>
      <c r="O574" s="14"/>
    </row>
    <row r="575" spans="1:15" x14ac:dyDescent="0.3">
      <c r="A575" s="11">
        <v>3622</v>
      </c>
      <c r="B575" s="12" t="str">
        <f>[3]Name!E2626</f>
        <v>Tej Prakash Gurava</v>
      </c>
      <c r="C575" s="13">
        <f>[2]S1!C576</f>
        <v>0</v>
      </c>
      <c r="D575" s="13">
        <f>[2]S1!D576</f>
        <v>0</v>
      </c>
      <c r="E575" s="26">
        <f>[2]S1!E576</f>
        <v>200</v>
      </c>
      <c r="F575" s="26">
        <f>[2]S1!F576</f>
        <v>0</v>
      </c>
      <c r="G575" s="22">
        <f>[2]S1!G576</f>
        <v>0</v>
      </c>
      <c r="H575" s="22">
        <f>[2]S1!H576</f>
        <v>0</v>
      </c>
      <c r="I575" s="22">
        <f>[2]S1!I576</f>
        <v>0</v>
      </c>
      <c r="J575" s="13">
        <f>[2]S1!J576</f>
        <v>0</v>
      </c>
      <c r="K575" s="19">
        <f>[2]S1!K576</f>
        <v>200</v>
      </c>
      <c r="L575" s="52">
        <f>[2]S1!L576</f>
        <v>0</v>
      </c>
      <c r="M575" s="58">
        <f>[2]S1!M576</f>
        <v>0</v>
      </c>
      <c r="N575" s="49">
        <f>[2]S1!P576</f>
        <v>9982965532</v>
      </c>
      <c r="O575" s="14"/>
    </row>
    <row r="576" spans="1:15" x14ac:dyDescent="0.3">
      <c r="A576" s="11">
        <v>3623</v>
      </c>
      <c r="B576" s="12" t="str">
        <f>[3]Name!E2627</f>
        <v>Santosh kumari Gurava</v>
      </c>
      <c r="C576" s="13">
        <f>[2]S1!C577</f>
        <v>0</v>
      </c>
      <c r="D576" s="13">
        <f>[2]S1!D577</f>
        <v>0</v>
      </c>
      <c r="E576" s="26">
        <f>[2]S1!E577</f>
        <v>200</v>
      </c>
      <c r="F576" s="26">
        <f>[2]S1!F577</f>
        <v>0</v>
      </c>
      <c r="G576" s="22">
        <f>[2]S1!G577</f>
        <v>0</v>
      </c>
      <c r="H576" s="22">
        <f>[2]S1!H577</f>
        <v>0</v>
      </c>
      <c r="I576" s="22">
        <f>[2]S1!I577</f>
        <v>0</v>
      </c>
      <c r="J576" s="13">
        <f>[2]S1!J577</f>
        <v>0</v>
      </c>
      <c r="K576" s="19">
        <f>[2]S1!K577</f>
        <v>200</v>
      </c>
      <c r="L576" s="52">
        <f>[2]S1!L577</f>
        <v>0</v>
      </c>
      <c r="M576" s="58">
        <f>[2]S1!M577</f>
        <v>0</v>
      </c>
      <c r="N576" s="49">
        <f>[2]S1!P577</f>
        <v>9982965532</v>
      </c>
      <c r="O576" s="14"/>
    </row>
    <row r="577" spans="1:15" x14ac:dyDescent="0.3">
      <c r="A577" s="11">
        <v>3624</v>
      </c>
      <c r="B577" s="12" t="str">
        <f>[3]Name!E2628</f>
        <v>Mahendr Kumar Lohiya</v>
      </c>
      <c r="C577" s="13">
        <f>[2]S1!C578</f>
        <v>0</v>
      </c>
      <c r="D577" s="13">
        <f>[2]S1!D578</f>
        <v>0</v>
      </c>
      <c r="E577" s="26">
        <f>[2]S1!E578</f>
        <v>200</v>
      </c>
      <c r="F577" s="26">
        <f>[2]S1!F578</f>
        <v>0</v>
      </c>
      <c r="G577" s="22">
        <f>[2]S1!G578</f>
        <v>17300</v>
      </c>
      <c r="H577" s="22">
        <f>[2]S1!H578</f>
        <v>0</v>
      </c>
      <c r="I577" s="22">
        <f>[2]S1!I578</f>
        <v>173</v>
      </c>
      <c r="J577" s="13">
        <f>[2]S1!J578</f>
        <v>0</v>
      </c>
      <c r="K577" s="19">
        <f>[2]S1!K578</f>
        <v>17673</v>
      </c>
      <c r="L577" s="52">
        <f>[2]S1!L578</f>
        <v>17300</v>
      </c>
      <c r="M577" s="58">
        <f>[2]S1!M578</f>
        <v>6</v>
      </c>
      <c r="N577" s="49">
        <f>[2]S1!P578</f>
        <v>9667061763</v>
      </c>
      <c r="O577" s="14"/>
    </row>
    <row r="578" spans="1:15" x14ac:dyDescent="0.3">
      <c r="A578" s="11">
        <v>3625</v>
      </c>
      <c r="B578" s="12" t="str">
        <f>[3]Name!E2629</f>
        <v>Karina Kumari Lohiya</v>
      </c>
      <c r="C578" s="13">
        <f>[2]S1!C579</f>
        <v>1000</v>
      </c>
      <c r="D578" s="13">
        <f>[2]S1!D579</f>
        <v>0</v>
      </c>
      <c r="E578" s="26">
        <f>[2]S1!E579</f>
        <v>200</v>
      </c>
      <c r="F578" s="26">
        <f>[2]S1!F579</f>
        <v>0</v>
      </c>
      <c r="G578" s="22">
        <f>[2]S1!G579</f>
        <v>1000</v>
      </c>
      <c r="H578" s="22">
        <f>[2]S1!H579</f>
        <v>0</v>
      </c>
      <c r="I578" s="22">
        <f>[2]S1!I579</f>
        <v>130</v>
      </c>
      <c r="J578" s="13">
        <f>[2]S1!J579</f>
        <v>0</v>
      </c>
      <c r="K578" s="19">
        <f>[2]S1!K579</f>
        <v>1330</v>
      </c>
      <c r="L578" s="52">
        <f>[2]S1!L579</f>
        <v>13000</v>
      </c>
      <c r="M578" s="58">
        <f>[2]S1!M579</f>
        <v>8</v>
      </c>
      <c r="N578" s="49">
        <f>[2]S1!P579</f>
        <v>9667061763</v>
      </c>
      <c r="O578" s="14"/>
    </row>
    <row r="579" spans="1:15" x14ac:dyDescent="0.3">
      <c r="A579" s="11">
        <v>3626</v>
      </c>
      <c r="B579" s="12" t="str">
        <f>[3]Name!E2630</f>
        <v>Chandr Prakash Bunkar</v>
      </c>
      <c r="C579" s="13">
        <f>[2]S1!C580</f>
        <v>0</v>
      </c>
      <c r="D579" s="13">
        <f>[2]S1!D580</f>
        <v>0</v>
      </c>
      <c r="E579" s="26">
        <f>[2]S1!E580</f>
        <v>200</v>
      </c>
      <c r="F579" s="26">
        <f>[2]S1!F580</f>
        <v>0</v>
      </c>
      <c r="G579" s="22">
        <f>[2]S1!G580</f>
        <v>0</v>
      </c>
      <c r="H579" s="22">
        <f>[2]S1!H580</f>
        <v>0</v>
      </c>
      <c r="I579" s="22">
        <f>[2]S1!I580</f>
        <v>0</v>
      </c>
      <c r="J579" s="13">
        <f>[2]S1!J580</f>
        <v>0</v>
      </c>
      <c r="K579" s="19">
        <f>[2]S1!K580</f>
        <v>200</v>
      </c>
      <c r="L579" s="52">
        <f>[2]S1!L580</f>
        <v>0</v>
      </c>
      <c r="M579" s="58">
        <f>[2]S1!M580</f>
        <v>0</v>
      </c>
      <c r="N579" s="49">
        <f>[2]S1!P580</f>
        <v>9772972215</v>
      </c>
      <c r="O579" s="14"/>
    </row>
    <row r="580" spans="1:15" x14ac:dyDescent="0.3">
      <c r="A580" s="11">
        <v>3627</v>
      </c>
      <c r="B580" s="12" t="str">
        <f>[3]Name!E2631</f>
        <v>Banvari Lal Gadaval</v>
      </c>
      <c r="C580" s="13">
        <f>[2]S1!C581</f>
        <v>0</v>
      </c>
      <c r="D580" s="13">
        <f>[2]S1!D581</f>
        <v>0</v>
      </c>
      <c r="E580" s="26">
        <f>[2]S1!E581</f>
        <v>800</v>
      </c>
      <c r="F580" s="26">
        <f>[2]S1!F581</f>
        <v>63</v>
      </c>
      <c r="G580" s="22">
        <f>[2]S1!G581</f>
        <v>0</v>
      </c>
      <c r="H580" s="22">
        <f>[2]S1!H581</f>
        <v>0</v>
      </c>
      <c r="I580" s="22">
        <f>[2]S1!I581</f>
        <v>0</v>
      </c>
      <c r="J580" s="13">
        <f>[2]S1!J581</f>
        <v>0</v>
      </c>
      <c r="K580" s="19">
        <f>[2]S1!K581</f>
        <v>863</v>
      </c>
      <c r="L580" s="52">
        <f>[2]S1!L581</f>
        <v>0</v>
      </c>
      <c r="M580" s="58">
        <f>[2]S1!M581</f>
        <v>0</v>
      </c>
      <c r="N580" s="49">
        <f>[2]S1!P581</f>
        <v>9602318478</v>
      </c>
      <c r="O580" s="14"/>
    </row>
    <row r="581" spans="1:15" x14ac:dyDescent="0.3">
      <c r="A581" s="11">
        <v>3628</v>
      </c>
      <c r="B581" s="12" t="str">
        <f>[3]Name!E2632</f>
        <v>Dhannu Kumar Gadaval</v>
      </c>
      <c r="C581" s="13">
        <f>[2]S1!C582</f>
        <v>0</v>
      </c>
      <c r="D581" s="13">
        <f>[2]S1!D582</f>
        <v>0</v>
      </c>
      <c r="E581" s="26">
        <f>[2]S1!E582</f>
        <v>737</v>
      </c>
      <c r="F581" s="26">
        <f>[2]S1!F582</f>
        <v>46</v>
      </c>
      <c r="G581" s="22">
        <f>[2]S1!G582</f>
        <v>0</v>
      </c>
      <c r="H581" s="22">
        <f>[2]S1!H582</f>
        <v>0</v>
      </c>
      <c r="I581" s="22">
        <f>[2]S1!I582</f>
        <v>0</v>
      </c>
      <c r="J581" s="13">
        <f>[2]S1!J582</f>
        <v>0</v>
      </c>
      <c r="K581" s="19">
        <f>[2]S1!K582</f>
        <v>783</v>
      </c>
      <c r="L581" s="52">
        <f>[2]S1!L582</f>
        <v>0</v>
      </c>
      <c r="M581" s="58">
        <f>[2]S1!M582</f>
        <v>0</v>
      </c>
      <c r="N581" s="49">
        <f>[2]S1!P582</f>
        <v>9602318478</v>
      </c>
      <c r="O581" s="14"/>
    </row>
    <row r="582" spans="1:15" x14ac:dyDescent="0.3">
      <c r="A582" s="11">
        <v>3629</v>
      </c>
      <c r="B582" s="12" t="str">
        <f>[3]Name!E2633</f>
        <v>Mohan Lal Meharda</v>
      </c>
      <c r="C582" s="13">
        <f>[2]S1!C583</f>
        <v>200</v>
      </c>
      <c r="D582" s="13">
        <f>[2]S1!D583</f>
        <v>0</v>
      </c>
      <c r="E582" s="26">
        <f>[2]S1!E583</f>
        <v>200</v>
      </c>
      <c r="F582" s="26">
        <f>[2]S1!F583</f>
        <v>0</v>
      </c>
      <c r="G582" s="22">
        <f>[2]S1!G583</f>
        <v>200</v>
      </c>
      <c r="H582" s="22">
        <f>[2]S1!H583</f>
        <v>0</v>
      </c>
      <c r="I582" s="22">
        <f>[2]S1!I583</f>
        <v>246</v>
      </c>
      <c r="J582" s="13">
        <f>[2]S1!J583</f>
        <v>0</v>
      </c>
      <c r="K582" s="19">
        <f>[2]S1!K583</f>
        <v>646</v>
      </c>
      <c r="L582" s="52">
        <f>[2]S1!L583</f>
        <v>24600</v>
      </c>
      <c r="M582" s="58">
        <f>[2]S1!M583</f>
        <v>28</v>
      </c>
      <c r="N582" s="49">
        <f>[2]S1!P583</f>
        <v>9929194619</v>
      </c>
      <c r="O582" s="14"/>
    </row>
    <row r="583" spans="1:15" x14ac:dyDescent="0.3">
      <c r="A583" s="11">
        <v>3630</v>
      </c>
      <c r="B583" s="12" t="str">
        <f>[3]Name!E2634</f>
        <v>Vijay Kumar Meharda</v>
      </c>
      <c r="C583" s="13">
        <f>[2]S1!C584</f>
        <v>200</v>
      </c>
      <c r="D583" s="13">
        <f>[2]S1!D584</f>
        <v>0</v>
      </c>
      <c r="E583" s="26">
        <f>[2]S1!E584</f>
        <v>200</v>
      </c>
      <c r="F583" s="26">
        <f>[2]S1!F584</f>
        <v>0</v>
      </c>
      <c r="G583" s="22">
        <f>[2]S1!G584</f>
        <v>200</v>
      </c>
      <c r="H583" s="22">
        <f>[2]S1!H584</f>
        <v>0</v>
      </c>
      <c r="I583" s="22">
        <f>[2]S1!I584</f>
        <v>246</v>
      </c>
      <c r="J583" s="13">
        <f>[2]S1!J584</f>
        <v>0</v>
      </c>
      <c r="K583" s="19">
        <f>[2]S1!K584</f>
        <v>646</v>
      </c>
      <c r="L583" s="52">
        <f>[2]S1!L584</f>
        <v>24600</v>
      </c>
      <c r="M583" s="58">
        <f>[2]S1!M584</f>
        <v>28</v>
      </c>
      <c r="N583" s="49">
        <f>[2]S1!P584</f>
        <v>9929194619</v>
      </c>
      <c r="O583" s="14"/>
    </row>
    <row r="584" spans="1:15" x14ac:dyDescent="0.3">
      <c r="A584" s="11">
        <v>3631</v>
      </c>
      <c r="B584" s="12" t="str">
        <f>[3]Name!E2635</f>
        <v>Kiran Devi Meharda</v>
      </c>
      <c r="C584" s="13">
        <f>[2]S1!C585</f>
        <v>200</v>
      </c>
      <c r="D584" s="13">
        <f>[2]S1!D585</f>
        <v>0</v>
      </c>
      <c r="E584" s="26">
        <f>[2]S1!E585</f>
        <v>200</v>
      </c>
      <c r="F584" s="26">
        <f>[2]S1!F585</f>
        <v>0</v>
      </c>
      <c r="G584" s="22">
        <f>[2]S1!G585</f>
        <v>200</v>
      </c>
      <c r="H584" s="22">
        <f>[2]S1!H585</f>
        <v>0</v>
      </c>
      <c r="I584" s="22">
        <f>[2]S1!I585</f>
        <v>246</v>
      </c>
      <c r="J584" s="13">
        <f>[2]S1!J585</f>
        <v>0</v>
      </c>
      <c r="K584" s="19">
        <f>[2]S1!K585</f>
        <v>646</v>
      </c>
      <c r="L584" s="52">
        <f>[2]S1!L585</f>
        <v>24600</v>
      </c>
      <c r="M584" s="58">
        <f>[2]S1!M585</f>
        <v>28</v>
      </c>
      <c r="N584" s="49">
        <f>[2]S1!P585</f>
        <v>9929194619</v>
      </c>
      <c r="O584" s="14"/>
    </row>
    <row r="585" spans="1:15" x14ac:dyDescent="0.3">
      <c r="A585" s="11">
        <v>3632</v>
      </c>
      <c r="B585" s="12" t="str">
        <f>[3]Name!E2636</f>
        <v>Sona Devi Meharda</v>
      </c>
      <c r="C585" s="13">
        <f>[2]S1!C586</f>
        <v>200</v>
      </c>
      <c r="D585" s="13">
        <f>[2]S1!D586</f>
        <v>0</v>
      </c>
      <c r="E585" s="26">
        <f>[2]S1!E586</f>
        <v>200</v>
      </c>
      <c r="F585" s="26">
        <f>[2]S1!F586</f>
        <v>0</v>
      </c>
      <c r="G585" s="22">
        <f>[2]S1!G586</f>
        <v>200</v>
      </c>
      <c r="H585" s="22">
        <f>[2]S1!H586</f>
        <v>0</v>
      </c>
      <c r="I585" s="22">
        <f>[2]S1!I586</f>
        <v>246</v>
      </c>
      <c r="J585" s="13">
        <f>[2]S1!J586</f>
        <v>0</v>
      </c>
      <c r="K585" s="19">
        <f>[2]S1!K586</f>
        <v>646</v>
      </c>
      <c r="L585" s="52">
        <f>[2]S1!L586</f>
        <v>24600</v>
      </c>
      <c r="M585" s="58">
        <f>[2]S1!M586</f>
        <v>28</v>
      </c>
      <c r="N585" s="49">
        <f>[2]S1!P586</f>
        <v>9929194619</v>
      </c>
      <c r="O585" s="14"/>
    </row>
    <row r="586" spans="1:15" x14ac:dyDescent="0.3">
      <c r="A586" s="11">
        <v>3633</v>
      </c>
      <c r="B586" s="12" t="str">
        <f>[3]Name!E2637</f>
        <v>Ajay Kumar Meharda</v>
      </c>
      <c r="C586" s="13">
        <f>[2]S1!C587</f>
        <v>200</v>
      </c>
      <c r="D586" s="13">
        <f>[2]S1!D587</f>
        <v>0</v>
      </c>
      <c r="E586" s="26">
        <f>[2]S1!E587</f>
        <v>200</v>
      </c>
      <c r="F586" s="26">
        <f>[2]S1!F587</f>
        <v>0</v>
      </c>
      <c r="G586" s="22">
        <f>[2]S1!G587</f>
        <v>200</v>
      </c>
      <c r="H586" s="22">
        <f>[2]S1!H587</f>
        <v>0</v>
      </c>
      <c r="I586" s="22">
        <f>[2]S1!I587</f>
        <v>246</v>
      </c>
      <c r="J586" s="13">
        <f>[2]S1!J587</f>
        <v>0</v>
      </c>
      <c r="K586" s="19">
        <f>[2]S1!K587</f>
        <v>646</v>
      </c>
      <c r="L586" s="52">
        <f>[2]S1!L587</f>
        <v>24600</v>
      </c>
      <c r="M586" s="58">
        <f>[2]S1!M587</f>
        <v>28</v>
      </c>
      <c r="N586" s="49">
        <f>[2]S1!P587</f>
        <v>9929194619</v>
      </c>
      <c r="O586" s="14"/>
    </row>
    <row r="587" spans="1:15" x14ac:dyDescent="0.3">
      <c r="A587" s="11">
        <v>3634</v>
      </c>
      <c r="B587" s="12" t="str">
        <f>[3]Name!E2638</f>
        <v>Vimala Devi Meharda</v>
      </c>
      <c r="C587" s="13">
        <f>[2]S1!C588</f>
        <v>200</v>
      </c>
      <c r="D587" s="13">
        <f>[2]S1!D588</f>
        <v>0</v>
      </c>
      <c r="E587" s="26">
        <f>[2]S1!E588</f>
        <v>200</v>
      </c>
      <c r="F587" s="26">
        <f>[2]S1!F588</f>
        <v>0</v>
      </c>
      <c r="G587" s="22">
        <f>[2]S1!G588</f>
        <v>200</v>
      </c>
      <c r="H587" s="22">
        <f>[2]S1!H588</f>
        <v>0</v>
      </c>
      <c r="I587" s="22">
        <f>[2]S1!I588</f>
        <v>246</v>
      </c>
      <c r="J587" s="13">
        <f>[2]S1!J588</f>
        <v>0</v>
      </c>
      <c r="K587" s="19">
        <f>[2]S1!K588</f>
        <v>646</v>
      </c>
      <c r="L587" s="52">
        <f>[2]S1!L588</f>
        <v>24600</v>
      </c>
      <c r="M587" s="58">
        <f>[2]S1!M588</f>
        <v>28</v>
      </c>
      <c r="N587" s="49">
        <f>[2]S1!P588</f>
        <v>9929194619</v>
      </c>
      <c r="O587" s="14"/>
    </row>
    <row r="588" spans="1:15" x14ac:dyDescent="0.3">
      <c r="A588" s="11">
        <v>3635</v>
      </c>
      <c r="B588" s="12" t="str">
        <f>[3]Name!E2639</f>
        <v>Mnisha kumari Meharda</v>
      </c>
      <c r="C588" s="13">
        <f>[2]S1!C589</f>
        <v>200</v>
      </c>
      <c r="D588" s="13">
        <f>[2]S1!D589</f>
        <v>0</v>
      </c>
      <c r="E588" s="26">
        <f>[2]S1!E589</f>
        <v>200</v>
      </c>
      <c r="F588" s="26">
        <f>[2]S1!F589</f>
        <v>0</v>
      </c>
      <c r="G588" s="22">
        <f>[2]S1!G589</f>
        <v>200</v>
      </c>
      <c r="H588" s="22">
        <f>[2]S1!H589</f>
        <v>0</v>
      </c>
      <c r="I588" s="22">
        <f>[2]S1!I589</f>
        <v>246</v>
      </c>
      <c r="J588" s="13">
        <f>[2]S1!J589</f>
        <v>0</v>
      </c>
      <c r="K588" s="19">
        <f>[2]S1!K589</f>
        <v>646</v>
      </c>
      <c r="L588" s="52">
        <f>[2]S1!L589</f>
        <v>24600</v>
      </c>
      <c r="M588" s="58">
        <f>[2]S1!M589</f>
        <v>28</v>
      </c>
      <c r="N588" s="49">
        <f>[2]S1!P589</f>
        <v>9929194619</v>
      </c>
      <c r="O588" s="14"/>
    </row>
    <row r="589" spans="1:15" x14ac:dyDescent="0.3">
      <c r="A589" s="11">
        <v>3636</v>
      </c>
      <c r="B589" s="12" t="str">
        <f>[3]Name!E2640</f>
        <v>Jagadish Prashad Dokhoriya</v>
      </c>
      <c r="C589" s="13">
        <f>[2]S1!C590</f>
        <v>200</v>
      </c>
      <c r="D589" s="13">
        <f>[2]S1!D590</f>
        <v>0</v>
      </c>
      <c r="E589" s="26">
        <f>[2]S1!E590</f>
        <v>200</v>
      </c>
      <c r="F589" s="26">
        <f>[2]S1!F590</f>
        <v>0</v>
      </c>
      <c r="G589" s="22">
        <f>[2]S1!G590</f>
        <v>0</v>
      </c>
      <c r="H589" s="22">
        <f>[2]S1!H590</f>
        <v>0</v>
      </c>
      <c r="I589" s="22">
        <f>[2]S1!I590</f>
        <v>244</v>
      </c>
      <c r="J589" s="13">
        <f>[2]S1!J590</f>
        <v>0</v>
      </c>
      <c r="K589" s="19">
        <f>[2]S1!K590</f>
        <v>444</v>
      </c>
      <c r="L589" s="52">
        <f>[2]S1!L590</f>
        <v>24400</v>
      </c>
      <c r="M589" s="58">
        <f>[2]S1!M590</f>
        <v>28</v>
      </c>
      <c r="N589" s="49">
        <f>[2]S1!P590</f>
        <v>9982447051</v>
      </c>
      <c r="O589" s="14"/>
    </row>
    <row r="590" spans="1:15" x14ac:dyDescent="0.3">
      <c r="A590" s="11">
        <v>3637</v>
      </c>
      <c r="B590" s="12" t="str">
        <f>[3]Name!E2641</f>
        <v>palak Dokhoriya</v>
      </c>
      <c r="C590" s="13">
        <f>[2]S1!C591</f>
        <v>200</v>
      </c>
      <c r="D590" s="13">
        <f>[2]S1!D591</f>
        <v>0</v>
      </c>
      <c r="E590" s="26">
        <f>[2]S1!E591</f>
        <v>200</v>
      </c>
      <c r="F590" s="26">
        <f>[2]S1!F591</f>
        <v>0</v>
      </c>
      <c r="G590" s="22">
        <f>[2]S1!G591</f>
        <v>0</v>
      </c>
      <c r="H590" s="22">
        <f>[2]S1!H591</f>
        <v>0</v>
      </c>
      <c r="I590" s="22">
        <f>[2]S1!I591</f>
        <v>244</v>
      </c>
      <c r="J590" s="13">
        <f>[2]S1!J591</f>
        <v>0</v>
      </c>
      <c r="K590" s="19">
        <f>[2]S1!K591</f>
        <v>444</v>
      </c>
      <c r="L590" s="52">
        <f>[2]S1!L591</f>
        <v>24400</v>
      </c>
      <c r="M590" s="58">
        <f>[2]S1!M591</f>
        <v>28</v>
      </c>
      <c r="N590" s="49">
        <f>[2]S1!P591</f>
        <v>9982447051</v>
      </c>
      <c r="O590" s="14"/>
    </row>
    <row r="591" spans="1:15" x14ac:dyDescent="0.3">
      <c r="A591" s="11">
        <v>3638</v>
      </c>
      <c r="B591" s="12" t="str">
        <f>[3]Name!E2642</f>
        <v>Rahul Kumar Dokhoriya</v>
      </c>
      <c r="C591" s="13">
        <f>[2]S1!C592</f>
        <v>200</v>
      </c>
      <c r="D591" s="13">
        <f>[2]S1!D592</f>
        <v>0</v>
      </c>
      <c r="E591" s="26">
        <f>[2]S1!E592</f>
        <v>200</v>
      </c>
      <c r="F591" s="26">
        <f>[2]S1!F592</f>
        <v>0</v>
      </c>
      <c r="G591" s="22">
        <f>[2]S1!G592</f>
        <v>181</v>
      </c>
      <c r="H591" s="22">
        <f>[2]S1!H592</f>
        <v>0</v>
      </c>
      <c r="I591" s="22">
        <f>[2]S1!I592</f>
        <v>246</v>
      </c>
      <c r="J591" s="13">
        <f>[2]S1!J592</f>
        <v>0</v>
      </c>
      <c r="K591" s="19">
        <f>[2]S1!K592</f>
        <v>627</v>
      </c>
      <c r="L591" s="52">
        <f>[2]S1!L592</f>
        <v>24581</v>
      </c>
      <c r="M591" s="58">
        <f>[2]S1!M592</f>
        <v>28</v>
      </c>
      <c r="N591" s="49">
        <f>[2]S1!P592</f>
        <v>9982447051</v>
      </c>
      <c r="O591" s="14"/>
    </row>
    <row r="592" spans="1:15" x14ac:dyDescent="0.3">
      <c r="A592" s="11">
        <v>3639</v>
      </c>
      <c r="B592" s="12" t="str">
        <f>[3]Name!E2643</f>
        <v>Jagadish Prashad Dokhoriya</v>
      </c>
      <c r="C592" s="13">
        <f>[2]S1!C593</f>
        <v>200</v>
      </c>
      <c r="D592" s="13">
        <f>[2]S1!D593</f>
        <v>0</v>
      </c>
      <c r="E592" s="26">
        <f>[2]S1!E593</f>
        <v>200</v>
      </c>
      <c r="F592" s="26">
        <f>[2]S1!F593</f>
        <v>0</v>
      </c>
      <c r="G592" s="22">
        <f>[2]S1!G593</f>
        <v>200</v>
      </c>
      <c r="H592" s="22">
        <f>[2]S1!H593</f>
        <v>0</v>
      </c>
      <c r="I592" s="22">
        <f>[2]S1!I593</f>
        <v>246</v>
      </c>
      <c r="J592" s="13">
        <f>[2]S1!J593</f>
        <v>0</v>
      </c>
      <c r="K592" s="19">
        <f>[2]S1!K593</f>
        <v>646</v>
      </c>
      <c r="L592" s="52">
        <f>[2]S1!L593</f>
        <v>24600</v>
      </c>
      <c r="M592" s="58">
        <f>[2]S1!M593</f>
        <v>28</v>
      </c>
      <c r="N592" s="49">
        <f>[2]S1!P593</f>
        <v>9982447051</v>
      </c>
      <c r="O592" s="14"/>
    </row>
    <row r="593" spans="1:15" x14ac:dyDescent="0.3">
      <c r="A593" s="11">
        <v>3640</v>
      </c>
      <c r="B593" s="12" t="str">
        <f>[3]Name!E2644</f>
        <v>palak Dokhoriya</v>
      </c>
      <c r="C593" s="13">
        <f>[2]S1!C594</f>
        <v>200</v>
      </c>
      <c r="D593" s="13">
        <f>[2]S1!D594</f>
        <v>0</v>
      </c>
      <c r="E593" s="26">
        <f>[2]S1!E594</f>
        <v>200</v>
      </c>
      <c r="F593" s="26">
        <f>[2]S1!F594</f>
        <v>0</v>
      </c>
      <c r="G593" s="22">
        <f>[2]S1!G594</f>
        <v>200</v>
      </c>
      <c r="H593" s="22">
        <f>[2]S1!H594</f>
        <v>0</v>
      </c>
      <c r="I593" s="22">
        <f>[2]S1!I594</f>
        <v>246</v>
      </c>
      <c r="J593" s="13">
        <f>[2]S1!J594</f>
        <v>0</v>
      </c>
      <c r="K593" s="19">
        <f>[2]S1!K594</f>
        <v>646</v>
      </c>
      <c r="L593" s="52">
        <f>[2]S1!L594</f>
        <v>24600</v>
      </c>
      <c r="M593" s="58">
        <f>[2]S1!M594</f>
        <v>28</v>
      </c>
      <c r="N593" s="49">
        <f>[2]S1!P594</f>
        <v>9982447051</v>
      </c>
      <c r="O593" s="14"/>
    </row>
    <row r="594" spans="1:15" x14ac:dyDescent="0.3">
      <c r="A594" s="11">
        <v>3641</v>
      </c>
      <c r="B594" s="12" t="str">
        <f>[3]Name!E2645</f>
        <v>Rahul Kumar Dokhoriya</v>
      </c>
      <c r="C594" s="13">
        <f>[2]S1!C595</f>
        <v>200</v>
      </c>
      <c r="D594" s="13">
        <f>[2]S1!D595</f>
        <v>0</v>
      </c>
      <c r="E594" s="26">
        <f>[2]S1!E595</f>
        <v>200</v>
      </c>
      <c r="F594" s="26">
        <f>[2]S1!F595</f>
        <v>0</v>
      </c>
      <c r="G594" s="22">
        <f>[2]S1!G595</f>
        <v>200</v>
      </c>
      <c r="H594" s="22">
        <f>[2]S1!H595</f>
        <v>0</v>
      </c>
      <c r="I594" s="22">
        <f>[2]S1!I595</f>
        <v>246</v>
      </c>
      <c r="J594" s="13">
        <f>[2]S1!J595</f>
        <v>0</v>
      </c>
      <c r="K594" s="19">
        <f>[2]S1!K595</f>
        <v>646</v>
      </c>
      <c r="L594" s="52">
        <f>[2]S1!L595</f>
        <v>24600</v>
      </c>
      <c r="M594" s="58">
        <f>[2]S1!M595</f>
        <v>28</v>
      </c>
      <c r="N594" s="49">
        <f>[2]S1!P595</f>
        <v>9982447051</v>
      </c>
      <c r="O594" s="14"/>
    </row>
    <row r="595" spans="1:15" x14ac:dyDescent="0.3">
      <c r="A595" s="11">
        <v>3642</v>
      </c>
      <c r="B595" s="12" t="str">
        <f>[3]Name!E2646</f>
        <v>Payal kumari Dokhoriya</v>
      </c>
      <c r="C595" s="13">
        <f>[2]S1!C596</f>
        <v>200</v>
      </c>
      <c r="D595" s="13">
        <f>[2]S1!D596</f>
        <v>0</v>
      </c>
      <c r="E595" s="26">
        <f>[2]S1!E596</f>
        <v>200</v>
      </c>
      <c r="F595" s="26">
        <f>[2]S1!F596</f>
        <v>0</v>
      </c>
      <c r="G595" s="22">
        <f>[2]S1!G596</f>
        <v>200</v>
      </c>
      <c r="H595" s="22">
        <f>[2]S1!H596</f>
        <v>0</v>
      </c>
      <c r="I595" s="22">
        <f>[2]S1!I596</f>
        <v>246</v>
      </c>
      <c r="J595" s="13">
        <f>[2]S1!J596</f>
        <v>0</v>
      </c>
      <c r="K595" s="19">
        <f>[2]S1!K596</f>
        <v>646</v>
      </c>
      <c r="L595" s="52">
        <f>[2]S1!L596</f>
        <v>24600</v>
      </c>
      <c r="M595" s="58">
        <f>[2]S1!M596</f>
        <v>28</v>
      </c>
      <c r="N595" s="49">
        <f>[2]S1!P596</f>
        <v>9982447051</v>
      </c>
      <c r="O595" s="14"/>
    </row>
    <row r="596" spans="1:15" x14ac:dyDescent="0.3">
      <c r="A596" s="11">
        <v>3643</v>
      </c>
      <c r="B596" s="12" t="str">
        <f>[3]Name!E2647</f>
        <v>Ramchandr Dokhoriya</v>
      </c>
      <c r="C596" s="13">
        <f>[2]S1!C597</f>
        <v>200</v>
      </c>
      <c r="D596" s="13">
        <f>[2]S1!D597</f>
        <v>0</v>
      </c>
      <c r="E596" s="26">
        <f>[2]S1!E597</f>
        <v>200</v>
      </c>
      <c r="F596" s="26">
        <f>[2]S1!F597</f>
        <v>0</v>
      </c>
      <c r="G596" s="22">
        <f>[2]S1!G597</f>
        <v>200</v>
      </c>
      <c r="H596" s="22">
        <f>[2]S1!H597</f>
        <v>0</v>
      </c>
      <c r="I596" s="22">
        <f>[2]S1!I597</f>
        <v>246</v>
      </c>
      <c r="J596" s="13">
        <f>[2]S1!J597</f>
        <v>0</v>
      </c>
      <c r="K596" s="19">
        <f>[2]S1!K597</f>
        <v>646</v>
      </c>
      <c r="L596" s="52">
        <f>[2]S1!L597</f>
        <v>24600</v>
      </c>
      <c r="M596" s="58">
        <f>[2]S1!M597</f>
        <v>28</v>
      </c>
      <c r="N596" s="49">
        <f>[2]S1!P597</f>
        <v>9982447051</v>
      </c>
      <c r="O596" s="14"/>
    </row>
    <row r="597" spans="1:15" x14ac:dyDescent="0.3">
      <c r="A597" s="11">
        <v>3644</v>
      </c>
      <c r="B597" s="12" t="str">
        <f>[3]Name!E2648</f>
        <v>payal Dokhoriya</v>
      </c>
      <c r="C597" s="13">
        <f>[2]S1!C598</f>
        <v>200</v>
      </c>
      <c r="D597" s="13">
        <f>[2]S1!D598</f>
        <v>0</v>
      </c>
      <c r="E597" s="26">
        <f>[2]S1!E598</f>
        <v>200</v>
      </c>
      <c r="F597" s="26">
        <f>[2]S1!F598</f>
        <v>0</v>
      </c>
      <c r="G597" s="22">
        <f>[2]S1!G598</f>
        <v>0</v>
      </c>
      <c r="H597" s="22">
        <f>[2]S1!H598</f>
        <v>0</v>
      </c>
      <c r="I597" s="22">
        <f>[2]S1!I598</f>
        <v>242</v>
      </c>
      <c r="J597" s="13">
        <f>[2]S1!J598</f>
        <v>0</v>
      </c>
      <c r="K597" s="19">
        <f>[2]S1!K598</f>
        <v>442</v>
      </c>
      <c r="L597" s="52">
        <f>[2]S1!L598</f>
        <v>24234</v>
      </c>
      <c r="M597" s="58">
        <f>[2]S1!M598</f>
        <v>28</v>
      </c>
      <c r="N597" s="49">
        <f>[2]S1!P598</f>
        <v>9982447051</v>
      </c>
      <c r="O597" s="14"/>
    </row>
    <row r="598" spans="1:15" x14ac:dyDescent="0.3">
      <c r="A598" s="11">
        <v>3645</v>
      </c>
      <c r="B598" s="12" t="str">
        <f>[3]Name!E2649</f>
        <v>Bansi Lal Varma</v>
      </c>
      <c r="C598" s="13">
        <f>[2]S1!C599</f>
        <v>1000</v>
      </c>
      <c r="D598" s="13">
        <f>[2]S1!D599</f>
        <v>0</v>
      </c>
      <c r="E598" s="26">
        <f>[2]S1!E599</f>
        <v>0</v>
      </c>
      <c r="F598" s="26">
        <f>[2]S1!F599</f>
        <v>0</v>
      </c>
      <c r="G598" s="22">
        <f>[2]S1!G599</f>
        <v>1000</v>
      </c>
      <c r="H598" s="22">
        <f>[2]S1!H599</f>
        <v>0</v>
      </c>
      <c r="I598" s="22">
        <f>[2]S1!I599</f>
        <v>290</v>
      </c>
      <c r="J598" s="13">
        <f>[2]S1!J599</f>
        <v>0</v>
      </c>
      <c r="K598" s="19">
        <f>[2]S1!K599</f>
        <v>1290</v>
      </c>
      <c r="L598" s="52">
        <f>[2]S1!L599</f>
        <v>29000</v>
      </c>
      <c r="M598" s="58">
        <f>[2]S1!M599</f>
        <v>2</v>
      </c>
      <c r="N598" s="49">
        <f>[2]S1!P599</f>
        <v>8058533814</v>
      </c>
      <c r="O598" s="14"/>
    </row>
    <row r="599" spans="1:15" x14ac:dyDescent="0.3">
      <c r="A599" s="11">
        <v>3646</v>
      </c>
      <c r="B599" s="12" t="str">
        <f>[3]Name!E2650</f>
        <v>Mamta Devi Varma</v>
      </c>
      <c r="C599" s="13">
        <f>[2]S1!C600</f>
        <v>1000</v>
      </c>
      <c r="D599" s="13">
        <f>[2]S1!D600</f>
        <v>0</v>
      </c>
      <c r="E599" s="26">
        <f>[2]S1!E600</f>
        <v>0</v>
      </c>
      <c r="F599" s="26">
        <f>[2]S1!F600</f>
        <v>0</v>
      </c>
      <c r="G599" s="22">
        <f>[2]S1!G600</f>
        <v>1000</v>
      </c>
      <c r="H599" s="22">
        <f>[2]S1!H600</f>
        <v>0</v>
      </c>
      <c r="I599" s="22">
        <f>[2]S1!I600</f>
        <v>290</v>
      </c>
      <c r="J599" s="13">
        <f>[2]S1!J600</f>
        <v>0</v>
      </c>
      <c r="K599" s="19">
        <f>[2]S1!K600</f>
        <v>1290</v>
      </c>
      <c r="L599" s="52">
        <f>[2]S1!L600</f>
        <v>29000</v>
      </c>
      <c r="M599" s="58">
        <f>[2]S1!M600</f>
        <v>2</v>
      </c>
      <c r="N599" s="49">
        <f>[2]S1!P600</f>
        <v>8058533814</v>
      </c>
      <c r="O599" s="14"/>
    </row>
    <row r="600" spans="1:15" x14ac:dyDescent="0.3">
      <c r="A600" s="11">
        <v>3647</v>
      </c>
      <c r="B600" s="12" t="str">
        <f>[3]Name!E2651</f>
        <v>Aausi Varma</v>
      </c>
      <c r="C600" s="13">
        <f>[2]S1!C601</f>
        <v>1000</v>
      </c>
      <c r="D600" s="13">
        <f>[2]S1!D601</f>
        <v>0</v>
      </c>
      <c r="E600" s="26">
        <f>[2]S1!E601</f>
        <v>0</v>
      </c>
      <c r="F600" s="26">
        <f>[2]S1!F601</f>
        <v>0</v>
      </c>
      <c r="G600" s="22">
        <f>[2]S1!G601</f>
        <v>1000</v>
      </c>
      <c r="H600" s="22">
        <f>[2]S1!H601</f>
        <v>0</v>
      </c>
      <c r="I600" s="22">
        <f>[2]S1!I601</f>
        <v>290</v>
      </c>
      <c r="J600" s="13">
        <f>[2]S1!J601</f>
        <v>0</v>
      </c>
      <c r="K600" s="19">
        <f>[2]S1!K601</f>
        <v>1290</v>
      </c>
      <c r="L600" s="52">
        <f>[2]S1!L601</f>
        <v>29000</v>
      </c>
      <c r="M600" s="58">
        <f>[2]S1!M601</f>
        <v>2</v>
      </c>
      <c r="N600" s="49">
        <f>[2]S1!P601</f>
        <v>8058533814</v>
      </c>
      <c r="O600" s="14"/>
    </row>
    <row r="601" spans="1:15" x14ac:dyDescent="0.3">
      <c r="A601" s="11">
        <v>3648</v>
      </c>
      <c r="B601" s="12" t="str">
        <f>[3]Name!E2652</f>
        <v>Bhura Ram Chudavat</v>
      </c>
      <c r="C601" s="13">
        <f>[2]S1!C602</f>
        <v>0</v>
      </c>
      <c r="D601" s="13">
        <f>[2]S1!D602</f>
        <v>9799</v>
      </c>
      <c r="E601" s="26">
        <f>[2]S1!E602</f>
        <v>4567</v>
      </c>
      <c r="F601" s="26">
        <f>[2]S1!F602</f>
        <v>3617</v>
      </c>
      <c r="G601" s="22">
        <f>[2]S1!G602</f>
        <v>0</v>
      </c>
      <c r="H601" s="22">
        <f>[2]S1!H602</f>
        <v>8632</v>
      </c>
      <c r="I601" s="22">
        <f>[2]S1!I602</f>
        <v>11845</v>
      </c>
      <c r="J601" s="13">
        <f>[2]S1!J602</f>
        <v>0</v>
      </c>
      <c r="K601" s="19">
        <f>[2]S1!K602</f>
        <v>28661</v>
      </c>
      <c r="L601" s="52">
        <f>[2]S1!L602</f>
        <v>51530</v>
      </c>
      <c r="M601" s="58">
        <f>[2]S1!M602</f>
        <v>28</v>
      </c>
      <c r="N601" s="49">
        <f>[2]S1!P602</f>
        <v>8094458094</v>
      </c>
      <c r="O601" s="14"/>
    </row>
    <row r="602" spans="1:15" x14ac:dyDescent="0.3">
      <c r="A602" s="11">
        <v>3649</v>
      </c>
      <c r="B602" s="12" t="str">
        <f>[3]Name!E2653</f>
        <v>Suva Lal Narnoliya</v>
      </c>
      <c r="C602" s="13">
        <f>[2]S1!C603</f>
        <v>21000</v>
      </c>
      <c r="D602" s="13">
        <f>[2]S1!D603</f>
        <v>0</v>
      </c>
      <c r="E602" s="26">
        <f>[2]S1!E603</f>
        <v>0</v>
      </c>
      <c r="F602" s="26">
        <f>[2]S1!F603</f>
        <v>0</v>
      </c>
      <c r="G602" s="22">
        <f>[2]S1!G603</f>
        <v>1000</v>
      </c>
      <c r="H602" s="22">
        <f>[2]S1!H603</f>
        <v>0</v>
      </c>
      <c r="I602" s="22">
        <f>[2]S1!I603</f>
        <v>220</v>
      </c>
      <c r="J602" s="13">
        <f>[2]S1!J603</f>
        <v>0</v>
      </c>
      <c r="K602" s="19">
        <f>[2]S1!K603</f>
        <v>1220</v>
      </c>
      <c r="L602" s="52">
        <f>[2]S1!L603</f>
        <v>22000</v>
      </c>
      <c r="M602" s="58">
        <f>[2]S1!M603</f>
        <v>9</v>
      </c>
      <c r="N602" s="49">
        <f>[2]S1!P603</f>
        <v>9782323306</v>
      </c>
      <c r="O602" s="14"/>
    </row>
    <row r="603" spans="1:15" x14ac:dyDescent="0.3">
      <c r="A603" s="11">
        <v>3650</v>
      </c>
      <c r="B603" s="12" t="str">
        <f>[3]Name!E2654</f>
        <v>Gorv Narnoliya</v>
      </c>
      <c r="C603" s="13">
        <f>[2]S1!C604</f>
        <v>21000</v>
      </c>
      <c r="D603" s="13">
        <f>[2]S1!D604</f>
        <v>0</v>
      </c>
      <c r="E603" s="26">
        <f>[2]S1!E604</f>
        <v>0</v>
      </c>
      <c r="F603" s="26">
        <f>[2]S1!F604</f>
        <v>0</v>
      </c>
      <c r="G603" s="22">
        <f>[2]S1!G604</f>
        <v>1000</v>
      </c>
      <c r="H603" s="22">
        <f>[2]S1!H604</f>
        <v>0</v>
      </c>
      <c r="I603" s="22">
        <f>[2]S1!I604</f>
        <v>220</v>
      </c>
      <c r="J603" s="13">
        <f>[2]S1!J604</f>
        <v>0</v>
      </c>
      <c r="K603" s="19">
        <f>[2]S1!K604</f>
        <v>1220</v>
      </c>
      <c r="L603" s="52">
        <f>[2]S1!L604</f>
        <v>22000</v>
      </c>
      <c r="M603" s="58">
        <f>[2]S1!M604</f>
        <v>9</v>
      </c>
      <c r="N603" s="49">
        <f>[2]S1!P604</f>
        <v>9782323306</v>
      </c>
      <c r="O603" s="14"/>
    </row>
    <row r="604" spans="1:15" x14ac:dyDescent="0.3">
      <c r="A604" s="11">
        <v>3651</v>
      </c>
      <c r="B604" s="12" t="str">
        <f>[3]Name!E2655</f>
        <v>Sampati Devi Narnoliya</v>
      </c>
      <c r="C604" s="13">
        <f>[2]S1!C605</f>
        <v>21000</v>
      </c>
      <c r="D604" s="13">
        <f>[2]S1!D605</f>
        <v>0</v>
      </c>
      <c r="E604" s="26">
        <f>[2]S1!E605</f>
        <v>0</v>
      </c>
      <c r="F604" s="26">
        <f>[2]S1!F605</f>
        <v>0</v>
      </c>
      <c r="G604" s="22">
        <f>[2]S1!G605</f>
        <v>1000</v>
      </c>
      <c r="H604" s="22">
        <f>[2]S1!H605</f>
        <v>0</v>
      </c>
      <c r="I604" s="22">
        <f>[2]S1!I605</f>
        <v>220</v>
      </c>
      <c r="J604" s="13">
        <f>[2]S1!J605</f>
        <v>0</v>
      </c>
      <c r="K604" s="19">
        <f>[2]S1!K605</f>
        <v>1220</v>
      </c>
      <c r="L604" s="52">
        <f>[2]S1!L605</f>
        <v>22000</v>
      </c>
      <c r="M604" s="58">
        <f>[2]S1!M605</f>
        <v>9</v>
      </c>
      <c r="N604" s="49">
        <f>[2]S1!P605</f>
        <v>9782323306</v>
      </c>
      <c r="O604" s="14"/>
    </row>
    <row r="605" spans="1:15" x14ac:dyDescent="0.3">
      <c r="A605" s="11">
        <v>3652</v>
      </c>
      <c r="B605" s="12" t="str">
        <f>[3]Name!E2656</f>
        <v>Priyansu Narnoliya</v>
      </c>
      <c r="C605" s="13">
        <f>[2]S1!C606</f>
        <v>21000</v>
      </c>
      <c r="D605" s="13">
        <f>[2]S1!D606</f>
        <v>0</v>
      </c>
      <c r="E605" s="26">
        <f>[2]S1!E606</f>
        <v>0</v>
      </c>
      <c r="F605" s="26">
        <f>[2]S1!F606</f>
        <v>0</v>
      </c>
      <c r="G605" s="22">
        <f>[2]S1!G606</f>
        <v>1000</v>
      </c>
      <c r="H605" s="22">
        <f>[2]S1!H606</f>
        <v>0</v>
      </c>
      <c r="I605" s="22">
        <f>[2]S1!I606</f>
        <v>220</v>
      </c>
      <c r="J605" s="13">
        <f>[2]S1!J606</f>
        <v>0</v>
      </c>
      <c r="K605" s="19">
        <f>[2]S1!K606</f>
        <v>1220</v>
      </c>
      <c r="L605" s="52">
        <f>[2]S1!L606</f>
        <v>22000</v>
      </c>
      <c r="M605" s="58">
        <f>[2]S1!M606</f>
        <v>9</v>
      </c>
      <c r="N605" s="49">
        <f>[2]S1!P606</f>
        <v>9782323306</v>
      </c>
      <c r="O605" s="14"/>
    </row>
    <row r="606" spans="1:15" x14ac:dyDescent="0.3">
      <c r="A606" s="11">
        <v>3653</v>
      </c>
      <c r="B606" s="12" t="str">
        <f>[3]Name!E2657</f>
        <v>Ramotar Balai</v>
      </c>
      <c r="C606" s="13">
        <f>[2]S1!C607</f>
        <v>670</v>
      </c>
      <c r="D606" s="13">
        <f>[2]S1!D607</f>
        <v>0</v>
      </c>
      <c r="E606" s="26">
        <f>[2]S1!E607</f>
        <v>200</v>
      </c>
      <c r="F606" s="26">
        <f>[2]S1!F607</f>
        <v>0</v>
      </c>
      <c r="G606" s="22">
        <f>[2]S1!G607</f>
        <v>670</v>
      </c>
      <c r="H606" s="22">
        <f>[2]S1!H607</f>
        <v>0</v>
      </c>
      <c r="I606" s="22">
        <f>[2]S1!I607</f>
        <v>153</v>
      </c>
      <c r="J606" s="13">
        <f>[2]S1!J607</f>
        <v>0</v>
      </c>
      <c r="K606" s="19">
        <f>[2]S1!K607</f>
        <v>1023</v>
      </c>
      <c r="L606" s="52">
        <f>[2]S1!L607</f>
        <v>15310</v>
      </c>
      <c r="M606" s="58">
        <f>[2]S1!M607</f>
        <v>8</v>
      </c>
      <c r="N606" s="49">
        <f>[2]S1!P607</f>
        <v>9950082891</v>
      </c>
      <c r="O606" s="14"/>
    </row>
    <row r="607" spans="1:15" x14ac:dyDescent="0.3">
      <c r="A607" s="11">
        <v>3654</v>
      </c>
      <c r="B607" s="12" t="str">
        <f>[3]Name!E2658</f>
        <v>Ramotar Balai</v>
      </c>
      <c r="C607" s="13">
        <f>[2]S1!C608</f>
        <v>670</v>
      </c>
      <c r="D607" s="13">
        <f>[2]S1!D608</f>
        <v>0</v>
      </c>
      <c r="E607" s="26">
        <f>[2]S1!E608</f>
        <v>200</v>
      </c>
      <c r="F607" s="26">
        <f>[2]S1!F608</f>
        <v>0</v>
      </c>
      <c r="G607" s="22">
        <f>[2]S1!G608</f>
        <v>670</v>
      </c>
      <c r="H607" s="22">
        <f>[2]S1!H608</f>
        <v>0</v>
      </c>
      <c r="I607" s="22">
        <f>[2]S1!I608</f>
        <v>153</v>
      </c>
      <c r="J607" s="13">
        <f>[2]S1!J608</f>
        <v>0</v>
      </c>
      <c r="K607" s="19">
        <f>[2]S1!K608</f>
        <v>1023</v>
      </c>
      <c r="L607" s="52">
        <f>[2]S1!L608</f>
        <v>15310</v>
      </c>
      <c r="M607" s="58">
        <f>[2]S1!M608</f>
        <v>8</v>
      </c>
      <c r="N607" s="49">
        <f>[2]S1!P608</f>
        <v>9950082891</v>
      </c>
      <c r="O607" s="14"/>
    </row>
    <row r="608" spans="1:15" x14ac:dyDescent="0.3">
      <c r="A608" s="11">
        <v>3655</v>
      </c>
      <c r="B608" s="12" t="str">
        <f>[3]Name!E2659</f>
        <v>Ramotar Balai</v>
      </c>
      <c r="C608" s="13">
        <f>[2]S1!C609</f>
        <v>670</v>
      </c>
      <c r="D608" s="13">
        <f>[2]S1!D609</f>
        <v>0</v>
      </c>
      <c r="E608" s="26">
        <f>[2]S1!E609</f>
        <v>200</v>
      </c>
      <c r="F608" s="26">
        <f>[2]S1!F609</f>
        <v>0</v>
      </c>
      <c r="G608" s="22">
        <f>[2]S1!G609</f>
        <v>670</v>
      </c>
      <c r="H608" s="22">
        <f>[2]S1!H609</f>
        <v>0</v>
      </c>
      <c r="I608" s="22">
        <f>[2]S1!I609</f>
        <v>153</v>
      </c>
      <c r="J608" s="13">
        <f>[2]S1!J609</f>
        <v>0</v>
      </c>
      <c r="K608" s="19">
        <f>[2]S1!K609</f>
        <v>1023</v>
      </c>
      <c r="L608" s="52">
        <f>[2]S1!L609</f>
        <v>15310</v>
      </c>
      <c r="M608" s="58">
        <f>[2]S1!M609</f>
        <v>8</v>
      </c>
      <c r="N608" s="49">
        <f>[2]S1!P609</f>
        <v>9950082891</v>
      </c>
      <c r="O608" s="14"/>
    </row>
    <row r="609" spans="1:15" x14ac:dyDescent="0.3">
      <c r="A609" s="11">
        <v>3656</v>
      </c>
      <c r="B609" s="12" t="str">
        <f>[3]Name!E2660</f>
        <v>Yas Balai</v>
      </c>
      <c r="C609" s="13">
        <f>[2]S1!C610</f>
        <v>670</v>
      </c>
      <c r="D609" s="13">
        <f>[2]S1!D610</f>
        <v>0</v>
      </c>
      <c r="E609" s="26">
        <f>[2]S1!E610</f>
        <v>200</v>
      </c>
      <c r="F609" s="26">
        <f>[2]S1!F610</f>
        <v>0</v>
      </c>
      <c r="G609" s="22">
        <f>[2]S1!G610</f>
        <v>670</v>
      </c>
      <c r="H609" s="22">
        <f>[2]S1!H610</f>
        <v>0</v>
      </c>
      <c r="I609" s="22">
        <f>[2]S1!I610</f>
        <v>153</v>
      </c>
      <c r="J609" s="13">
        <f>[2]S1!J610</f>
        <v>0</v>
      </c>
      <c r="K609" s="19">
        <f>[2]S1!K610</f>
        <v>1023</v>
      </c>
      <c r="L609" s="52">
        <f>[2]S1!L610</f>
        <v>15310</v>
      </c>
      <c r="M609" s="58">
        <f>[2]S1!M610</f>
        <v>8</v>
      </c>
      <c r="N609" s="49">
        <f>[2]S1!P610</f>
        <v>9950082891</v>
      </c>
      <c r="O609" s="14"/>
    </row>
    <row r="610" spans="1:15" x14ac:dyDescent="0.3">
      <c r="A610" s="11">
        <v>3657</v>
      </c>
      <c r="B610" s="12" t="str">
        <f>[3]Name!E2661</f>
        <v>Sima Devi Balai</v>
      </c>
      <c r="C610" s="13">
        <f>[2]S1!C611</f>
        <v>670</v>
      </c>
      <c r="D610" s="13">
        <f>[2]S1!D611</f>
        <v>0</v>
      </c>
      <c r="E610" s="26">
        <f>[2]S1!E611</f>
        <v>200</v>
      </c>
      <c r="F610" s="26">
        <f>[2]S1!F611</f>
        <v>0</v>
      </c>
      <c r="G610" s="22">
        <f>[2]S1!G611</f>
        <v>670</v>
      </c>
      <c r="H610" s="22">
        <f>[2]S1!H611</f>
        <v>0</v>
      </c>
      <c r="I610" s="22">
        <f>[2]S1!I611</f>
        <v>153</v>
      </c>
      <c r="J610" s="13">
        <f>[2]S1!J611</f>
        <v>0</v>
      </c>
      <c r="K610" s="19">
        <f>[2]S1!K611</f>
        <v>1023</v>
      </c>
      <c r="L610" s="52">
        <f>[2]S1!L611</f>
        <v>15310</v>
      </c>
      <c r="M610" s="58">
        <f>[2]S1!M611</f>
        <v>8</v>
      </c>
      <c r="N610" s="49">
        <f>[2]S1!P611</f>
        <v>9950082891</v>
      </c>
      <c r="O610" s="14"/>
    </row>
    <row r="611" spans="1:15" x14ac:dyDescent="0.3">
      <c r="A611" s="11">
        <v>3658</v>
      </c>
      <c r="B611" s="12" t="str">
        <f>[3]Name!E2662</f>
        <v>SapanBalai</v>
      </c>
      <c r="C611" s="13">
        <f>[2]S1!C612</f>
        <v>670</v>
      </c>
      <c r="D611" s="13">
        <f>[2]S1!D612</f>
        <v>0</v>
      </c>
      <c r="E611" s="26">
        <f>[2]S1!E612</f>
        <v>200</v>
      </c>
      <c r="F611" s="26">
        <f>[2]S1!F612</f>
        <v>0</v>
      </c>
      <c r="G611" s="22">
        <f>[2]S1!G612</f>
        <v>670</v>
      </c>
      <c r="H611" s="22">
        <f>[2]S1!H612</f>
        <v>0</v>
      </c>
      <c r="I611" s="22">
        <f>[2]S1!I612</f>
        <v>153</v>
      </c>
      <c r="J611" s="13">
        <f>[2]S1!J612</f>
        <v>0</v>
      </c>
      <c r="K611" s="19">
        <f>[2]S1!K612</f>
        <v>1023</v>
      </c>
      <c r="L611" s="52">
        <f>[2]S1!L612</f>
        <v>15310</v>
      </c>
      <c r="M611" s="58">
        <f>[2]S1!M612</f>
        <v>8</v>
      </c>
      <c r="N611" s="49">
        <f>[2]S1!P612</f>
        <v>9950082891</v>
      </c>
      <c r="O611" s="14"/>
    </row>
    <row r="612" spans="1:15" x14ac:dyDescent="0.3">
      <c r="A612" s="11">
        <v>3659</v>
      </c>
      <c r="B612" s="12" t="str">
        <f>[3]Name!E2663</f>
        <v>Hira Lal Bacher</v>
      </c>
      <c r="C612" s="13">
        <f>[2]S1!C613</f>
        <v>0</v>
      </c>
      <c r="D612" s="13">
        <f>[2]S1!D613</f>
        <v>41809</v>
      </c>
      <c r="E612" s="26">
        <f>[2]S1!E613</f>
        <v>5596</v>
      </c>
      <c r="F612" s="26">
        <f>[2]S1!F613</f>
        <v>5990</v>
      </c>
      <c r="G612" s="22">
        <f>[2]S1!G613</f>
        <v>0</v>
      </c>
      <c r="H612" s="22">
        <f>[2]S1!H613</f>
        <v>46271</v>
      </c>
      <c r="I612" s="22">
        <f>[2]S1!I613</f>
        <v>42983</v>
      </c>
      <c r="J612" s="13">
        <f>[2]S1!J613</f>
        <v>1580</v>
      </c>
      <c r="K612" s="19">
        <f>[2]S1!K613</f>
        <v>102420</v>
      </c>
      <c r="L612" s="52">
        <f>[2]S1!L613</f>
        <v>148700</v>
      </c>
      <c r="M612" s="58">
        <f>[2]S1!M613</f>
        <v>28</v>
      </c>
      <c r="N612" s="49">
        <f>[2]S1!P613</f>
        <v>7073015371</v>
      </c>
      <c r="O612" s="14"/>
    </row>
    <row r="613" spans="1:15" x14ac:dyDescent="0.3">
      <c r="A613" s="11">
        <v>3660</v>
      </c>
      <c r="B613" s="12" t="str">
        <f>[3]Name!E2664</f>
        <v>Mukesh Kumar Khandelwal</v>
      </c>
      <c r="C613" s="13">
        <f>[2]S1!C614</f>
        <v>0</v>
      </c>
      <c r="D613" s="13">
        <f>[2]S1!D614</f>
        <v>0</v>
      </c>
      <c r="E613" s="26">
        <f>[2]S1!E614</f>
        <v>200</v>
      </c>
      <c r="F613" s="26">
        <f>[2]S1!F614</f>
        <v>0</v>
      </c>
      <c r="G613" s="22">
        <f>[2]S1!G614</f>
        <v>0</v>
      </c>
      <c r="H613" s="22">
        <f>[2]S1!H614</f>
        <v>0</v>
      </c>
      <c r="I613" s="22">
        <f>[2]S1!I614</f>
        <v>140</v>
      </c>
      <c r="J613" s="13">
        <f>[2]S1!J614</f>
        <v>0</v>
      </c>
      <c r="K613" s="19">
        <f>[2]S1!K614</f>
        <v>340</v>
      </c>
      <c r="L613" s="52">
        <f>[2]S1!L614</f>
        <v>14000</v>
      </c>
      <c r="M613" s="58">
        <f>[2]S1!M614</f>
        <v>1</v>
      </c>
      <c r="N613" s="49">
        <f>[2]S1!P614</f>
        <v>9929252118</v>
      </c>
      <c r="O613" s="14"/>
    </row>
    <row r="614" spans="1:15" x14ac:dyDescent="0.3">
      <c r="A614" s="11">
        <v>3661</v>
      </c>
      <c r="B614" s="12" t="str">
        <f>[3]Name!E2665</f>
        <v>Kiran Devi Khandelwal</v>
      </c>
      <c r="C614" s="13">
        <f>[2]S1!C615</f>
        <v>0</v>
      </c>
      <c r="D614" s="13">
        <f>[2]S1!D615</f>
        <v>0</v>
      </c>
      <c r="E614" s="26">
        <f>[2]S1!E615</f>
        <v>200</v>
      </c>
      <c r="F614" s="26">
        <f>[2]S1!F615</f>
        <v>0</v>
      </c>
      <c r="G614" s="22">
        <f>[2]S1!G615</f>
        <v>0</v>
      </c>
      <c r="H614" s="22">
        <f>[2]S1!H615</f>
        <v>0</v>
      </c>
      <c r="I614" s="22">
        <f>[2]S1!I615</f>
        <v>140</v>
      </c>
      <c r="J614" s="13">
        <f>[2]S1!J615</f>
        <v>0</v>
      </c>
      <c r="K614" s="19">
        <f>[2]S1!K615</f>
        <v>340</v>
      </c>
      <c r="L614" s="52">
        <f>[2]S1!L615</f>
        <v>14000</v>
      </c>
      <c r="M614" s="58">
        <f>[2]S1!M615</f>
        <v>1</v>
      </c>
      <c r="N614" s="49">
        <f>[2]S1!P615</f>
        <v>9929252118</v>
      </c>
      <c r="O614" s="14"/>
    </row>
    <row r="615" spans="1:15" x14ac:dyDescent="0.3">
      <c r="A615" s="11">
        <v>3662</v>
      </c>
      <c r="B615" s="12" t="str">
        <f>[3]Name!E2666</f>
        <v>Jesika Khandelwal</v>
      </c>
      <c r="C615" s="13">
        <f>[2]S1!C616</f>
        <v>0</v>
      </c>
      <c r="D615" s="13">
        <f>[2]S1!D616</f>
        <v>0</v>
      </c>
      <c r="E615" s="26">
        <f>[2]S1!E616</f>
        <v>200</v>
      </c>
      <c r="F615" s="26">
        <f>[2]S1!F616</f>
        <v>0</v>
      </c>
      <c r="G615" s="22">
        <f>[2]S1!G616</f>
        <v>0</v>
      </c>
      <c r="H615" s="22">
        <f>[2]S1!H616</f>
        <v>0</v>
      </c>
      <c r="I615" s="22">
        <f>[2]S1!I616</f>
        <v>140</v>
      </c>
      <c r="J615" s="13">
        <f>[2]S1!J616</f>
        <v>0</v>
      </c>
      <c r="K615" s="19">
        <f>[2]S1!K616</f>
        <v>340</v>
      </c>
      <c r="L615" s="52">
        <f>[2]S1!L616</f>
        <v>14000</v>
      </c>
      <c r="M615" s="58">
        <f>[2]S1!M616</f>
        <v>1</v>
      </c>
      <c r="N615" s="49">
        <f>[2]S1!P616</f>
        <v>9929252118</v>
      </c>
      <c r="O615" s="14"/>
    </row>
    <row r="616" spans="1:15" x14ac:dyDescent="0.3">
      <c r="A616" s="11">
        <v>3663</v>
      </c>
      <c r="B616" s="12" t="str">
        <f>[3]Name!E2667</f>
        <v>radip Kumar Pachariya</v>
      </c>
      <c r="C616" s="13">
        <f>[2]S1!C617</f>
        <v>500</v>
      </c>
      <c r="D616" s="13">
        <f>[2]S1!D617</f>
        <v>0</v>
      </c>
      <c r="E616" s="26">
        <f>[2]S1!E617</f>
        <v>200</v>
      </c>
      <c r="F616" s="26">
        <f>[2]S1!F617</f>
        <v>0</v>
      </c>
      <c r="G616" s="22">
        <f>[2]S1!G617</f>
        <v>500</v>
      </c>
      <c r="H616" s="22">
        <f>[2]S1!H617</f>
        <v>0</v>
      </c>
      <c r="I616" s="22">
        <f>[2]S1!I617</f>
        <v>75</v>
      </c>
      <c r="J616" s="13">
        <f>[2]S1!J617</f>
        <v>0</v>
      </c>
      <c r="K616" s="19">
        <f>[2]S1!K617</f>
        <v>775</v>
      </c>
      <c r="L616" s="52">
        <f>[2]S1!L617</f>
        <v>7500</v>
      </c>
      <c r="M616" s="58">
        <f>[2]S1!M617</f>
        <v>26</v>
      </c>
      <c r="N616" s="49">
        <f>[2]S1!P617</f>
        <v>9829533676</v>
      </c>
      <c r="O616" s="14"/>
    </row>
    <row r="617" spans="1:15" x14ac:dyDescent="0.3">
      <c r="A617" s="11">
        <v>3664</v>
      </c>
      <c r="B617" s="12" t="str">
        <f>[3]Name!E2668</f>
        <v>Kishan Lal Sachoriya</v>
      </c>
      <c r="C617" s="13">
        <f>[2]S1!C618</f>
        <v>0</v>
      </c>
      <c r="D617" s="13">
        <f>[2]S1!D618</f>
        <v>0</v>
      </c>
      <c r="E617" s="26">
        <f>[2]S1!E618</f>
        <v>200</v>
      </c>
      <c r="F617" s="26">
        <f>[2]S1!F618</f>
        <v>0</v>
      </c>
      <c r="G617" s="22">
        <f>[2]S1!G618</f>
        <v>0</v>
      </c>
      <c r="H617" s="22">
        <f>[2]S1!H618</f>
        <v>0</v>
      </c>
      <c r="I617" s="22">
        <f>[2]S1!I618</f>
        <v>0</v>
      </c>
      <c r="J617" s="13">
        <f>[2]S1!J618</f>
        <v>0</v>
      </c>
      <c r="K617" s="19">
        <f>[2]S1!K618</f>
        <v>200</v>
      </c>
      <c r="L617" s="52">
        <f>[2]S1!L618</f>
        <v>0</v>
      </c>
      <c r="M617" s="58">
        <f>[2]S1!M618</f>
        <v>0</v>
      </c>
      <c r="N617" s="49">
        <f>[2]S1!P618</f>
        <v>9602956137</v>
      </c>
      <c r="O617" s="14"/>
    </row>
    <row r="618" spans="1:15" x14ac:dyDescent="0.3">
      <c r="A618" s="11">
        <v>3665</v>
      </c>
      <c r="B618" s="12" t="str">
        <f>[3]Name!E2669</f>
        <v>Bhagavan Sahay Suniya</v>
      </c>
      <c r="C618" s="13">
        <f>[2]S1!C619</f>
        <v>0</v>
      </c>
      <c r="D618" s="13">
        <f>[2]S1!D619</f>
        <v>0</v>
      </c>
      <c r="E618" s="26">
        <f>[2]S1!E619</f>
        <v>0</v>
      </c>
      <c r="F618" s="26">
        <f>[2]S1!F619</f>
        <v>0</v>
      </c>
      <c r="G618" s="22">
        <f>[2]S1!G619</f>
        <v>0</v>
      </c>
      <c r="H618" s="22">
        <f>[2]S1!H619</f>
        <v>0</v>
      </c>
      <c r="I618" s="22">
        <f>[2]S1!I619</f>
        <v>0</v>
      </c>
      <c r="J618" s="13">
        <f>[2]S1!J619</f>
        <v>0</v>
      </c>
      <c r="K618" s="19">
        <f>[2]S1!K619</f>
        <v>0</v>
      </c>
      <c r="L618" s="52">
        <f>[2]S1!L619</f>
        <v>0</v>
      </c>
      <c r="M618" s="58">
        <f>[2]S1!M619</f>
        <v>0</v>
      </c>
      <c r="N618" s="49">
        <f>[2]S1!P619</f>
        <v>9783595811</v>
      </c>
      <c r="O618" s="14"/>
    </row>
    <row r="619" spans="1:15" x14ac:dyDescent="0.3">
      <c r="A619" s="11">
        <v>3666</v>
      </c>
      <c r="B619" s="12" t="str">
        <f>[3]Name!E2670</f>
        <v>Lakki Kumar Suniya</v>
      </c>
      <c r="C619" s="13">
        <f>[2]S1!C620</f>
        <v>0</v>
      </c>
      <c r="D619" s="13">
        <f>[2]S1!D620</f>
        <v>0</v>
      </c>
      <c r="E619" s="26">
        <f>[2]S1!E620</f>
        <v>0</v>
      </c>
      <c r="F619" s="26">
        <f>[2]S1!F620</f>
        <v>0</v>
      </c>
      <c r="G619" s="22">
        <f>[2]S1!G620</f>
        <v>0</v>
      </c>
      <c r="H619" s="22">
        <f>[2]S1!H620</f>
        <v>0</v>
      </c>
      <c r="I619" s="22">
        <f>[2]S1!I620</f>
        <v>0</v>
      </c>
      <c r="J619" s="13">
        <f>[2]S1!J620</f>
        <v>0</v>
      </c>
      <c r="K619" s="19">
        <f>[2]S1!K620</f>
        <v>0</v>
      </c>
      <c r="L619" s="52">
        <f>[2]S1!L620</f>
        <v>0</v>
      </c>
      <c r="M619" s="58">
        <f>[2]S1!M620</f>
        <v>0</v>
      </c>
      <c r="N619" s="49">
        <f>[2]S1!P620</f>
        <v>9783595811</v>
      </c>
      <c r="O619" s="14"/>
    </row>
    <row r="620" spans="1:15" x14ac:dyDescent="0.3">
      <c r="A620" s="11">
        <v>3667</v>
      </c>
      <c r="B620" s="12" t="str">
        <f>[3]Name!E2671</f>
        <v>Jyoti Kumari Suniya</v>
      </c>
      <c r="C620" s="13">
        <f>[2]S1!C621</f>
        <v>0</v>
      </c>
      <c r="D620" s="13">
        <f>[2]S1!D621</f>
        <v>0</v>
      </c>
      <c r="E620" s="26">
        <f>[2]S1!E621</f>
        <v>0</v>
      </c>
      <c r="F620" s="26">
        <f>[2]S1!F621</f>
        <v>0</v>
      </c>
      <c r="G620" s="22">
        <f>[2]S1!G621</f>
        <v>0</v>
      </c>
      <c r="H620" s="22">
        <f>[2]S1!H621</f>
        <v>0</v>
      </c>
      <c r="I620" s="22">
        <f>[2]S1!I621</f>
        <v>0</v>
      </c>
      <c r="J620" s="13">
        <f>[2]S1!J621</f>
        <v>0</v>
      </c>
      <c r="K620" s="19">
        <f>[2]S1!K621</f>
        <v>0</v>
      </c>
      <c r="L620" s="52">
        <f>[2]S1!L621</f>
        <v>0</v>
      </c>
      <c r="M620" s="58">
        <f>[2]S1!M621</f>
        <v>0</v>
      </c>
      <c r="N620" s="49">
        <f>[2]S1!P621</f>
        <v>9783595811</v>
      </c>
      <c r="O620" s="14"/>
    </row>
    <row r="621" spans="1:15" x14ac:dyDescent="0.3">
      <c r="A621" s="11">
        <v>3668</v>
      </c>
      <c r="B621" s="12" t="str">
        <f>[3]Name!E2672</f>
        <v>Savita Kumari Suniya</v>
      </c>
      <c r="C621" s="13">
        <f>[2]S1!C622</f>
        <v>0</v>
      </c>
      <c r="D621" s="13">
        <f>[2]S1!D622</f>
        <v>0</v>
      </c>
      <c r="E621" s="26">
        <f>[2]S1!E622</f>
        <v>0</v>
      </c>
      <c r="F621" s="26">
        <f>[2]S1!F622</f>
        <v>0</v>
      </c>
      <c r="G621" s="22">
        <f>[2]S1!G622</f>
        <v>0</v>
      </c>
      <c r="H621" s="22">
        <f>[2]S1!H622</f>
        <v>0</v>
      </c>
      <c r="I621" s="22">
        <f>[2]S1!I622</f>
        <v>0</v>
      </c>
      <c r="J621" s="13">
        <f>[2]S1!J622</f>
        <v>0</v>
      </c>
      <c r="K621" s="19">
        <f>[2]S1!K622</f>
        <v>0</v>
      </c>
      <c r="L621" s="52">
        <f>[2]S1!L622</f>
        <v>0</v>
      </c>
      <c r="M621" s="58">
        <f>[2]S1!M622</f>
        <v>0</v>
      </c>
      <c r="N621" s="49">
        <f>[2]S1!P622</f>
        <v>9783595811</v>
      </c>
      <c r="O621" s="14"/>
    </row>
    <row r="622" spans="1:15" x14ac:dyDescent="0.3">
      <c r="A622" s="11">
        <v>3669</v>
      </c>
      <c r="B622" s="12" t="str">
        <f>[3]Name!E2673</f>
        <v>Anita Devi Suniya</v>
      </c>
      <c r="C622" s="13">
        <f>[2]S1!C623</f>
        <v>0</v>
      </c>
      <c r="D622" s="13">
        <f>[2]S1!D623</f>
        <v>0</v>
      </c>
      <c r="E622" s="26">
        <f>[2]S1!E623</f>
        <v>0</v>
      </c>
      <c r="F622" s="26">
        <f>[2]S1!F623</f>
        <v>0</v>
      </c>
      <c r="G622" s="22">
        <f>[2]S1!G623</f>
        <v>0</v>
      </c>
      <c r="H622" s="22">
        <f>[2]S1!H623</f>
        <v>0</v>
      </c>
      <c r="I622" s="22">
        <f>[2]S1!I623</f>
        <v>0</v>
      </c>
      <c r="J622" s="13">
        <f>[2]S1!J623</f>
        <v>0</v>
      </c>
      <c r="K622" s="19">
        <f>[2]S1!K623</f>
        <v>0</v>
      </c>
      <c r="L622" s="52">
        <f>[2]S1!L623</f>
        <v>0</v>
      </c>
      <c r="M622" s="58">
        <f>[2]S1!M623</f>
        <v>0</v>
      </c>
      <c r="N622" s="49">
        <f>[2]S1!P623</f>
        <v>9783595811</v>
      </c>
      <c r="O622" s="14"/>
    </row>
    <row r="623" spans="1:15" x14ac:dyDescent="0.3">
      <c r="A623" s="11">
        <v>3670</v>
      </c>
      <c r="B623" s="12" t="str">
        <f>[3]Name!E2674</f>
        <v>Suva Lal Ghodeta</v>
      </c>
      <c r="C623" s="13">
        <f>[2]S1!C624</f>
        <v>500</v>
      </c>
      <c r="D623" s="13">
        <f>[2]S1!D624</f>
        <v>0</v>
      </c>
      <c r="E623" s="26">
        <f>[2]S1!E624</f>
        <v>200</v>
      </c>
      <c r="F623" s="26">
        <f>[2]S1!F624</f>
        <v>0</v>
      </c>
      <c r="G623" s="22">
        <f>[2]S1!G624</f>
        <v>500</v>
      </c>
      <c r="H623" s="22">
        <f>[2]S1!H624</f>
        <v>0</v>
      </c>
      <c r="I623" s="22">
        <f>[2]S1!I624</f>
        <v>90</v>
      </c>
      <c r="J623" s="13">
        <f>[2]S1!J624</f>
        <v>0</v>
      </c>
      <c r="K623" s="19">
        <f>[2]S1!K624</f>
        <v>790</v>
      </c>
      <c r="L623" s="52">
        <f>[2]S1!L624</f>
        <v>9000</v>
      </c>
      <c r="M623" s="58">
        <f>[2]S1!M624</f>
        <v>23</v>
      </c>
      <c r="N623" s="49">
        <f>[2]S1!P624</f>
        <v>7742288070</v>
      </c>
      <c r="O623" s="14"/>
    </row>
    <row r="624" spans="1:15" x14ac:dyDescent="0.3">
      <c r="A624" s="11">
        <v>3671</v>
      </c>
      <c r="B624" s="12" t="str">
        <f>[3]Name!E2675</f>
        <v>Visal Kumar Ghodeta</v>
      </c>
      <c r="C624" s="13">
        <f>[2]S1!C625</f>
        <v>500</v>
      </c>
      <c r="D624" s="13">
        <f>[2]S1!D625</f>
        <v>0</v>
      </c>
      <c r="E624" s="26">
        <f>[2]S1!E625</f>
        <v>200</v>
      </c>
      <c r="F624" s="26">
        <f>[2]S1!F625</f>
        <v>0</v>
      </c>
      <c r="G624" s="22">
        <f>[2]S1!G625</f>
        <v>500</v>
      </c>
      <c r="H624" s="22">
        <f>[2]S1!H625</f>
        <v>0</v>
      </c>
      <c r="I624" s="22">
        <f>[2]S1!I625</f>
        <v>115</v>
      </c>
      <c r="J624" s="13">
        <f>[2]S1!J625</f>
        <v>0</v>
      </c>
      <c r="K624" s="19">
        <f>[2]S1!K625</f>
        <v>815</v>
      </c>
      <c r="L624" s="52">
        <f>[2]S1!L625</f>
        <v>11500</v>
      </c>
      <c r="M624" s="58">
        <f>[2]S1!M625</f>
        <v>18</v>
      </c>
      <c r="N624" s="49">
        <f>[2]S1!P625</f>
        <v>7742288070</v>
      </c>
      <c r="O624" s="14"/>
    </row>
    <row r="625" spans="1:15" x14ac:dyDescent="0.3">
      <c r="A625" s="11">
        <v>3672</v>
      </c>
      <c r="B625" s="12" t="str">
        <f>[3]Name!E2676</f>
        <v>Visal Kumar Ghodeta</v>
      </c>
      <c r="C625" s="13">
        <f>[2]S1!C626</f>
        <v>500</v>
      </c>
      <c r="D625" s="13">
        <f>[2]S1!D626</f>
        <v>0</v>
      </c>
      <c r="E625" s="26">
        <f>[2]S1!E626</f>
        <v>200</v>
      </c>
      <c r="F625" s="26">
        <f>[2]S1!F626</f>
        <v>0</v>
      </c>
      <c r="G625" s="22">
        <f>[2]S1!G626</f>
        <v>500</v>
      </c>
      <c r="H625" s="22">
        <f>[2]S1!H626</f>
        <v>0</v>
      </c>
      <c r="I625" s="22">
        <f>[2]S1!I626</f>
        <v>90</v>
      </c>
      <c r="J625" s="13">
        <f>[2]S1!J626</f>
        <v>0</v>
      </c>
      <c r="K625" s="19">
        <f>[2]S1!K626</f>
        <v>790</v>
      </c>
      <c r="L625" s="52">
        <f>[2]S1!L626</f>
        <v>9000</v>
      </c>
      <c r="M625" s="58">
        <f>[2]S1!M626</f>
        <v>23</v>
      </c>
      <c r="N625" s="49">
        <f>[2]S1!P626</f>
        <v>7742288070</v>
      </c>
      <c r="O625" s="14"/>
    </row>
    <row r="626" spans="1:15" x14ac:dyDescent="0.3">
      <c r="A626" s="11">
        <v>3673</v>
      </c>
      <c r="B626" s="12" t="str">
        <f>[3]Name!E2677</f>
        <v>Visal Kumar Ghodeta</v>
      </c>
      <c r="C626" s="13">
        <f>[2]S1!C627</f>
        <v>500</v>
      </c>
      <c r="D626" s="13">
        <f>[2]S1!D627</f>
        <v>0</v>
      </c>
      <c r="E626" s="26">
        <f>[2]S1!E627</f>
        <v>200</v>
      </c>
      <c r="F626" s="26">
        <f>[2]S1!F627</f>
        <v>0</v>
      </c>
      <c r="G626" s="22">
        <f>[2]S1!G627</f>
        <v>500</v>
      </c>
      <c r="H626" s="22">
        <f>[2]S1!H627</f>
        <v>0</v>
      </c>
      <c r="I626" s="22">
        <f>[2]S1!I627</f>
        <v>90</v>
      </c>
      <c r="J626" s="13">
        <f>[2]S1!J627</f>
        <v>0</v>
      </c>
      <c r="K626" s="19">
        <f>[2]S1!K627</f>
        <v>790</v>
      </c>
      <c r="L626" s="52">
        <f>[2]S1!L627</f>
        <v>9000</v>
      </c>
      <c r="M626" s="58">
        <f>[2]S1!M627</f>
        <v>23</v>
      </c>
      <c r="N626" s="49">
        <f>[2]S1!P627</f>
        <v>7742288070</v>
      </c>
      <c r="O626" s="14"/>
    </row>
    <row r="627" spans="1:15" x14ac:dyDescent="0.3">
      <c r="A627" s="11">
        <v>3674</v>
      </c>
      <c r="B627" s="12" t="str">
        <f>[3]Name!E2678</f>
        <v>Om Prakash Bunkar</v>
      </c>
      <c r="C627" s="13">
        <f>[2]S1!C628</f>
        <v>0</v>
      </c>
      <c r="D627" s="13">
        <f>[2]S1!D628</f>
        <v>11663</v>
      </c>
      <c r="E627" s="26">
        <f>[2]S1!E628</f>
        <v>5199</v>
      </c>
      <c r="F627" s="26">
        <f>[2]S1!F628</f>
        <v>5017</v>
      </c>
      <c r="G627" s="22">
        <f>[2]S1!G628</f>
        <v>4819</v>
      </c>
      <c r="H627" s="22">
        <f>[2]S1!H628</f>
        <v>9562</v>
      </c>
      <c r="I627" s="22">
        <f>[2]S1!I628</f>
        <v>1246</v>
      </c>
      <c r="J627" s="13">
        <f>[2]S1!J628</f>
        <v>0</v>
      </c>
      <c r="K627" s="19">
        <f>[2]S1!K628</f>
        <v>25843</v>
      </c>
      <c r="L627" s="52">
        <f>[2]S1!L628</f>
        <v>4819</v>
      </c>
      <c r="M627" s="58">
        <f>[2]S1!M628</f>
        <v>28</v>
      </c>
      <c r="N627" s="49">
        <f>[2]S1!P628</f>
        <v>9929222498</v>
      </c>
      <c r="O627" s="14"/>
    </row>
    <row r="628" spans="1:15" x14ac:dyDescent="0.3">
      <c r="A628" s="11">
        <v>3675</v>
      </c>
      <c r="B628" s="12" t="str">
        <f>[3]Name!E2679</f>
        <v>Tulsi Ram Bagadi</v>
      </c>
      <c r="C628" s="13">
        <f>[2]S1!C629</f>
        <v>0</v>
      </c>
      <c r="D628" s="13">
        <f>[2]S1!D629</f>
        <v>0</v>
      </c>
      <c r="E628" s="26">
        <f>[2]S1!E629</f>
        <v>200</v>
      </c>
      <c r="F628" s="26">
        <f>[2]S1!F629</f>
        <v>0</v>
      </c>
      <c r="G628" s="22">
        <f>[2]S1!G629</f>
        <v>0</v>
      </c>
      <c r="H628" s="22">
        <f>[2]S1!H629</f>
        <v>0</v>
      </c>
      <c r="I628" s="22">
        <f>[2]S1!I629</f>
        <v>296</v>
      </c>
      <c r="J628" s="13">
        <f>[2]S1!J629</f>
        <v>0</v>
      </c>
      <c r="K628" s="19">
        <f>[2]S1!K629</f>
        <v>496</v>
      </c>
      <c r="L628" s="52">
        <f>[2]S1!L629</f>
        <v>29588</v>
      </c>
      <c r="M628" s="58">
        <f>[2]S1!M629</f>
        <v>28</v>
      </c>
      <c r="N628" s="49">
        <f>[2]S1!P629</f>
        <v>8946961846</v>
      </c>
      <c r="O628" s="14"/>
    </row>
    <row r="629" spans="1:15" x14ac:dyDescent="0.3">
      <c r="A629" s="11">
        <v>3676</v>
      </c>
      <c r="B629" s="12" t="str">
        <f>[3]Name!E2680</f>
        <v>Kailash Chand Kandela</v>
      </c>
      <c r="C629" s="13">
        <f>[2]S1!C630</f>
        <v>0</v>
      </c>
      <c r="D629" s="13">
        <f>[2]S1!D630</f>
        <v>23061</v>
      </c>
      <c r="E629" s="26">
        <f>[2]S1!E630</f>
        <v>5600</v>
      </c>
      <c r="F629" s="26">
        <f>[2]S1!F630</f>
        <v>5999</v>
      </c>
      <c r="G629" s="22">
        <f>[2]S1!G630</f>
        <v>0</v>
      </c>
      <c r="H629" s="22">
        <f>[2]S1!H630</f>
        <v>22827</v>
      </c>
      <c r="I629" s="22">
        <f>[2]S1!I630</f>
        <v>21703</v>
      </c>
      <c r="J629" s="13">
        <f>[2]S1!J630</f>
        <v>200</v>
      </c>
      <c r="K629" s="19">
        <f>[2]S1!K630</f>
        <v>56329</v>
      </c>
      <c r="L629" s="52">
        <f>[2]S1!L630</f>
        <v>92888</v>
      </c>
      <c r="M629" s="58">
        <f>[2]S1!M630</f>
        <v>28</v>
      </c>
      <c r="N629" s="49">
        <f>[2]S1!P630</f>
        <v>9828189201</v>
      </c>
      <c r="O629" s="14"/>
    </row>
    <row r="630" spans="1:15" x14ac:dyDescent="0.3">
      <c r="A630" s="11">
        <v>3677</v>
      </c>
      <c r="B630" s="12" t="str">
        <f>[3]Name!E2681</f>
        <v>Mangal Ram Dokhoriya</v>
      </c>
      <c r="C630" s="13">
        <f>[2]S1!C631</f>
        <v>4000</v>
      </c>
      <c r="D630" s="13">
        <f>[2]S1!D631</f>
        <v>0</v>
      </c>
      <c r="E630" s="26">
        <f>[2]S1!E631</f>
        <v>200</v>
      </c>
      <c r="F630" s="26">
        <f>[2]S1!F631</f>
        <v>0</v>
      </c>
      <c r="G630" s="22">
        <f>[2]S1!G631</f>
        <v>4000</v>
      </c>
      <c r="H630" s="22">
        <f>[2]S1!H631</f>
        <v>0</v>
      </c>
      <c r="I630" s="22">
        <f>[2]S1!I631</f>
        <v>400</v>
      </c>
      <c r="J630" s="13">
        <f>[2]S1!J631</f>
        <v>0</v>
      </c>
      <c r="K630" s="19">
        <f>[2]S1!K631</f>
        <v>4600</v>
      </c>
      <c r="L630" s="52">
        <f>[2]S1!L631</f>
        <v>40000</v>
      </c>
      <c r="M630" s="58">
        <f>[2]S1!M631</f>
        <v>6</v>
      </c>
      <c r="N630" s="49">
        <f>[2]S1!P631</f>
        <v>8003819988</v>
      </c>
      <c r="O630" s="14"/>
    </row>
    <row r="631" spans="1:15" x14ac:dyDescent="0.3">
      <c r="A631" s="11">
        <v>3678</v>
      </c>
      <c r="B631" s="12" t="str">
        <f>[3]Name!E2682</f>
        <v>Sona Kimari Dokhoriya</v>
      </c>
      <c r="C631" s="13">
        <f>[2]S1!C632</f>
        <v>0</v>
      </c>
      <c r="D631" s="13">
        <f>[2]S1!D632</f>
        <v>0</v>
      </c>
      <c r="E631" s="26">
        <f>[2]S1!E632</f>
        <v>200</v>
      </c>
      <c r="F631" s="26">
        <f>[2]S1!F632</f>
        <v>0</v>
      </c>
      <c r="G631" s="22">
        <f>[2]S1!G632</f>
        <v>4793</v>
      </c>
      <c r="H631" s="22">
        <f>[2]S1!H632</f>
        <v>0</v>
      </c>
      <c r="I631" s="22">
        <f>[2]S1!I632</f>
        <v>48</v>
      </c>
      <c r="J631" s="13">
        <f>[2]S1!J632</f>
        <v>0</v>
      </c>
      <c r="K631" s="19">
        <f>[2]S1!K632</f>
        <v>5041</v>
      </c>
      <c r="L631" s="52">
        <f>[2]S1!L632</f>
        <v>4793</v>
      </c>
      <c r="M631" s="58">
        <f>[2]S1!M632</f>
        <v>6</v>
      </c>
      <c r="N631" s="49">
        <f>[2]S1!P632</f>
        <v>8003819988</v>
      </c>
      <c r="O631" s="14"/>
    </row>
    <row r="632" spans="1:15" x14ac:dyDescent="0.3">
      <c r="A632" s="11">
        <v>3679</v>
      </c>
      <c r="B632" s="12" t="str">
        <f>[3]Name!E2683</f>
        <v>Priya Kimari Dokhoriya</v>
      </c>
      <c r="C632" s="13">
        <f>[2]S1!C633</f>
        <v>0</v>
      </c>
      <c r="D632" s="13">
        <f>[2]S1!D633</f>
        <v>0</v>
      </c>
      <c r="E632" s="26">
        <f>[2]S1!E633</f>
        <v>200</v>
      </c>
      <c r="F632" s="26">
        <f>[2]S1!F633</f>
        <v>0</v>
      </c>
      <c r="G632" s="22">
        <f>[2]S1!G633</f>
        <v>0</v>
      </c>
      <c r="H632" s="22">
        <f>[2]S1!H633</f>
        <v>0</v>
      </c>
      <c r="I632" s="22">
        <f>[2]S1!I633</f>
        <v>0</v>
      </c>
      <c r="J632" s="13">
        <f>[2]S1!J633</f>
        <v>0</v>
      </c>
      <c r="K632" s="19">
        <f>[2]S1!K633</f>
        <v>200</v>
      </c>
      <c r="L632" s="52">
        <f>[2]S1!L633</f>
        <v>0</v>
      </c>
      <c r="M632" s="58">
        <f>[2]S1!M633</f>
        <v>0</v>
      </c>
      <c r="N632" s="49">
        <f>[2]S1!P633</f>
        <v>8003819988</v>
      </c>
      <c r="O632" s="14"/>
    </row>
    <row r="633" spans="1:15" x14ac:dyDescent="0.3">
      <c r="A633" s="11">
        <v>3680</v>
      </c>
      <c r="B633" s="12" t="str">
        <f>[3]Name!E2684</f>
        <v>Khusi Kimari Dokhoriya</v>
      </c>
      <c r="C633" s="13">
        <f>[2]S1!C634</f>
        <v>0</v>
      </c>
      <c r="D633" s="13">
        <f>[2]S1!D634</f>
        <v>0</v>
      </c>
      <c r="E633" s="26">
        <f>[2]S1!E634</f>
        <v>200</v>
      </c>
      <c r="F633" s="26">
        <f>[2]S1!F634</f>
        <v>0</v>
      </c>
      <c r="G633" s="22">
        <f>[2]S1!G634</f>
        <v>0</v>
      </c>
      <c r="H633" s="22">
        <f>[2]S1!H634</f>
        <v>0</v>
      </c>
      <c r="I633" s="22">
        <f>[2]S1!I634</f>
        <v>0</v>
      </c>
      <c r="J633" s="13">
        <f>[2]S1!J634</f>
        <v>0</v>
      </c>
      <c r="K633" s="19">
        <f>[2]S1!K634</f>
        <v>200</v>
      </c>
      <c r="L633" s="52">
        <f>[2]S1!L634</f>
        <v>0</v>
      </c>
      <c r="M633" s="58">
        <f>[2]S1!M634</f>
        <v>0</v>
      </c>
      <c r="N633" s="49">
        <f>[2]S1!P634</f>
        <v>8003819988</v>
      </c>
      <c r="O633" s="14"/>
    </row>
    <row r="634" spans="1:15" x14ac:dyDescent="0.3">
      <c r="A634" s="11">
        <v>3681</v>
      </c>
      <c r="B634" s="12" t="str">
        <f>[3]Name!E2685</f>
        <v xml:space="preserve">Kailash Chand Dokhoriya </v>
      </c>
      <c r="C634" s="13">
        <f>[2]S1!C635</f>
        <v>250</v>
      </c>
      <c r="D634" s="13">
        <f>[2]S1!D635</f>
        <v>0</v>
      </c>
      <c r="E634" s="26">
        <f>[2]S1!E635</f>
        <v>200</v>
      </c>
      <c r="F634" s="26">
        <f>[2]S1!F635</f>
        <v>0</v>
      </c>
      <c r="G634" s="22">
        <f>[2]S1!G635</f>
        <v>0</v>
      </c>
      <c r="H634" s="22">
        <f>[2]S1!H635</f>
        <v>0</v>
      </c>
      <c r="I634" s="22">
        <f>[2]S1!I635</f>
        <v>265</v>
      </c>
      <c r="J634" s="13">
        <f>[2]S1!J635</f>
        <v>0</v>
      </c>
      <c r="K634" s="19">
        <f>[2]S1!K635</f>
        <v>465</v>
      </c>
      <c r="L634" s="52">
        <f>[2]S1!L635</f>
        <v>26500</v>
      </c>
      <c r="M634" s="58">
        <f>[2]S1!M635</f>
        <v>7</v>
      </c>
      <c r="N634" s="49">
        <f>[2]S1!P635</f>
        <v>9982447051</v>
      </c>
      <c r="O634" s="14"/>
    </row>
    <row r="635" spans="1:15" x14ac:dyDescent="0.3">
      <c r="A635" s="11">
        <v>3682</v>
      </c>
      <c r="B635" s="12" t="str">
        <f>[3]Name!E2686</f>
        <v>Om Prakash Dokhoriya</v>
      </c>
      <c r="C635" s="13">
        <f>[2]S1!C636</f>
        <v>1000</v>
      </c>
      <c r="D635" s="13">
        <f>[2]S1!D636</f>
        <v>0</v>
      </c>
      <c r="E635" s="26">
        <f>[2]S1!E636</f>
        <v>0</v>
      </c>
      <c r="F635" s="26">
        <f>[2]S1!F636</f>
        <v>0</v>
      </c>
      <c r="G635" s="22">
        <f>[2]S1!G636</f>
        <v>0</v>
      </c>
      <c r="H635" s="22">
        <f>[2]S1!H636</f>
        <v>0</v>
      </c>
      <c r="I635" s="22">
        <f>[2]S1!I636</f>
        <v>2</v>
      </c>
      <c r="J635" s="13">
        <f>[2]S1!J636</f>
        <v>0</v>
      </c>
      <c r="K635" s="19">
        <f>[2]S1!K636</f>
        <v>2</v>
      </c>
      <c r="L635" s="52">
        <f>[2]S1!L636</f>
        <v>202</v>
      </c>
      <c r="M635" s="58">
        <f>[2]S1!M636</f>
        <v>6</v>
      </c>
      <c r="N635" s="49">
        <f>[2]S1!P636</f>
        <v>7300422818</v>
      </c>
      <c r="O635" s="14"/>
    </row>
    <row r="636" spans="1:15" x14ac:dyDescent="0.3">
      <c r="A636" s="11">
        <v>3683</v>
      </c>
      <c r="B636" s="12" t="str">
        <f>[3]Name!E2687</f>
        <v>Raju Lal Dokhoriya</v>
      </c>
      <c r="C636" s="13">
        <f>[2]S1!C637</f>
        <v>1000</v>
      </c>
      <c r="D636" s="13">
        <f>[2]S1!D637</f>
        <v>0</v>
      </c>
      <c r="E636" s="26">
        <f>[2]S1!E637</f>
        <v>0</v>
      </c>
      <c r="F636" s="26">
        <f>[2]S1!F637</f>
        <v>0</v>
      </c>
      <c r="G636" s="22">
        <f>[2]S1!G637</f>
        <v>0</v>
      </c>
      <c r="H636" s="22">
        <f>[2]S1!H637</f>
        <v>0</v>
      </c>
      <c r="I636" s="22">
        <f>[2]S1!I637</f>
        <v>236</v>
      </c>
      <c r="J636" s="13">
        <f>[2]S1!J637</f>
        <v>0</v>
      </c>
      <c r="K636" s="19">
        <f>[2]S1!K637</f>
        <v>236</v>
      </c>
      <c r="L636" s="52">
        <f>[2]S1!L637</f>
        <v>23582</v>
      </c>
      <c r="M636" s="58">
        <f>[2]S1!M637</f>
        <v>6</v>
      </c>
      <c r="N636" s="49">
        <f>[2]S1!P637</f>
        <v>7300422818</v>
      </c>
      <c r="O636" s="14"/>
    </row>
    <row r="637" spans="1:15" x14ac:dyDescent="0.3">
      <c r="A637" s="11">
        <v>3684</v>
      </c>
      <c r="B637" s="12" t="str">
        <f>[3]Name!E2688</f>
        <v>Sayra Devi  Dokhoriya</v>
      </c>
      <c r="C637" s="13">
        <f>[2]S1!C638</f>
        <v>1000</v>
      </c>
      <c r="D637" s="13">
        <f>[2]S1!D638</f>
        <v>0</v>
      </c>
      <c r="E637" s="26">
        <f>[2]S1!E638</f>
        <v>0</v>
      </c>
      <c r="F637" s="26">
        <f>[2]S1!F638</f>
        <v>0</v>
      </c>
      <c r="G637" s="22">
        <f>[2]S1!G638</f>
        <v>1000</v>
      </c>
      <c r="H637" s="22">
        <f>[2]S1!H638</f>
        <v>0</v>
      </c>
      <c r="I637" s="22">
        <f>[2]S1!I638</f>
        <v>250</v>
      </c>
      <c r="J637" s="13">
        <f>[2]S1!J638</f>
        <v>0</v>
      </c>
      <c r="K637" s="19">
        <f>[2]S1!K638</f>
        <v>1250</v>
      </c>
      <c r="L637" s="52">
        <f>[2]S1!L638</f>
        <v>25000</v>
      </c>
      <c r="M637" s="58">
        <f>[2]S1!M638</f>
        <v>6</v>
      </c>
      <c r="N637" s="49">
        <f>[2]S1!P638</f>
        <v>7300422818</v>
      </c>
      <c r="O637" s="14"/>
    </row>
    <row r="638" spans="1:15" x14ac:dyDescent="0.3">
      <c r="A638" s="11">
        <v>3685</v>
      </c>
      <c r="B638" s="12" t="str">
        <f>[3]Name!E2689</f>
        <v>Dipesh Kumar Bagmar</v>
      </c>
      <c r="C638" s="13">
        <f>[2]S1!C639</f>
        <v>0</v>
      </c>
      <c r="D638" s="13">
        <f>[2]S1!D639</f>
        <v>0</v>
      </c>
      <c r="E638" s="26">
        <f>[2]S1!E639</f>
        <v>200</v>
      </c>
      <c r="F638" s="26">
        <f>[2]S1!F639</f>
        <v>2</v>
      </c>
      <c r="G638" s="22">
        <f>[2]S1!G639</f>
        <v>0</v>
      </c>
      <c r="H638" s="22">
        <f>[2]S1!H639</f>
        <v>0</v>
      </c>
      <c r="I638" s="22">
        <f>[2]S1!I639</f>
        <v>0</v>
      </c>
      <c r="J638" s="13">
        <f>[2]S1!J639</f>
        <v>0</v>
      </c>
      <c r="K638" s="19">
        <f>[2]S1!K639</f>
        <v>202</v>
      </c>
      <c r="L638" s="52">
        <f>[2]S1!L639</f>
        <v>0</v>
      </c>
      <c r="M638" s="58">
        <f>[2]S1!M639</f>
        <v>0</v>
      </c>
      <c r="N638" s="49">
        <f>[2]S1!P639</f>
        <v>9784985879</v>
      </c>
      <c r="O638" s="14"/>
    </row>
    <row r="639" spans="1:15" x14ac:dyDescent="0.3">
      <c r="A639" s="11">
        <v>3686</v>
      </c>
      <c r="B639" s="12" t="str">
        <f>[3]Name!E2690</f>
        <v>Mukesh Kumar Bagmar</v>
      </c>
      <c r="C639" s="13">
        <f>[2]S1!C640</f>
        <v>0</v>
      </c>
      <c r="D639" s="13">
        <f>[2]S1!D640</f>
        <v>0</v>
      </c>
      <c r="E639" s="26">
        <f>[2]S1!E640</f>
        <v>568</v>
      </c>
      <c r="F639" s="26">
        <f>[2]S1!F640</f>
        <v>25</v>
      </c>
      <c r="G639" s="22">
        <f>[2]S1!G640</f>
        <v>0</v>
      </c>
      <c r="H639" s="22">
        <f>[2]S1!H640</f>
        <v>21</v>
      </c>
      <c r="I639" s="22">
        <f>[2]S1!I640</f>
        <v>420</v>
      </c>
      <c r="J639" s="13">
        <f>[2]S1!J640</f>
        <v>0</v>
      </c>
      <c r="K639" s="19">
        <f>[2]S1!K640</f>
        <v>1034</v>
      </c>
      <c r="L639" s="52">
        <f>[2]S1!L640</f>
        <v>14000</v>
      </c>
      <c r="M639" s="58">
        <f>[2]S1!M640</f>
        <v>3</v>
      </c>
      <c r="N639" s="49">
        <f>[2]S1!P640</f>
        <v>9928385564</v>
      </c>
      <c r="O639" s="14"/>
    </row>
    <row r="640" spans="1:15" x14ac:dyDescent="0.3">
      <c r="A640" s="11">
        <v>3687</v>
      </c>
      <c r="B640" s="12" t="str">
        <f>[3]Name!E2691</f>
        <v>Ramesh Kumar Meharda</v>
      </c>
      <c r="C640" s="13">
        <f>[2]S1!C641</f>
        <v>500</v>
      </c>
      <c r="D640" s="13">
        <f>[2]S1!D641</f>
        <v>0</v>
      </c>
      <c r="E640" s="26">
        <f>[2]S1!E641</f>
        <v>400</v>
      </c>
      <c r="F640" s="26">
        <f>[2]S1!F641</f>
        <v>10</v>
      </c>
      <c r="G640" s="22">
        <f>[2]S1!G641</f>
        <v>21000</v>
      </c>
      <c r="H640" s="22">
        <f>[2]S1!H641</f>
        <v>0</v>
      </c>
      <c r="I640" s="22">
        <f>[2]S1!I641</f>
        <v>740</v>
      </c>
      <c r="J640" s="13">
        <f>[2]S1!J641</f>
        <v>0</v>
      </c>
      <c r="K640" s="19">
        <f>[2]S1!K641</f>
        <v>22150</v>
      </c>
      <c r="L640" s="52">
        <f>[2]S1!L641</f>
        <v>37000</v>
      </c>
      <c r="M640" s="58">
        <f>[2]S1!M641</f>
        <v>9</v>
      </c>
      <c r="N640" s="49">
        <f>[2]S1!P641</f>
        <v>9829622211</v>
      </c>
      <c r="O640" s="14"/>
    </row>
    <row r="641" spans="1:15" x14ac:dyDescent="0.3">
      <c r="A641" s="11">
        <v>3688</v>
      </c>
      <c r="B641" s="12" t="str">
        <f>[3]Name!E2692</f>
        <v>Ramjilal Gotwal</v>
      </c>
      <c r="C641" s="13">
        <f>[2]S1!C642</f>
        <v>0</v>
      </c>
      <c r="D641" s="13">
        <f>[2]S1!D642</f>
        <v>0</v>
      </c>
      <c r="E641" s="26">
        <f>[2]S1!E642</f>
        <v>200</v>
      </c>
      <c r="F641" s="26">
        <f>[2]S1!F642</f>
        <v>0</v>
      </c>
      <c r="G641" s="22">
        <f>[2]S1!G642</f>
        <v>0</v>
      </c>
      <c r="H641" s="22">
        <f>[2]S1!H642</f>
        <v>0</v>
      </c>
      <c r="I641" s="22">
        <f>[2]S1!I642</f>
        <v>0</v>
      </c>
      <c r="J641" s="13">
        <f>[2]S1!J642</f>
        <v>0</v>
      </c>
      <c r="K641" s="19">
        <f>[2]S1!K642</f>
        <v>200</v>
      </c>
      <c r="L641" s="52">
        <f>[2]S1!L642</f>
        <v>0</v>
      </c>
      <c r="M641" s="58">
        <f>[2]S1!M642</f>
        <v>0</v>
      </c>
      <c r="N641" s="49">
        <f>[2]S1!P642</f>
        <v>9829708536</v>
      </c>
      <c r="O641" s="14"/>
    </row>
    <row r="642" spans="1:15" x14ac:dyDescent="0.3">
      <c r="A642" s="11">
        <v>3689</v>
      </c>
      <c r="B642" s="12" t="str">
        <f>[3]Name!E2693</f>
        <v>Laxit Kumar Gotwal</v>
      </c>
      <c r="C642" s="13">
        <f>[2]S1!C643</f>
        <v>0</v>
      </c>
      <c r="D642" s="13">
        <f>[2]S1!D643</f>
        <v>0</v>
      </c>
      <c r="E642" s="26">
        <f>[2]S1!E643</f>
        <v>200</v>
      </c>
      <c r="F642" s="26">
        <f>[2]S1!F643</f>
        <v>0</v>
      </c>
      <c r="G642" s="22">
        <f>[2]S1!G643</f>
        <v>0</v>
      </c>
      <c r="H642" s="22">
        <f>[2]S1!H643</f>
        <v>0</v>
      </c>
      <c r="I642" s="22">
        <f>[2]S1!I643</f>
        <v>0</v>
      </c>
      <c r="J642" s="13">
        <f>[2]S1!J643</f>
        <v>0</v>
      </c>
      <c r="K642" s="19">
        <f>[2]S1!K643</f>
        <v>200</v>
      </c>
      <c r="L642" s="52">
        <f>[2]S1!L643</f>
        <v>0</v>
      </c>
      <c r="M642" s="58">
        <f>[2]S1!M643</f>
        <v>0</v>
      </c>
      <c r="N642" s="49">
        <f>[2]S1!P643</f>
        <v>9829708536</v>
      </c>
      <c r="O642" s="14"/>
    </row>
    <row r="643" spans="1:15" x14ac:dyDescent="0.3">
      <c r="A643" s="11">
        <v>3690</v>
      </c>
      <c r="B643" s="12" t="str">
        <f>[3]Name!E2694</f>
        <v>Hars Kumar Gotwal</v>
      </c>
      <c r="C643" s="13">
        <f>[2]S1!C644</f>
        <v>0</v>
      </c>
      <c r="D643" s="13">
        <f>[2]S1!D644</f>
        <v>0</v>
      </c>
      <c r="E643" s="26">
        <f>[2]S1!E644</f>
        <v>200</v>
      </c>
      <c r="F643" s="26">
        <f>[2]S1!F644</f>
        <v>0</v>
      </c>
      <c r="G643" s="22">
        <f>[2]S1!G644</f>
        <v>0</v>
      </c>
      <c r="H643" s="22">
        <f>[2]S1!H644</f>
        <v>0</v>
      </c>
      <c r="I643" s="22">
        <f>[2]S1!I644</f>
        <v>0</v>
      </c>
      <c r="J643" s="13">
        <f>[2]S1!J644</f>
        <v>0</v>
      </c>
      <c r="K643" s="19">
        <f>[2]S1!K644</f>
        <v>200</v>
      </c>
      <c r="L643" s="52">
        <f>[2]S1!L644</f>
        <v>0</v>
      </c>
      <c r="M643" s="58">
        <f>[2]S1!M644</f>
        <v>0</v>
      </c>
      <c r="N643" s="49">
        <f>[2]S1!P644</f>
        <v>9829708536</v>
      </c>
      <c r="O643" s="14"/>
    </row>
    <row r="644" spans="1:15" x14ac:dyDescent="0.3">
      <c r="A644" s="11">
        <v>3691</v>
      </c>
      <c r="B644" s="12" t="str">
        <f>[3]Name!E2695</f>
        <v>Ful Chand Budgaya</v>
      </c>
      <c r="C644" s="13">
        <f>[2]S1!C645</f>
        <v>1500</v>
      </c>
      <c r="D644" s="13">
        <f>[2]S1!D645</f>
        <v>0</v>
      </c>
      <c r="E644" s="26">
        <f>[2]S1!E645</f>
        <v>0</v>
      </c>
      <c r="F644" s="26">
        <f>[2]S1!F645</f>
        <v>0</v>
      </c>
      <c r="G644" s="22">
        <f>[2]S1!G645</f>
        <v>1500</v>
      </c>
      <c r="H644" s="22">
        <f>[2]S1!H645</f>
        <v>0</v>
      </c>
      <c r="I644" s="22">
        <f>[2]S1!I645</f>
        <v>165</v>
      </c>
      <c r="J644" s="13">
        <f>[2]S1!J645</f>
        <v>0</v>
      </c>
      <c r="K644" s="19">
        <f>[2]S1!K645</f>
        <v>1665</v>
      </c>
      <c r="L644" s="52">
        <f>[2]S1!L645</f>
        <v>16500</v>
      </c>
      <c r="M644" s="58">
        <f>[2]S1!M645</f>
        <v>10</v>
      </c>
      <c r="N644" s="49">
        <f>[2]S1!P645</f>
        <v>7742957778</v>
      </c>
      <c r="O644" s="14"/>
    </row>
    <row r="645" spans="1:15" x14ac:dyDescent="0.3">
      <c r="A645" s="11">
        <v>3692</v>
      </c>
      <c r="B645" s="12" t="str">
        <f>[3]Name!E2696</f>
        <v>Yavi Bunkar</v>
      </c>
      <c r="C645" s="13">
        <f>[2]S1!C646</f>
        <v>500</v>
      </c>
      <c r="D645" s="13">
        <f>[2]S1!D646</f>
        <v>0</v>
      </c>
      <c r="E645" s="26">
        <f>[2]S1!E646</f>
        <v>200</v>
      </c>
      <c r="F645" s="26">
        <f>[2]S1!F646</f>
        <v>0</v>
      </c>
      <c r="G645" s="22">
        <f>[2]S1!G646</f>
        <v>0</v>
      </c>
      <c r="H645" s="22">
        <f>[2]S1!H646</f>
        <v>0</v>
      </c>
      <c r="I645" s="22">
        <f>[2]S1!I646</f>
        <v>0</v>
      </c>
      <c r="J645" s="13">
        <f>[2]S1!J646</f>
        <v>0</v>
      </c>
      <c r="K645" s="19">
        <f>[2]S1!K646</f>
        <v>200</v>
      </c>
      <c r="L645" s="52">
        <f>[2]S1!L646</f>
        <v>0</v>
      </c>
      <c r="M645" s="58">
        <f>[2]S1!M646</f>
        <v>0</v>
      </c>
      <c r="N645" s="49">
        <f>[2]S1!P646</f>
        <v>9116421345</v>
      </c>
      <c r="O645" s="14"/>
    </row>
    <row r="646" spans="1:15" x14ac:dyDescent="0.3">
      <c r="A646" s="11">
        <v>3693</v>
      </c>
      <c r="B646" s="12" t="str">
        <f>[3]Name!E2697</f>
        <v>Kishan Lal Bunkar</v>
      </c>
      <c r="C646" s="13">
        <f>[2]S1!C647</f>
        <v>0</v>
      </c>
      <c r="D646" s="13">
        <f>[2]S1!D647</f>
        <v>619</v>
      </c>
      <c r="E646" s="26">
        <f>[2]S1!E647</f>
        <v>1385</v>
      </c>
      <c r="F646" s="26">
        <f>[2]S1!F647</f>
        <v>212</v>
      </c>
      <c r="G646" s="22">
        <f>[2]S1!G647</f>
        <v>0</v>
      </c>
      <c r="H646" s="22">
        <f>[2]S1!H647</f>
        <v>1556</v>
      </c>
      <c r="I646" s="22">
        <f>[2]S1!I647</f>
        <v>270</v>
      </c>
      <c r="J646" s="13">
        <f>[2]S1!J647</f>
        <v>0</v>
      </c>
      <c r="K646" s="19">
        <f>[2]S1!K647</f>
        <v>3423</v>
      </c>
      <c r="L646" s="52">
        <f>[2]S1!L647</f>
        <v>13500</v>
      </c>
      <c r="M646" s="58">
        <f>[2]S1!M647</f>
        <v>2</v>
      </c>
      <c r="N646" s="49">
        <f>[2]S1!P647</f>
        <v>7742331956</v>
      </c>
      <c r="O646" s="14"/>
    </row>
    <row r="647" spans="1:15" x14ac:dyDescent="0.3">
      <c r="A647" s="11">
        <v>3694</v>
      </c>
      <c r="B647" s="12" t="str">
        <f>[3]Name!E2698</f>
        <v>Mahira Bunkar</v>
      </c>
      <c r="C647" s="13">
        <f>[2]S1!C648</f>
        <v>0</v>
      </c>
      <c r="D647" s="13">
        <f>[2]S1!D648</f>
        <v>417</v>
      </c>
      <c r="E647" s="26">
        <f>[2]S1!E648</f>
        <v>1000</v>
      </c>
      <c r="F647" s="26">
        <f>[2]S1!F648</f>
        <v>106</v>
      </c>
      <c r="G647" s="22">
        <f>[2]S1!G648</f>
        <v>0</v>
      </c>
      <c r="H647" s="22">
        <f>[2]S1!H648</f>
        <v>1084</v>
      </c>
      <c r="I647" s="22">
        <f>[2]S1!I648</f>
        <v>194</v>
      </c>
      <c r="J647" s="13">
        <f>[2]S1!J648</f>
        <v>0</v>
      </c>
      <c r="K647" s="19">
        <f>[2]S1!K648</f>
        <v>2384</v>
      </c>
      <c r="L647" s="52">
        <f>[2]S1!L648</f>
        <v>9700</v>
      </c>
      <c r="M647" s="58">
        <f>[2]S1!M648</f>
        <v>2</v>
      </c>
      <c r="N647" s="49">
        <f>[2]S1!P648</f>
        <v>7742331956</v>
      </c>
      <c r="O647" s="14"/>
    </row>
    <row r="648" spans="1:15" x14ac:dyDescent="0.3">
      <c r="A648" s="11">
        <v>3695</v>
      </c>
      <c r="B648" s="12" t="str">
        <f>[3]Name!E2699</f>
        <v>Hiya Pachriya</v>
      </c>
      <c r="C648" s="13">
        <f>[2]S1!C649</f>
        <v>0</v>
      </c>
      <c r="D648" s="13">
        <f>[2]S1!D649</f>
        <v>0</v>
      </c>
      <c r="E648" s="26">
        <f>[2]S1!E649</f>
        <v>400</v>
      </c>
      <c r="F648" s="26">
        <f>[2]S1!F649</f>
        <v>10</v>
      </c>
      <c r="G648" s="22">
        <f>[2]S1!G649</f>
        <v>12000</v>
      </c>
      <c r="H648" s="22">
        <f>[2]S1!H649</f>
        <v>56</v>
      </c>
      <c r="I648" s="22">
        <f>[2]S1!I649</f>
        <v>240</v>
      </c>
      <c r="J648" s="13">
        <f>[2]S1!J649</f>
        <v>0</v>
      </c>
      <c r="K648" s="19">
        <f>[2]S1!K649</f>
        <v>12706</v>
      </c>
      <c r="L648" s="52">
        <f>[2]S1!L649</f>
        <v>12000</v>
      </c>
      <c r="M648" s="58">
        <f>[2]S1!M649</f>
        <v>10</v>
      </c>
      <c r="N648" s="49">
        <f>[2]S1!P649</f>
        <v>9001114455</v>
      </c>
      <c r="O648" s="14"/>
    </row>
    <row r="649" spans="1:15" x14ac:dyDescent="0.3">
      <c r="A649" s="11">
        <v>3696</v>
      </c>
      <c r="B649" s="12" t="str">
        <f>[3]Name!E2700</f>
        <v>Lihan Pachriya</v>
      </c>
      <c r="C649" s="13">
        <f>[2]S1!C650</f>
        <v>0</v>
      </c>
      <c r="D649" s="13">
        <f>[2]S1!D650</f>
        <v>0</v>
      </c>
      <c r="E649" s="26">
        <f>[2]S1!E650</f>
        <v>400</v>
      </c>
      <c r="F649" s="26">
        <f>[2]S1!F650</f>
        <v>4</v>
      </c>
      <c r="G649" s="22">
        <f>[2]S1!G650</f>
        <v>12000</v>
      </c>
      <c r="H649" s="22">
        <f>[2]S1!H650</f>
        <v>56</v>
      </c>
      <c r="I649" s="22">
        <f>[2]S1!I650</f>
        <v>240</v>
      </c>
      <c r="J649" s="13">
        <f>[2]S1!J650</f>
        <v>0</v>
      </c>
      <c r="K649" s="19">
        <f>[2]S1!K650</f>
        <v>12700</v>
      </c>
      <c r="L649" s="52">
        <f>[2]S1!L650</f>
        <v>12000</v>
      </c>
      <c r="M649" s="58">
        <f>[2]S1!M650</f>
        <v>10</v>
      </c>
      <c r="N649" s="49">
        <f>[2]S1!P650</f>
        <v>9001114455</v>
      </c>
      <c r="O649" s="14"/>
    </row>
    <row r="650" spans="1:15" x14ac:dyDescent="0.3">
      <c r="A650" s="11">
        <v>3697</v>
      </c>
      <c r="B650" s="12" t="str">
        <f>[3]Name!E2701</f>
        <v>Sisupal Khadiya</v>
      </c>
      <c r="C650" s="13">
        <f>[2]S1!C651</f>
        <v>0</v>
      </c>
      <c r="D650" s="13">
        <f>[2]S1!D651</f>
        <v>0</v>
      </c>
      <c r="E650" s="26">
        <f>[2]S1!E651</f>
        <v>200</v>
      </c>
      <c r="F650" s="26">
        <f>[2]S1!F651</f>
        <v>0</v>
      </c>
      <c r="G650" s="22">
        <f>[2]S1!G651</f>
        <v>0</v>
      </c>
      <c r="H650" s="22">
        <f>[2]S1!H651</f>
        <v>0</v>
      </c>
      <c r="I650" s="22">
        <f>[2]S1!I651</f>
        <v>200</v>
      </c>
      <c r="J650" s="13">
        <f>[2]S1!J651</f>
        <v>0</v>
      </c>
      <c r="K650" s="19">
        <f>[2]S1!K651</f>
        <v>400</v>
      </c>
      <c r="L650" s="52">
        <f>[2]S1!L651</f>
        <v>20000</v>
      </c>
      <c r="M650" s="58">
        <f>[2]S1!M651</f>
        <v>1</v>
      </c>
      <c r="N650" s="49">
        <f>[2]S1!P651</f>
        <v>7791888847</v>
      </c>
      <c r="O650" s="14"/>
    </row>
    <row r="651" spans="1:15" x14ac:dyDescent="0.3">
      <c r="A651" s="11">
        <v>3698</v>
      </c>
      <c r="B651" s="12" t="str">
        <f>[3]Name!E2702</f>
        <v>Nikil Bayala</v>
      </c>
      <c r="C651" s="13">
        <f>[2]S1!C652</f>
        <v>500</v>
      </c>
      <c r="D651" s="13">
        <f>[2]S1!D652</f>
        <v>0</v>
      </c>
      <c r="E651" s="26">
        <f>[2]S1!E652</f>
        <v>200</v>
      </c>
      <c r="F651" s="26">
        <f>[2]S1!F652</f>
        <v>0</v>
      </c>
      <c r="G651" s="22">
        <f>[2]S1!G652</f>
        <v>500</v>
      </c>
      <c r="H651" s="22">
        <f>[2]S1!H652</f>
        <v>0</v>
      </c>
      <c r="I651" s="22">
        <f>[2]S1!I652</f>
        <v>85</v>
      </c>
      <c r="J651" s="13">
        <f>[2]S1!J652</f>
        <v>0</v>
      </c>
      <c r="K651" s="19">
        <f>[2]S1!K652</f>
        <v>785</v>
      </c>
      <c r="L651" s="52">
        <f>[2]S1!L652</f>
        <v>8500</v>
      </c>
      <c r="M651" s="58">
        <f>[2]S1!M652</f>
        <v>24</v>
      </c>
      <c r="N651" s="49">
        <f>[2]S1!P652</f>
        <v>9887923580</v>
      </c>
      <c r="O651" s="14"/>
    </row>
    <row r="652" spans="1:15" x14ac:dyDescent="0.3">
      <c r="A652" s="11">
        <v>3699</v>
      </c>
      <c r="B652" s="12" t="str">
        <f>[3]Name!E2703</f>
        <v>Gorv Bayala</v>
      </c>
      <c r="C652" s="13">
        <f>[2]S1!C653</f>
        <v>500</v>
      </c>
      <c r="D652" s="13">
        <f>[2]S1!D653</f>
        <v>0</v>
      </c>
      <c r="E652" s="26">
        <f>[2]S1!E653</f>
        <v>0</v>
      </c>
      <c r="F652" s="26">
        <f>[2]S1!F653</f>
        <v>0</v>
      </c>
      <c r="G652" s="22">
        <f>[2]S1!G653</f>
        <v>500</v>
      </c>
      <c r="H652" s="22">
        <f>[2]S1!H653</f>
        <v>0</v>
      </c>
      <c r="I652" s="22">
        <f>[2]S1!I653</f>
        <v>285</v>
      </c>
      <c r="J652" s="13">
        <f>[2]S1!J653</f>
        <v>0</v>
      </c>
      <c r="K652" s="19">
        <f>[2]S1!K653</f>
        <v>785</v>
      </c>
      <c r="L652" s="52">
        <f>[2]S1!L653</f>
        <v>28500</v>
      </c>
      <c r="M652" s="58">
        <f>[2]S1!M653</f>
        <v>4</v>
      </c>
      <c r="N652" s="49">
        <f>[2]S1!P653</f>
        <v>9887923580</v>
      </c>
      <c r="O652" s="14"/>
    </row>
    <row r="653" spans="1:15" x14ac:dyDescent="0.3">
      <c r="A653" s="11">
        <v>3700</v>
      </c>
      <c r="B653" s="12" t="str">
        <f>[3]Name!E2704</f>
        <v>Kajal Verma</v>
      </c>
      <c r="C653" s="13">
        <f>[2]S1!C654</f>
        <v>0</v>
      </c>
      <c r="D653" s="13">
        <f>[2]S1!D654</f>
        <v>0</v>
      </c>
      <c r="E653" s="26">
        <f>[2]S1!E654</f>
        <v>200</v>
      </c>
      <c r="F653" s="26">
        <f>[2]S1!F654</f>
        <v>0</v>
      </c>
      <c r="G653" s="22">
        <f>[2]S1!G654</f>
        <v>0</v>
      </c>
      <c r="H653" s="22">
        <f>[2]S1!H654</f>
        <v>0</v>
      </c>
      <c r="I653" s="22">
        <f>[2]S1!I654</f>
        <v>173</v>
      </c>
      <c r="J653" s="13">
        <f>[2]S1!J654</f>
        <v>0</v>
      </c>
      <c r="K653" s="19">
        <f>[2]S1!K654</f>
        <v>373</v>
      </c>
      <c r="L653" s="52">
        <f>[2]S1!L654</f>
        <v>17325</v>
      </c>
      <c r="M653" s="58">
        <f>[2]S1!M654</f>
        <v>1</v>
      </c>
      <c r="N653" s="49">
        <f>[2]S1!P654</f>
        <v>6350422324</v>
      </c>
      <c r="O653" s="14"/>
    </row>
    <row r="654" spans="1:15" x14ac:dyDescent="0.3">
      <c r="A654" s="11">
        <v>3701</v>
      </c>
      <c r="B654" s="12" t="str">
        <f>[3]Name!E2705</f>
        <v>Revad Mal Balai</v>
      </c>
      <c r="C654" s="13">
        <f>[2]S1!C655</f>
        <v>0</v>
      </c>
      <c r="D654" s="13">
        <f>[2]S1!D655</f>
        <v>0</v>
      </c>
      <c r="E654" s="26">
        <f>[2]S1!E655</f>
        <v>200</v>
      </c>
      <c r="F654" s="26">
        <f>[2]S1!F655</f>
        <v>0</v>
      </c>
      <c r="G654" s="22">
        <f>[2]S1!G655</f>
        <v>0</v>
      </c>
      <c r="H654" s="22">
        <f>[2]S1!H655</f>
        <v>0</v>
      </c>
      <c r="I654" s="22">
        <f>[2]S1!I655</f>
        <v>0</v>
      </c>
      <c r="J654" s="13">
        <f>[2]S1!J655</f>
        <v>0</v>
      </c>
      <c r="K654" s="19">
        <f>[2]S1!K655</f>
        <v>200</v>
      </c>
      <c r="L654" s="52">
        <f>[2]S1!L655</f>
        <v>0</v>
      </c>
      <c r="M654" s="58">
        <f>[2]S1!M655</f>
        <v>0</v>
      </c>
      <c r="N654" s="49">
        <f>[2]S1!P655</f>
        <v>9887386348</v>
      </c>
      <c r="O654" s="14"/>
    </row>
    <row r="655" spans="1:15" x14ac:dyDescent="0.3">
      <c r="A655" s="11">
        <v>3702</v>
      </c>
      <c r="B655" s="12" t="str">
        <f>[3]Name!E2706</f>
        <v>Naina Devi Balai</v>
      </c>
      <c r="C655" s="13">
        <f>[2]S1!C656</f>
        <v>0</v>
      </c>
      <c r="D655" s="13">
        <f>[2]S1!D656</f>
        <v>0</v>
      </c>
      <c r="E655" s="26">
        <f>[2]S1!E656</f>
        <v>200</v>
      </c>
      <c r="F655" s="26">
        <f>[2]S1!F656</f>
        <v>0</v>
      </c>
      <c r="G655" s="22">
        <f>[2]S1!G656</f>
        <v>0</v>
      </c>
      <c r="H655" s="22">
        <f>[2]S1!H656</f>
        <v>0</v>
      </c>
      <c r="I655" s="22">
        <f>[2]S1!I656</f>
        <v>0</v>
      </c>
      <c r="J655" s="13">
        <f>[2]S1!J656</f>
        <v>0</v>
      </c>
      <c r="K655" s="19">
        <f>[2]S1!K656</f>
        <v>200</v>
      </c>
      <c r="L655" s="52">
        <f>[2]S1!L656</f>
        <v>0</v>
      </c>
      <c r="M655" s="58">
        <f>[2]S1!M656</f>
        <v>0</v>
      </c>
      <c r="N655" s="49">
        <f>[2]S1!P656</f>
        <v>9887386348</v>
      </c>
      <c r="O655" s="14"/>
    </row>
    <row r="656" spans="1:15" x14ac:dyDescent="0.3">
      <c r="A656" s="11">
        <v>3703</v>
      </c>
      <c r="B656" s="12" t="str">
        <f>[3]Name!E2707</f>
        <v>Tel Balai</v>
      </c>
      <c r="C656" s="13">
        <f>[2]S1!C657</f>
        <v>0</v>
      </c>
      <c r="D656" s="13">
        <f>[2]S1!D657</f>
        <v>0</v>
      </c>
      <c r="E656" s="26">
        <f>[2]S1!E657</f>
        <v>200</v>
      </c>
      <c r="F656" s="26">
        <f>[2]S1!F657</f>
        <v>0</v>
      </c>
      <c r="G656" s="22">
        <f>[2]S1!G657</f>
        <v>0</v>
      </c>
      <c r="H656" s="22">
        <f>[2]S1!H657</f>
        <v>0</v>
      </c>
      <c r="I656" s="22">
        <f>[2]S1!I657</f>
        <v>0</v>
      </c>
      <c r="J656" s="13">
        <f>[2]S1!J657</f>
        <v>0</v>
      </c>
      <c r="K656" s="19">
        <f>[2]S1!K657</f>
        <v>200</v>
      </c>
      <c r="L656" s="52">
        <f>[2]S1!L657</f>
        <v>0</v>
      </c>
      <c r="M656" s="58">
        <f>[2]S1!M657</f>
        <v>0</v>
      </c>
      <c r="N656" s="49">
        <f>[2]S1!P657</f>
        <v>9887386348</v>
      </c>
      <c r="O656" s="14"/>
    </row>
    <row r="657" spans="1:15" x14ac:dyDescent="0.3">
      <c r="A657" s="11">
        <v>3704</v>
      </c>
      <c r="B657" s="12" t="str">
        <f>[3]Name!E2708</f>
        <v>Gopal Lal Pachariya</v>
      </c>
      <c r="C657" s="13">
        <f>[2]S1!C658</f>
        <v>0</v>
      </c>
      <c r="D657" s="13">
        <f>[2]S1!D658</f>
        <v>0</v>
      </c>
      <c r="E657" s="26">
        <f>[2]S1!E658</f>
        <v>200</v>
      </c>
      <c r="F657" s="26">
        <f>[2]S1!F658</f>
        <v>0</v>
      </c>
      <c r="G657" s="22">
        <f>[2]S1!G658</f>
        <v>0</v>
      </c>
      <c r="H657" s="22">
        <f>[2]S1!H658</f>
        <v>0</v>
      </c>
      <c r="I657" s="22">
        <f>[2]S1!I658</f>
        <v>0</v>
      </c>
      <c r="J657" s="13">
        <f>[2]S1!J658</f>
        <v>0</v>
      </c>
      <c r="K657" s="19">
        <f>[2]S1!K658</f>
        <v>200</v>
      </c>
      <c r="L657" s="52">
        <f>[2]S1!L658</f>
        <v>0</v>
      </c>
      <c r="M657" s="58">
        <f>[2]S1!M658</f>
        <v>0</v>
      </c>
      <c r="N657" s="49">
        <f>[2]S1!P658</f>
        <v>9351354672</v>
      </c>
      <c r="O657" s="14"/>
    </row>
    <row r="658" spans="1:15" x14ac:dyDescent="0.3">
      <c r="A658" s="11">
        <v>3705</v>
      </c>
      <c r="B658" s="12" t="str">
        <f>[3]Name!E2709</f>
        <v>Mohit Pachariya</v>
      </c>
      <c r="C658" s="13">
        <f>[2]S1!C659</f>
        <v>0</v>
      </c>
      <c r="D658" s="13">
        <f>[2]S1!D659</f>
        <v>0</v>
      </c>
      <c r="E658" s="26">
        <f>[2]S1!E659</f>
        <v>200</v>
      </c>
      <c r="F658" s="26">
        <f>[2]S1!F659</f>
        <v>0</v>
      </c>
      <c r="G658" s="22">
        <f>[2]S1!G659</f>
        <v>0</v>
      </c>
      <c r="H658" s="22">
        <f>[2]S1!H659</f>
        <v>0</v>
      </c>
      <c r="I658" s="22">
        <f>[2]S1!I659</f>
        <v>0</v>
      </c>
      <c r="J658" s="13">
        <f>[2]S1!J659</f>
        <v>0</v>
      </c>
      <c r="K658" s="19">
        <f>[2]S1!K659</f>
        <v>200</v>
      </c>
      <c r="L658" s="52">
        <f>[2]S1!L659</f>
        <v>0</v>
      </c>
      <c r="M658" s="58">
        <f>[2]S1!M659</f>
        <v>0</v>
      </c>
      <c r="N658" s="49">
        <f>[2]S1!P659</f>
        <v>9351354672</v>
      </c>
      <c r="O658" s="14"/>
    </row>
    <row r="659" spans="1:15" x14ac:dyDescent="0.3">
      <c r="A659" s="11">
        <v>3706</v>
      </c>
      <c r="B659" s="12" t="str">
        <f>[3]Name!E2710</f>
        <v>Kiran Devi Pachariya</v>
      </c>
      <c r="C659" s="13">
        <f>[2]S1!C660</f>
        <v>0</v>
      </c>
      <c r="D659" s="13">
        <f>[2]S1!D660</f>
        <v>0</v>
      </c>
      <c r="E659" s="26">
        <f>[2]S1!E660</f>
        <v>200</v>
      </c>
      <c r="F659" s="26">
        <f>[2]S1!F660</f>
        <v>0</v>
      </c>
      <c r="G659" s="22">
        <f>[2]S1!G660</f>
        <v>0</v>
      </c>
      <c r="H659" s="22">
        <f>[2]S1!H660</f>
        <v>0</v>
      </c>
      <c r="I659" s="22">
        <f>[2]S1!I660</f>
        <v>0</v>
      </c>
      <c r="J659" s="13">
        <f>[2]S1!J660</f>
        <v>0</v>
      </c>
      <c r="K659" s="19">
        <f>[2]S1!K660</f>
        <v>200</v>
      </c>
      <c r="L659" s="52">
        <f>[2]S1!L660</f>
        <v>0</v>
      </c>
      <c r="M659" s="58">
        <f>[2]S1!M660</f>
        <v>0</v>
      </c>
      <c r="N659" s="49">
        <f>[2]S1!P660</f>
        <v>9351354672</v>
      </c>
      <c r="O659" s="14"/>
    </row>
    <row r="660" spans="1:15" x14ac:dyDescent="0.3">
      <c r="A660" s="11">
        <v>3707</v>
      </c>
      <c r="B660" s="12" t="str">
        <f>[3]Name!E2711</f>
        <v>Naman Pachariya</v>
      </c>
      <c r="C660" s="13">
        <f>[2]S1!C661</f>
        <v>0</v>
      </c>
      <c r="D660" s="13">
        <f>[2]S1!D661</f>
        <v>0</v>
      </c>
      <c r="E660" s="26">
        <f>[2]S1!E661</f>
        <v>200</v>
      </c>
      <c r="F660" s="26">
        <f>[2]S1!F661</f>
        <v>0</v>
      </c>
      <c r="G660" s="22">
        <f>[2]S1!G661</f>
        <v>0</v>
      </c>
      <c r="H660" s="22">
        <f>[2]S1!H661</f>
        <v>0</v>
      </c>
      <c r="I660" s="22">
        <f>[2]S1!I661</f>
        <v>0</v>
      </c>
      <c r="J660" s="13">
        <f>[2]S1!J661</f>
        <v>0</v>
      </c>
      <c r="K660" s="19">
        <f>[2]S1!K661</f>
        <v>200</v>
      </c>
      <c r="L660" s="52">
        <f>[2]S1!L661</f>
        <v>0</v>
      </c>
      <c r="M660" s="58">
        <f>[2]S1!M661</f>
        <v>0</v>
      </c>
      <c r="N660" s="49">
        <f>[2]S1!P661</f>
        <v>9351354672</v>
      </c>
      <c r="O660" s="14"/>
    </row>
    <row r="661" spans="1:15" x14ac:dyDescent="0.3">
      <c r="A661" s="11">
        <v>3708</v>
      </c>
      <c r="B661" s="12" t="str">
        <f>[3]Name!E2712</f>
        <v>Mejar Devi Pachariya</v>
      </c>
      <c r="C661" s="13">
        <f>[2]S1!C662</f>
        <v>0</v>
      </c>
      <c r="D661" s="13">
        <f>[2]S1!D662</f>
        <v>0</v>
      </c>
      <c r="E661" s="26">
        <f>[2]S1!E662</f>
        <v>200</v>
      </c>
      <c r="F661" s="26">
        <f>[2]S1!F662</f>
        <v>0</v>
      </c>
      <c r="G661" s="22">
        <f>[2]S1!G662</f>
        <v>0</v>
      </c>
      <c r="H661" s="22">
        <f>[2]S1!H662</f>
        <v>0</v>
      </c>
      <c r="I661" s="22">
        <f>[2]S1!I662</f>
        <v>0</v>
      </c>
      <c r="J661" s="13">
        <f>[2]S1!J662</f>
        <v>0</v>
      </c>
      <c r="K661" s="19">
        <f>[2]S1!K662</f>
        <v>200</v>
      </c>
      <c r="L661" s="52">
        <f>[2]S1!L662</f>
        <v>0</v>
      </c>
      <c r="M661" s="58">
        <f>[2]S1!M662</f>
        <v>0</v>
      </c>
      <c r="N661" s="49">
        <f>[2]S1!P662</f>
        <v>9351354672</v>
      </c>
      <c r="O661" s="14"/>
    </row>
    <row r="662" spans="1:15" x14ac:dyDescent="0.3">
      <c r="A662" s="11">
        <v>3709</v>
      </c>
      <c r="B662" s="12" t="str">
        <f>[3]Name!E2713</f>
        <v>Nirmala Devi Pachariya</v>
      </c>
      <c r="C662" s="13">
        <f>[2]S1!C663</f>
        <v>0</v>
      </c>
      <c r="D662" s="13">
        <f>[2]S1!D663</f>
        <v>0</v>
      </c>
      <c r="E662" s="26">
        <f>[2]S1!E663</f>
        <v>200</v>
      </c>
      <c r="F662" s="26">
        <f>[2]S1!F663</f>
        <v>0</v>
      </c>
      <c r="G662" s="22">
        <f>[2]S1!G663</f>
        <v>0</v>
      </c>
      <c r="H662" s="22">
        <f>[2]S1!H663</f>
        <v>0</v>
      </c>
      <c r="I662" s="22">
        <f>[2]S1!I663</f>
        <v>0</v>
      </c>
      <c r="J662" s="13">
        <f>[2]S1!J663</f>
        <v>0</v>
      </c>
      <c r="K662" s="19">
        <f>[2]S1!K663</f>
        <v>200</v>
      </c>
      <c r="L662" s="52">
        <f>[2]S1!L663</f>
        <v>0</v>
      </c>
      <c r="M662" s="58">
        <f>[2]S1!M663</f>
        <v>0</v>
      </c>
      <c r="N662" s="49">
        <f>[2]S1!P663</f>
        <v>9351354672</v>
      </c>
      <c r="O662" s="14"/>
    </row>
    <row r="663" spans="1:15" x14ac:dyDescent="0.3">
      <c r="A663" s="11">
        <v>3710</v>
      </c>
      <c r="B663" s="12" t="str">
        <f>[3]Name!E2714</f>
        <v>Navya Verma</v>
      </c>
      <c r="C663" s="13">
        <f>[2]S1!C664</f>
        <v>0</v>
      </c>
      <c r="D663" s="13">
        <f>[2]S1!D664</f>
        <v>0</v>
      </c>
      <c r="E663" s="26">
        <f>[2]S1!E664</f>
        <v>200</v>
      </c>
      <c r="F663" s="26">
        <f>[2]S1!F664</f>
        <v>0</v>
      </c>
      <c r="G663" s="22">
        <f>[2]S1!G664</f>
        <v>0</v>
      </c>
      <c r="H663" s="22">
        <f>[2]S1!H664</f>
        <v>0</v>
      </c>
      <c r="I663" s="22">
        <f>[2]S1!I664</f>
        <v>0</v>
      </c>
      <c r="J663" s="13">
        <f>[2]S1!J664</f>
        <v>0</v>
      </c>
      <c r="K663" s="19">
        <f>[2]S1!K664</f>
        <v>200</v>
      </c>
      <c r="L663" s="52">
        <f>[2]S1!L664</f>
        <v>0</v>
      </c>
      <c r="M663" s="58">
        <f>[2]S1!M664</f>
        <v>0</v>
      </c>
      <c r="N663" s="49">
        <f>[2]S1!P664</f>
        <v>9887259462</v>
      </c>
      <c r="O663" s="14"/>
    </row>
    <row r="664" spans="1:15" x14ac:dyDescent="0.3">
      <c r="A664" s="11">
        <v>3711</v>
      </c>
      <c r="B664" s="12" t="str">
        <f>[3]Name!E2715</f>
        <v>Nidika Verma</v>
      </c>
      <c r="C664" s="13">
        <f>[2]S1!C665</f>
        <v>0</v>
      </c>
      <c r="D664" s="13">
        <f>[2]S1!D665</f>
        <v>0</v>
      </c>
      <c r="E664" s="26">
        <f>[2]S1!E665</f>
        <v>200</v>
      </c>
      <c r="F664" s="26">
        <f>[2]S1!F665</f>
        <v>0</v>
      </c>
      <c r="G664" s="22">
        <f>[2]S1!G665</f>
        <v>0</v>
      </c>
      <c r="H664" s="22">
        <f>[2]S1!H665</f>
        <v>0</v>
      </c>
      <c r="I664" s="22">
        <f>[2]S1!I665</f>
        <v>0</v>
      </c>
      <c r="J664" s="13">
        <f>[2]S1!J665</f>
        <v>0</v>
      </c>
      <c r="K664" s="19">
        <f>[2]S1!K665</f>
        <v>200</v>
      </c>
      <c r="L664" s="52">
        <f>[2]S1!L665</f>
        <v>0</v>
      </c>
      <c r="M664" s="58">
        <f>[2]S1!M665</f>
        <v>0</v>
      </c>
      <c r="N664" s="49">
        <f>[2]S1!P665</f>
        <v>9887259462</v>
      </c>
      <c r="O664" s="14"/>
    </row>
    <row r="665" spans="1:15" x14ac:dyDescent="0.3">
      <c r="A665" s="11">
        <v>3712</v>
      </c>
      <c r="B665" s="12" t="str">
        <f>[3]Name!E2716</f>
        <v>Rajesh Verma</v>
      </c>
      <c r="C665" s="13">
        <f>[2]S1!C666</f>
        <v>1000</v>
      </c>
      <c r="D665" s="13">
        <f>[2]S1!D666</f>
        <v>0</v>
      </c>
      <c r="E665" s="26">
        <f>[2]S1!E666</f>
        <v>198</v>
      </c>
      <c r="F665" s="26">
        <f>[2]S1!F666</f>
        <v>0</v>
      </c>
      <c r="G665" s="22">
        <f>[2]S1!G666</f>
        <v>1000</v>
      </c>
      <c r="H665" s="22">
        <f>[2]S1!H666</f>
        <v>0</v>
      </c>
      <c r="I665" s="22">
        <f>[2]S1!I666</f>
        <v>200</v>
      </c>
      <c r="J665" s="13">
        <f>[2]S1!J666</f>
        <v>0</v>
      </c>
      <c r="K665" s="19">
        <f>[2]S1!K666</f>
        <v>1398</v>
      </c>
      <c r="L665" s="52">
        <f>[2]S1!L666</f>
        <v>20000</v>
      </c>
      <c r="M665" s="58">
        <f>[2]S1!M666</f>
        <v>1</v>
      </c>
      <c r="N665" s="49">
        <f>[2]S1!P666</f>
        <v>9680689067</v>
      </c>
      <c r="O665" s="14"/>
    </row>
    <row r="666" spans="1:15" x14ac:dyDescent="0.3">
      <c r="A666" s="11">
        <v>3713</v>
      </c>
      <c r="B666" s="12" t="str">
        <f>[3]Name!E2717</f>
        <v>Kamni Verma</v>
      </c>
      <c r="C666" s="13">
        <f>[2]S1!C667</f>
        <v>1000</v>
      </c>
      <c r="D666" s="13">
        <f>[2]S1!D667</f>
        <v>0</v>
      </c>
      <c r="E666" s="26">
        <f>[2]S1!E667</f>
        <v>200</v>
      </c>
      <c r="F666" s="26">
        <f>[2]S1!F667</f>
        <v>0</v>
      </c>
      <c r="G666" s="22">
        <f>[2]S1!G667</f>
        <v>1000</v>
      </c>
      <c r="H666" s="22">
        <f>[2]S1!H667</f>
        <v>0</v>
      </c>
      <c r="I666" s="22">
        <f>[2]S1!I667</f>
        <v>200</v>
      </c>
      <c r="J666" s="13">
        <f>[2]S1!J667</f>
        <v>0</v>
      </c>
      <c r="K666" s="19">
        <f>[2]S1!K667</f>
        <v>1400</v>
      </c>
      <c r="L666" s="52">
        <f>[2]S1!L667</f>
        <v>20000</v>
      </c>
      <c r="M666" s="58">
        <f>[2]S1!M667</f>
        <v>1</v>
      </c>
      <c r="N666" s="49">
        <f>[2]S1!P667</f>
        <v>9680689067</v>
      </c>
      <c r="O666" s="14"/>
    </row>
    <row r="667" spans="1:15" x14ac:dyDescent="0.3">
      <c r="A667" s="11">
        <v>3714</v>
      </c>
      <c r="B667" s="12" t="str">
        <f>[3]Name!E2718</f>
        <v>Anjula Verma</v>
      </c>
      <c r="C667" s="13">
        <f>[2]S1!C668</f>
        <v>1000</v>
      </c>
      <c r="D667" s="13">
        <f>[2]S1!D668</f>
        <v>0</v>
      </c>
      <c r="E667" s="26">
        <f>[2]S1!E668</f>
        <v>200</v>
      </c>
      <c r="F667" s="26">
        <f>[2]S1!F668</f>
        <v>0</v>
      </c>
      <c r="G667" s="22">
        <f>[2]S1!G668</f>
        <v>1000</v>
      </c>
      <c r="H667" s="22">
        <f>[2]S1!H668</f>
        <v>0</v>
      </c>
      <c r="I667" s="22">
        <f>[2]S1!I668</f>
        <v>200</v>
      </c>
      <c r="J667" s="13">
        <f>[2]S1!J668</f>
        <v>0</v>
      </c>
      <c r="K667" s="19">
        <f>[2]S1!K668</f>
        <v>1400</v>
      </c>
      <c r="L667" s="52">
        <f>[2]S1!L668</f>
        <v>20000</v>
      </c>
      <c r="M667" s="58">
        <f>[2]S1!M668</f>
        <v>1</v>
      </c>
      <c r="N667" s="49">
        <f>[2]S1!P668</f>
        <v>9680689067</v>
      </c>
      <c r="O667" s="14"/>
    </row>
    <row r="668" spans="1:15" x14ac:dyDescent="0.3">
      <c r="A668" s="11">
        <v>3715</v>
      </c>
      <c r="B668" s="12" t="str">
        <f>[3]Name!E2719</f>
        <v>Lokesh Kumar Varma</v>
      </c>
      <c r="C668" s="13">
        <f>[2]S1!C669</f>
        <v>500</v>
      </c>
      <c r="D668" s="13">
        <f>[2]S1!D669</f>
        <v>0</v>
      </c>
      <c r="E668" s="26">
        <f>[2]S1!E669</f>
        <v>200</v>
      </c>
      <c r="F668" s="26">
        <f>[2]S1!F669</f>
        <v>0</v>
      </c>
      <c r="G668" s="22">
        <f>[2]S1!G669</f>
        <v>500</v>
      </c>
      <c r="H668" s="22">
        <f>[2]S1!H669</f>
        <v>0</v>
      </c>
      <c r="I668" s="22">
        <f>[2]S1!I669</f>
        <v>165</v>
      </c>
      <c r="J668" s="13">
        <f>[2]S1!J669</f>
        <v>0</v>
      </c>
      <c r="K668" s="19">
        <f>[2]S1!K669</f>
        <v>865</v>
      </c>
      <c r="L668" s="52">
        <f>[2]S1!L669</f>
        <v>16500</v>
      </c>
      <c r="M668" s="58">
        <f>[2]S1!M669</f>
        <v>8</v>
      </c>
      <c r="N668" s="49">
        <f>[2]S1!P669</f>
        <v>9509694070</v>
      </c>
      <c r="O668" s="14"/>
    </row>
    <row r="669" spans="1:15" x14ac:dyDescent="0.3">
      <c r="A669" s="11">
        <v>3716</v>
      </c>
      <c r="B669" s="12" t="str">
        <f>[3]Name!E2720</f>
        <v>Chiti Lal Surstya</v>
      </c>
      <c r="C669" s="13">
        <f>[2]S1!C670</f>
        <v>0</v>
      </c>
      <c r="D669" s="13">
        <f>[2]S1!D670</f>
        <v>0</v>
      </c>
      <c r="E669" s="26">
        <f>[2]S1!E670</f>
        <v>1200</v>
      </c>
      <c r="F669" s="26">
        <f>[2]S1!F670</f>
        <v>161</v>
      </c>
      <c r="G669" s="22">
        <f>[2]S1!G670</f>
        <v>3600</v>
      </c>
      <c r="H669" s="22">
        <f>[2]S1!H670</f>
        <v>50</v>
      </c>
      <c r="I669" s="22">
        <f>[2]S1!I670</f>
        <v>216</v>
      </c>
      <c r="J669" s="13">
        <f>[2]S1!J670</f>
        <v>0</v>
      </c>
      <c r="K669" s="19">
        <f>[2]S1!K670</f>
        <v>5227</v>
      </c>
      <c r="L669" s="52">
        <f>[2]S1!L670</f>
        <v>3600</v>
      </c>
      <c r="M669" s="58">
        <f>[2]S1!M670</f>
        <v>6</v>
      </c>
      <c r="N669" s="49">
        <f>[2]S1!P670</f>
        <v>8432253438</v>
      </c>
      <c r="O669" s="14"/>
    </row>
    <row r="670" spans="1:15" x14ac:dyDescent="0.3">
      <c r="A670" s="11">
        <v>3717</v>
      </c>
      <c r="B670" s="12" t="str">
        <f>[3]Name!E2721</f>
        <v>Kamalesh Devi Surstya</v>
      </c>
      <c r="C670" s="13">
        <f>[2]S1!C671</f>
        <v>0</v>
      </c>
      <c r="D670" s="13">
        <f>[2]S1!D671</f>
        <v>0</v>
      </c>
      <c r="E670" s="26">
        <f>[2]S1!E671</f>
        <v>1200</v>
      </c>
      <c r="F670" s="26">
        <f>[2]S1!F671</f>
        <v>161</v>
      </c>
      <c r="G670" s="22">
        <f>[2]S1!G671</f>
        <v>4546</v>
      </c>
      <c r="H670" s="22">
        <f>[2]S1!H671</f>
        <v>59</v>
      </c>
      <c r="I670" s="22">
        <f>[2]S1!I671</f>
        <v>270</v>
      </c>
      <c r="J670" s="13">
        <f>[2]S1!J671</f>
        <v>0</v>
      </c>
      <c r="K670" s="19">
        <f>[2]S1!K671</f>
        <v>6236</v>
      </c>
      <c r="L670" s="52">
        <f>[2]S1!L671</f>
        <v>4546</v>
      </c>
      <c r="M670" s="58">
        <f>[2]S1!M671</f>
        <v>6</v>
      </c>
      <c r="N670" s="49">
        <f>[2]S1!P671</f>
        <v>8432253438</v>
      </c>
      <c r="O670" s="14"/>
    </row>
    <row r="671" spans="1:15" x14ac:dyDescent="0.3">
      <c r="A671" s="11">
        <v>3718</v>
      </c>
      <c r="B671" s="12" t="str">
        <f>[3]Name!E2722</f>
        <v>Prahalad Ladana</v>
      </c>
      <c r="C671" s="13">
        <f>[2]S1!C672</f>
        <v>1000</v>
      </c>
      <c r="D671" s="13">
        <f>[2]S1!D672</f>
        <v>0</v>
      </c>
      <c r="E671" s="26">
        <f>[2]S1!E672</f>
        <v>200</v>
      </c>
      <c r="F671" s="26">
        <f>[2]S1!F672</f>
        <v>0</v>
      </c>
      <c r="G671" s="22">
        <f>[2]S1!G672</f>
        <v>1000</v>
      </c>
      <c r="H671" s="22">
        <f>[2]S1!H672</f>
        <v>0</v>
      </c>
      <c r="I671" s="22">
        <f>[2]S1!I672</f>
        <v>180</v>
      </c>
      <c r="J671" s="13">
        <f>[2]S1!J672</f>
        <v>0</v>
      </c>
      <c r="K671" s="19">
        <f>[2]S1!K672</f>
        <v>1380</v>
      </c>
      <c r="L671" s="52">
        <f>[2]S1!L672</f>
        <v>18000</v>
      </c>
      <c r="M671" s="58">
        <f>[2]S1!M672</f>
        <v>3</v>
      </c>
      <c r="N671" s="49">
        <f>[2]S1!P672</f>
        <v>9828072198</v>
      </c>
      <c r="O671" s="14"/>
    </row>
    <row r="672" spans="1:15" x14ac:dyDescent="0.3">
      <c r="A672" s="11">
        <v>3719</v>
      </c>
      <c r="B672" s="12" t="str">
        <f>[3]Name!E2723</f>
        <v>Vimala Devi Ladana</v>
      </c>
      <c r="C672" s="13">
        <f>[2]S1!C673</f>
        <v>1000</v>
      </c>
      <c r="D672" s="13">
        <f>[2]S1!D673</f>
        <v>0</v>
      </c>
      <c r="E672" s="26">
        <f>[2]S1!E673</f>
        <v>200</v>
      </c>
      <c r="F672" s="26">
        <f>[2]S1!F673</f>
        <v>0</v>
      </c>
      <c r="G672" s="22">
        <f>[2]S1!G673</f>
        <v>1000</v>
      </c>
      <c r="H672" s="22">
        <f>[2]S1!H673</f>
        <v>0</v>
      </c>
      <c r="I672" s="22">
        <f>[2]S1!I673</f>
        <v>140</v>
      </c>
      <c r="J672" s="13">
        <f>[2]S1!J673</f>
        <v>0</v>
      </c>
      <c r="K672" s="19">
        <f>[2]S1!K673</f>
        <v>1340</v>
      </c>
      <c r="L672" s="52">
        <f>[2]S1!L673</f>
        <v>14000</v>
      </c>
      <c r="M672" s="58">
        <f>[2]S1!M673</f>
        <v>7</v>
      </c>
      <c r="N672" s="49">
        <f>[2]S1!P673</f>
        <v>9828072198</v>
      </c>
      <c r="O672" s="14"/>
    </row>
    <row r="673" spans="1:15" x14ac:dyDescent="0.3">
      <c r="A673" s="11">
        <v>3720</v>
      </c>
      <c r="B673" s="12" t="str">
        <f>[3]Name!E2724</f>
        <v>Gopal Lal Barvad</v>
      </c>
      <c r="C673" s="13">
        <f>[2]S1!C674</f>
        <v>16500</v>
      </c>
      <c r="D673" s="13">
        <f>[2]S1!D674</f>
        <v>0</v>
      </c>
      <c r="E673" s="26">
        <f>[2]S1!E674</f>
        <v>0</v>
      </c>
      <c r="F673" s="26">
        <f>[2]S1!F674</f>
        <v>0</v>
      </c>
      <c r="G673" s="22">
        <f>[2]S1!G674</f>
        <v>1500</v>
      </c>
      <c r="H673" s="22">
        <f>[2]S1!H674</f>
        <v>0</v>
      </c>
      <c r="I673" s="22">
        <f>[2]S1!I674</f>
        <v>180</v>
      </c>
      <c r="J673" s="13">
        <f>[2]S1!J674</f>
        <v>0</v>
      </c>
      <c r="K673" s="19">
        <f>[2]S1!K674</f>
        <v>1680</v>
      </c>
      <c r="L673" s="52">
        <f>[2]S1!L674</f>
        <v>18000</v>
      </c>
      <c r="M673" s="58">
        <f>[2]S1!M674</f>
        <v>9</v>
      </c>
      <c r="N673" s="49">
        <f>[2]S1!P674</f>
        <v>9784911551</v>
      </c>
      <c r="O673" s="14"/>
    </row>
    <row r="674" spans="1:15" x14ac:dyDescent="0.3">
      <c r="A674" s="11">
        <v>3721</v>
      </c>
      <c r="B674" s="12" t="str">
        <f>[3]Name!E2725</f>
        <v>kesar Devi Barvad</v>
      </c>
      <c r="C674" s="13">
        <f>[2]S1!C675</f>
        <v>16500</v>
      </c>
      <c r="D674" s="13">
        <f>[2]S1!D675</f>
        <v>0</v>
      </c>
      <c r="E674" s="26">
        <f>[2]S1!E675</f>
        <v>0</v>
      </c>
      <c r="F674" s="26">
        <f>[2]S1!F675</f>
        <v>0</v>
      </c>
      <c r="G674" s="22">
        <f>[2]S1!G675</f>
        <v>1500</v>
      </c>
      <c r="H674" s="22">
        <f>[2]S1!H675</f>
        <v>0</v>
      </c>
      <c r="I674" s="22">
        <f>[2]S1!I675</f>
        <v>180</v>
      </c>
      <c r="J674" s="13">
        <f>[2]S1!J675</f>
        <v>0</v>
      </c>
      <c r="K674" s="19">
        <f>[2]S1!K675</f>
        <v>1680</v>
      </c>
      <c r="L674" s="52">
        <f>[2]S1!L675</f>
        <v>18000</v>
      </c>
      <c r="M674" s="58">
        <f>[2]S1!M675</f>
        <v>9</v>
      </c>
      <c r="N674" s="49">
        <f>[2]S1!P675</f>
        <v>9784911551</v>
      </c>
      <c r="O674" s="14"/>
    </row>
    <row r="675" spans="1:15" x14ac:dyDescent="0.3">
      <c r="A675" s="11">
        <v>3722</v>
      </c>
      <c r="B675" s="12" t="str">
        <f>[3]Name!E2726</f>
        <v>Birdi Chand Barvad</v>
      </c>
      <c r="C675" s="13">
        <f>[2]S1!C676</f>
        <v>16500</v>
      </c>
      <c r="D675" s="13">
        <f>[2]S1!D676</f>
        <v>0</v>
      </c>
      <c r="E675" s="26">
        <f>[2]S1!E676</f>
        <v>0</v>
      </c>
      <c r="F675" s="26">
        <f>[2]S1!F676</f>
        <v>0</v>
      </c>
      <c r="G675" s="22">
        <f>[2]S1!G676</f>
        <v>1500</v>
      </c>
      <c r="H675" s="22">
        <f>[2]S1!H676</f>
        <v>0</v>
      </c>
      <c r="I675" s="22">
        <f>[2]S1!I676</f>
        <v>180</v>
      </c>
      <c r="J675" s="13">
        <f>[2]S1!J676</f>
        <v>0</v>
      </c>
      <c r="K675" s="19">
        <f>[2]S1!K676</f>
        <v>1680</v>
      </c>
      <c r="L675" s="52">
        <f>[2]S1!L676</f>
        <v>18000</v>
      </c>
      <c r="M675" s="58">
        <f>[2]S1!M676</f>
        <v>9</v>
      </c>
      <c r="N675" s="49">
        <f>[2]S1!P676</f>
        <v>9784911551</v>
      </c>
      <c r="O675" s="14"/>
    </row>
    <row r="676" spans="1:15" x14ac:dyDescent="0.3">
      <c r="A676" s="11">
        <v>3723</v>
      </c>
      <c r="B676" s="12" t="str">
        <f>[3]Name!E2727</f>
        <v>Niramal Kumar barvad</v>
      </c>
      <c r="C676" s="13">
        <f>[2]S1!C677</f>
        <v>16500</v>
      </c>
      <c r="D676" s="13">
        <f>[2]S1!D677</f>
        <v>0</v>
      </c>
      <c r="E676" s="26">
        <f>[2]S1!E677</f>
        <v>0</v>
      </c>
      <c r="F676" s="26">
        <f>[2]S1!F677</f>
        <v>0</v>
      </c>
      <c r="G676" s="22">
        <f>[2]S1!G677</f>
        <v>1500</v>
      </c>
      <c r="H676" s="22">
        <f>[2]S1!H677</f>
        <v>0</v>
      </c>
      <c r="I676" s="22">
        <f>[2]S1!I677</f>
        <v>180</v>
      </c>
      <c r="J676" s="13">
        <f>[2]S1!J677</f>
        <v>0</v>
      </c>
      <c r="K676" s="19">
        <f>[2]S1!K677</f>
        <v>1680</v>
      </c>
      <c r="L676" s="52">
        <f>[2]S1!L677</f>
        <v>18000</v>
      </c>
      <c r="M676" s="58">
        <f>[2]S1!M677</f>
        <v>9</v>
      </c>
      <c r="N676" s="49">
        <f>[2]S1!P677</f>
        <v>9784911551</v>
      </c>
      <c r="O676" s="14"/>
    </row>
    <row r="677" spans="1:15" x14ac:dyDescent="0.3">
      <c r="A677" s="11">
        <v>3724</v>
      </c>
      <c r="B677" s="12" t="str">
        <f>[3]Name!E2728</f>
        <v>Hansa Devi Barvad</v>
      </c>
      <c r="C677" s="13">
        <f>[2]S1!C678</f>
        <v>16500</v>
      </c>
      <c r="D677" s="13">
        <f>[2]S1!D678</f>
        <v>0</v>
      </c>
      <c r="E677" s="26">
        <f>[2]S1!E678</f>
        <v>0</v>
      </c>
      <c r="F677" s="26">
        <f>[2]S1!F678</f>
        <v>0</v>
      </c>
      <c r="G677" s="22">
        <f>[2]S1!G678</f>
        <v>1500</v>
      </c>
      <c r="H677" s="22">
        <f>[2]S1!H678</f>
        <v>0</v>
      </c>
      <c r="I677" s="22">
        <f>[2]S1!I678</f>
        <v>180</v>
      </c>
      <c r="J677" s="13">
        <f>[2]S1!J678</f>
        <v>0</v>
      </c>
      <c r="K677" s="19">
        <f>[2]S1!K678</f>
        <v>1680</v>
      </c>
      <c r="L677" s="52">
        <f>[2]S1!L678</f>
        <v>18000</v>
      </c>
      <c r="M677" s="58">
        <f>[2]S1!M678</f>
        <v>9</v>
      </c>
      <c r="N677" s="49">
        <f>[2]S1!P678</f>
        <v>9784911551</v>
      </c>
      <c r="O677" s="14"/>
    </row>
    <row r="678" spans="1:15" x14ac:dyDescent="0.3">
      <c r="A678" s="11">
        <v>3725</v>
      </c>
      <c r="B678" s="12" t="str">
        <f>[3]Name!E2729</f>
        <v>Gopal Lal Barvad</v>
      </c>
      <c r="C678" s="13">
        <f>[2]S1!C679</f>
        <v>1000</v>
      </c>
      <c r="D678" s="13">
        <f>[2]S1!D679</f>
        <v>0</v>
      </c>
      <c r="E678" s="26">
        <f>[2]S1!E679</f>
        <v>0</v>
      </c>
      <c r="F678" s="26">
        <f>[2]S1!F679</f>
        <v>0</v>
      </c>
      <c r="G678" s="22">
        <f>[2]S1!G679</f>
        <v>1000</v>
      </c>
      <c r="H678" s="22">
        <f>[2]S1!H679</f>
        <v>0</v>
      </c>
      <c r="I678" s="22">
        <f>[2]S1!I679</f>
        <v>230</v>
      </c>
      <c r="J678" s="13">
        <f>[2]S1!J679</f>
        <v>0</v>
      </c>
      <c r="K678" s="19">
        <f>[2]S1!K679</f>
        <v>1230</v>
      </c>
      <c r="L678" s="52">
        <f>[2]S1!L679</f>
        <v>23000</v>
      </c>
      <c r="M678" s="58">
        <f>[2]S1!M679</f>
        <v>8</v>
      </c>
      <c r="N678" s="49">
        <f>[2]S1!P679</f>
        <v>9784575270</v>
      </c>
      <c r="O678" s="14"/>
    </row>
    <row r="679" spans="1:15" x14ac:dyDescent="0.3">
      <c r="A679" s="11">
        <v>3726</v>
      </c>
      <c r="B679" s="12" t="str">
        <f>[3]Name!E2730</f>
        <v>kesar Devi Barvad</v>
      </c>
      <c r="C679" s="13">
        <f>[2]S1!C680</f>
        <v>1000</v>
      </c>
      <c r="D679" s="13">
        <f>[2]S1!D680</f>
        <v>0</v>
      </c>
      <c r="E679" s="26">
        <f>[2]S1!E680</f>
        <v>0</v>
      </c>
      <c r="F679" s="26">
        <f>[2]S1!F680</f>
        <v>0</v>
      </c>
      <c r="G679" s="22">
        <f>[2]S1!G680</f>
        <v>1000</v>
      </c>
      <c r="H679" s="22">
        <f>[2]S1!H680</f>
        <v>0</v>
      </c>
      <c r="I679" s="22">
        <f>[2]S1!I680</f>
        <v>230</v>
      </c>
      <c r="J679" s="13">
        <f>[2]S1!J680</f>
        <v>0</v>
      </c>
      <c r="K679" s="19">
        <f>[2]S1!K680</f>
        <v>1230</v>
      </c>
      <c r="L679" s="52">
        <f>[2]S1!L680</f>
        <v>23000</v>
      </c>
      <c r="M679" s="58">
        <f>[2]S1!M680</f>
        <v>8</v>
      </c>
      <c r="N679" s="49">
        <f>[2]S1!P680</f>
        <v>9784575270</v>
      </c>
      <c r="O679" s="14"/>
    </row>
    <row r="680" spans="1:15" x14ac:dyDescent="0.3">
      <c r="A680" s="11">
        <v>3727</v>
      </c>
      <c r="B680" s="12" t="str">
        <f>[3]Name!E2731</f>
        <v>Birdi Chand Barvad</v>
      </c>
      <c r="C680" s="13">
        <f>[2]S1!C681</f>
        <v>1000</v>
      </c>
      <c r="D680" s="13">
        <f>[2]S1!D681</f>
        <v>0</v>
      </c>
      <c r="E680" s="26">
        <f>[2]S1!E681</f>
        <v>0</v>
      </c>
      <c r="F680" s="26">
        <f>[2]S1!F681</f>
        <v>0</v>
      </c>
      <c r="G680" s="22">
        <f>[2]S1!G681</f>
        <v>1000</v>
      </c>
      <c r="H680" s="22">
        <f>[2]S1!H681</f>
        <v>0</v>
      </c>
      <c r="I680" s="22">
        <f>[2]S1!I681</f>
        <v>230</v>
      </c>
      <c r="J680" s="13">
        <f>[2]S1!J681</f>
        <v>0</v>
      </c>
      <c r="K680" s="19">
        <f>[2]S1!K681</f>
        <v>1230</v>
      </c>
      <c r="L680" s="52">
        <f>[2]S1!L681</f>
        <v>23000</v>
      </c>
      <c r="M680" s="58">
        <f>[2]S1!M681</f>
        <v>8</v>
      </c>
      <c r="N680" s="49">
        <f>[2]S1!P681</f>
        <v>9784575270</v>
      </c>
      <c r="O680" s="14"/>
    </row>
    <row r="681" spans="1:15" x14ac:dyDescent="0.3">
      <c r="A681" s="11">
        <v>3728</v>
      </c>
      <c r="B681" s="12" t="str">
        <f>[3]Name!E2732</f>
        <v>Niramal Kumar barvad</v>
      </c>
      <c r="C681" s="13">
        <f>[2]S1!C682</f>
        <v>1000</v>
      </c>
      <c r="D681" s="13">
        <f>[2]S1!D682</f>
        <v>0</v>
      </c>
      <c r="E681" s="26">
        <f>[2]S1!E682</f>
        <v>0</v>
      </c>
      <c r="F681" s="26">
        <f>[2]S1!F682</f>
        <v>0</v>
      </c>
      <c r="G681" s="22">
        <f>[2]S1!G682</f>
        <v>1000</v>
      </c>
      <c r="H681" s="22">
        <f>[2]S1!H682</f>
        <v>0</v>
      </c>
      <c r="I681" s="22">
        <f>[2]S1!I682</f>
        <v>230</v>
      </c>
      <c r="J681" s="13">
        <f>[2]S1!J682</f>
        <v>0</v>
      </c>
      <c r="K681" s="19">
        <f>[2]S1!K682</f>
        <v>1230</v>
      </c>
      <c r="L681" s="52">
        <f>[2]S1!L682</f>
        <v>23000</v>
      </c>
      <c r="M681" s="58">
        <f>[2]S1!M682</f>
        <v>8</v>
      </c>
      <c r="N681" s="49">
        <f>[2]S1!P682</f>
        <v>9784575270</v>
      </c>
      <c r="O681" s="14"/>
    </row>
    <row r="682" spans="1:15" x14ac:dyDescent="0.3">
      <c r="A682" s="11">
        <v>3729</v>
      </c>
      <c r="B682" s="12" t="str">
        <f>[3]Name!E2733</f>
        <v>Hansa Devi Barvad</v>
      </c>
      <c r="C682" s="13">
        <f>[2]S1!C683</f>
        <v>1000</v>
      </c>
      <c r="D682" s="13">
        <f>[2]S1!D683</f>
        <v>0</v>
      </c>
      <c r="E682" s="26">
        <f>[2]S1!E683</f>
        <v>0</v>
      </c>
      <c r="F682" s="26">
        <f>[2]S1!F683</f>
        <v>0</v>
      </c>
      <c r="G682" s="22">
        <f>[2]S1!G683</f>
        <v>1000</v>
      </c>
      <c r="H682" s="22">
        <f>[2]S1!H683</f>
        <v>0</v>
      </c>
      <c r="I682" s="22">
        <f>[2]S1!I683</f>
        <v>230</v>
      </c>
      <c r="J682" s="13">
        <f>[2]S1!J683</f>
        <v>0</v>
      </c>
      <c r="K682" s="19">
        <f>[2]S1!K683</f>
        <v>1230</v>
      </c>
      <c r="L682" s="52">
        <f>[2]S1!L683</f>
        <v>23000</v>
      </c>
      <c r="M682" s="58">
        <f>[2]S1!M683</f>
        <v>8</v>
      </c>
      <c r="N682" s="49">
        <f>[2]S1!P683</f>
        <v>9784575270</v>
      </c>
      <c r="O682" s="14"/>
    </row>
    <row r="683" spans="1:15" x14ac:dyDescent="0.3">
      <c r="A683" s="11">
        <v>3730</v>
      </c>
      <c r="B683" s="12" t="str">
        <f>[3]Name!E2734</f>
        <v xml:space="preserve">Kamali devi Ghodeta </v>
      </c>
      <c r="C683" s="13">
        <f>[2]S1!C684</f>
        <v>500</v>
      </c>
      <c r="D683" s="13">
        <f>[2]S1!D684</f>
        <v>0</v>
      </c>
      <c r="E683" s="26">
        <f>[2]S1!E684</f>
        <v>200</v>
      </c>
      <c r="F683" s="26">
        <f>[2]S1!F684</f>
        <v>0</v>
      </c>
      <c r="G683" s="22">
        <f>[2]S1!G684</f>
        <v>0</v>
      </c>
      <c r="H683" s="22">
        <f>[2]S1!H684</f>
        <v>0</v>
      </c>
      <c r="I683" s="22">
        <f>[2]S1!I684</f>
        <v>31</v>
      </c>
      <c r="J683" s="13">
        <f>[2]S1!J684</f>
        <v>0</v>
      </c>
      <c r="K683" s="19">
        <f>[2]S1!K684</f>
        <v>231</v>
      </c>
      <c r="L683" s="52">
        <f>[2]S1!L684</f>
        <v>3063</v>
      </c>
      <c r="M683" s="58">
        <f>[2]S1!M684</f>
        <v>24</v>
      </c>
      <c r="N683" s="49">
        <f>[2]S1!P684</f>
        <v>8769913917</v>
      </c>
      <c r="O683" s="14"/>
    </row>
    <row r="684" spans="1:15" x14ac:dyDescent="0.3">
      <c r="A684" s="11">
        <v>3731</v>
      </c>
      <c r="B684" s="12" t="str">
        <f>[3]Name!E2735</f>
        <v>Jagadish Kumar Ghodeta</v>
      </c>
      <c r="C684" s="13">
        <f>[2]S1!C685</f>
        <v>1400</v>
      </c>
      <c r="D684" s="13">
        <f>[2]S1!D685</f>
        <v>0</v>
      </c>
      <c r="E684" s="26">
        <f>[2]S1!E685</f>
        <v>200</v>
      </c>
      <c r="F684" s="26">
        <f>[2]S1!F685</f>
        <v>0</v>
      </c>
      <c r="G684" s="22">
        <f>[2]S1!G685</f>
        <v>0</v>
      </c>
      <c r="H684" s="22">
        <f>[2]S1!H685</f>
        <v>0</v>
      </c>
      <c r="I684" s="22">
        <f>[2]S1!I685</f>
        <v>144</v>
      </c>
      <c r="J684" s="13">
        <f>[2]S1!J685</f>
        <v>0</v>
      </c>
      <c r="K684" s="19">
        <f>[2]S1!K685</f>
        <v>344</v>
      </c>
      <c r="L684" s="52">
        <f>[2]S1!L685</f>
        <v>14400</v>
      </c>
      <c r="M684" s="58">
        <f>[2]S1!M685</f>
        <v>4</v>
      </c>
      <c r="N684" s="49">
        <f>[2]S1!P685</f>
        <v>8769913917</v>
      </c>
      <c r="O684" s="14"/>
    </row>
    <row r="685" spans="1:15" x14ac:dyDescent="0.3">
      <c r="A685" s="11">
        <v>3732</v>
      </c>
      <c r="B685" s="12" t="str">
        <f>[3]Name!E2736</f>
        <v>Jagadish Kumar Ghodeta</v>
      </c>
      <c r="C685" s="13">
        <f>[2]S1!C686</f>
        <v>0</v>
      </c>
      <c r="D685" s="13">
        <f>[2]S1!D686</f>
        <v>0</v>
      </c>
      <c r="E685" s="26">
        <f>[2]S1!E686</f>
        <v>200</v>
      </c>
      <c r="F685" s="26">
        <f>[2]S1!F686</f>
        <v>0</v>
      </c>
      <c r="G685" s="22">
        <f>[2]S1!G686</f>
        <v>16395</v>
      </c>
      <c r="H685" s="22">
        <f>[2]S1!H686</f>
        <v>0</v>
      </c>
      <c r="I685" s="22">
        <f>[2]S1!I686</f>
        <v>164</v>
      </c>
      <c r="J685" s="13">
        <f>[2]S1!J686</f>
        <v>0</v>
      </c>
      <c r="K685" s="19">
        <f>[2]S1!K686</f>
        <v>16759</v>
      </c>
      <c r="L685" s="52">
        <f>[2]S1!L686</f>
        <v>16395</v>
      </c>
      <c r="M685" s="58">
        <f>[2]S1!M686</f>
        <v>6</v>
      </c>
      <c r="N685" s="49">
        <f>[2]S1!P686</f>
        <v>8769913917</v>
      </c>
      <c r="O685" s="14"/>
    </row>
    <row r="686" spans="1:15" x14ac:dyDescent="0.3">
      <c r="A686" s="11">
        <v>3733</v>
      </c>
      <c r="B686" s="12" t="str">
        <f>[3]Name!E2737</f>
        <v>Babu Lal Bari</v>
      </c>
      <c r="C686" s="13">
        <f>[2]S1!C687</f>
        <v>1000</v>
      </c>
      <c r="D686" s="13">
        <f>[2]S1!D687</f>
        <v>0</v>
      </c>
      <c r="E686" s="26">
        <f>[2]S1!E687</f>
        <v>200</v>
      </c>
      <c r="F686" s="26">
        <f>[2]S1!F687</f>
        <v>0</v>
      </c>
      <c r="G686" s="22">
        <f>[2]S1!G687</f>
        <v>1000</v>
      </c>
      <c r="H686" s="22">
        <f>[2]S1!H687</f>
        <v>0</v>
      </c>
      <c r="I686" s="22">
        <f>[2]S1!I687</f>
        <v>100</v>
      </c>
      <c r="J686" s="13">
        <f>[2]S1!J687</f>
        <v>0</v>
      </c>
      <c r="K686" s="19">
        <f>[2]S1!K687</f>
        <v>1300</v>
      </c>
      <c r="L686" s="52">
        <f>[2]S1!L687</f>
        <v>10000</v>
      </c>
      <c r="M686" s="58">
        <f>[2]S1!M687</f>
        <v>11</v>
      </c>
      <c r="N686" s="49">
        <f>[2]S1!P687</f>
        <v>9929861074</v>
      </c>
      <c r="O686" s="14"/>
    </row>
    <row r="687" spans="1:15" x14ac:dyDescent="0.3">
      <c r="A687" s="11">
        <v>3734</v>
      </c>
      <c r="B687" s="12" t="str">
        <f>[3]Name!E2738</f>
        <v>Sima Bari</v>
      </c>
      <c r="C687" s="13">
        <f>[2]S1!C688</f>
        <v>1000</v>
      </c>
      <c r="D687" s="13">
        <f>[2]S1!D688</f>
        <v>0</v>
      </c>
      <c r="E687" s="26">
        <f>[2]S1!E688</f>
        <v>200</v>
      </c>
      <c r="F687" s="26">
        <f>[2]S1!F688</f>
        <v>0</v>
      </c>
      <c r="G687" s="22">
        <f>[2]S1!G688</f>
        <v>1000</v>
      </c>
      <c r="H687" s="22">
        <f>[2]S1!H688</f>
        <v>0</v>
      </c>
      <c r="I687" s="22">
        <f>[2]S1!I688</f>
        <v>100</v>
      </c>
      <c r="J687" s="13">
        <f>[2]S1!J688</f>
        <v>0</v>
      </c>
      <c r="K687" s="19">
        <f>[2]S1!K688</f>
        <v>1300</v>
      </c>
      <c r="L687" s="52">
        <f>[2]S1!L688</f>
        <v>10000</v>
      </c>
      <c r="M687" s="58">
        <f>[2]S1!M688</f>
        <v>11</v>
      </c>
      <c r="N687" s="49">
        <f>[2]S1!P688</f>
        <v>9929861074</v>
      </c>
      <c r="O687" s="14"/>
    </row>
    <row r="688" spans="1:15" x14ac:dyDescent="0.3">
      <c r="A688" s="11">
        <v>3735</v>
      </c>
      <c r="B688" s="12" t="str">
        <f>[3]Name!E2739</f>
        <v>Sima Khardiya</v>
      </c>
      <c r="C688" s="13">
        <f>[2]S1!C689</f>
        <v>1000</v>
      </c>
      <c r="D688" s="13">
        <f>[2]S1!D689</f>
        <v>0</v>
      </c>
      <c r="E688" s="26">
        <f>[2]S1!E689</f>
        <v>200</v>
      </c>
      <c r="F688" s="26">
        <f>[2]S1!F689</f>
        <v>0</v>
      </c>
      <c r="G688" s="22">
        <f>[2]S1!G689</f>
        <v>1000</v>
      </c>
      <c r="H688" s="22">
        <f>[2]S1!H689</f>
        <v>0</v>
      </c>
      <c r="I688" s="22">
        <f>[2]S1!I689</f>
        <v>180</v>
      </c>
      <c r="J688" s="13">
        <f>[2]S1!J689</f>
        <v>0</v>
      </c>
      <c r="K688" s="19">
        <f>[2]S1!K689</f>
        <v>1380</v>
      </c>
      <c r="L688" s="52">
        <f>[2]S1!L689</f>
        <v>18000</v>
      </c>
      <c r="M688" s="58">
        <f>[2]S1!M689</f>
        <v>3</v>
      </c>
      <c r="N688" s="49">
        <f>[2]S1!P689</f>
        <v>8559873879</v>
      </c>
      <c r="O688" s="14"/>
    </row>
    <row r="689" spans="1:15" x14ac:dyDescent="0.3">
      <c r="A689" s="11">
        <v>3736</v>
      </c>
      <c r="B689" s="12" t="str">
        <f>[3]Name!E2740</f>
        <v>Suman Khardiya</v>
      </c>
      <c r="C689" s="13">
        <f>[2]S1!C690</f>
        <v>1000</v>
      </c>
      <c r="D689" s="13">
        <f>[2]S1!D690</f>
        <v>0</v>
      </c>
      <c r="E689" s="26">
        <f>[2]S1!E690</f>
        <v>200</v>
      </c>
      <c r="F689" s="26">
        <f>[2]S1!F690</f>
        <v>0</v>
      </c>
      <c r="G689" s="22">
        <f>[2]S1!G690</f>
        <v>1000</v>
      </c>
      <c r="H689" s="22">
        <f>[2]S1!H690</f>
        <v>0</v>
      </c>
      <c r="I689" s="22">
        <f>[2]S1!I690</f>
        <v>180</v>
      </c>
      <c r="J689" s="13">
        <f>[2]S1!J690</f>
        <v>0</v>
      </c>
      <c r="K689" s="19">
        <f>[2]S1!K690</f>
        <v>1380</v>
      </c>
      <c r="L689" s="52">
        <f>[2]S1!L690</f>
        <v>18000</v>
      </c>
      <c r="M689" s="58">
        <f>[2]S1!M690</f>
        <v>3</v>
      </c>
      <c r="N689" s="49">
        <f>[2]S1!P690</f>
        <v>8559873879</v>
      </c>
      <c r="O689" s="14"/>
    </row>
    <row r="690" spans="1:15" x14ac:dyDescent="0.3">
      <c r="A690" s="11">
        <v>3737</v>
      </c>
      <c r="B690" s="12" t="str">
        <f>[3]Name!E2741</f>
        <v>Divakar Runival</v>
      </c>
      <c r="C690" s="13">
        <f>[2]S1!C691</f>
        <v>0</v>
      </c>
      <c r="D690" s="13">
        <f>[2]S1!D691</f>
        <v>0</v>
      </c>
      <c r="E690" s="26">
        <f>[2]S1!E691</f>
        <v>200</v>
      </c>
      <c r="F690" s="26">
        <f>[2]S1!F691</f>
        <v>0</v>
      </c>
      <c r="G690" s="22">
        <f>[2]S1!G691</f>
        <v>0</v>
      </c>
      <c r="H690" s="22">
        <f>[2]S1!H691</f>
        <v>0</v>
      </c>
      <c r="I690" s="22">
        <f>[2]S1!I691</f>
        <v>0</v>
      </c>
      <c r="J690" s="13">
        <f>[2]S1!J691</f>
        <v>0</v>
      </c>
      <c r="K690" s="19">
        <f>[2]S1!K691</f>
        <v>200</v>
      </c>
      <c r="L690" s="52">
        <f>[2]S1!L691</f>
        <v>0</v>
      </c>
      <c r="M690" s="58">
        <f>[2]S1!M691</f>
        <v>0</v>
      </c>
      <c r="N690" s="49">
        <f>[2]S1!P691</f>
        <v>9058940316</v>
      </c>
      <c r="O690" s="14"/>
    </row>
    <row r="691" spans="1:15" x14ac:dyDescent="0.3">
      <c r="A691" s="11">
        <v>3738</v>
      </c>
      <c r="B691" s="12" t="str">
        <f>[3]Name!E2742</f>
        <v>Chandra Runival</v>
      </c>
      <c r="C691" s="13">
        <f>[2]S1!C692</f>
        <v>0</v>
      </c>
      <c r="D691" s="13">
        <f>[2]S1!D692</f>
        <v>0</v>
      </c>
      <c r="E691" s="26">
        <f>[2]S1!E692</f>
        <v>200</v>
      </c>
      <c r="F691" s="26">
        <f>[2]S1!F692</f>
        <v>0</v>
      </c>
      <c r="G691" s="22">
        <f>[2]S1!G692</f>
        <v>0</v>
      </c>
      <c r="H691" s="22">
        <f>[2]S1!H692</f>
        <v>0</v>
      </c>
      <c r="I691" s="22">
        <f>[2]S1!I692</f>
        <v>0</v>
      </c>
      <c r="J691" s="13">
        <f>[2]S1!J692</f>
        <v>0</v>
      </c>
      <c r="K691" s="19">
        <f>[2]S1!K692</f>
        <v>200</v>
      </c>
      <c r="L691" s="52">
        <f>[2]S1!L692</f>
        <v>0</v>
      </c>
      <c r="M691" s="58">
        <f>[2]S1!M692</f>
        <v>0</v>
      </c>
      <c r="N691" s="49">
        <f>[2]S1!P692</f>
        <v>9058940316</v>
      </c>
      <c r="O691" s="14"/>
    </row>
    <row r="692" spans="1:15" x14ac:dyDescent="0.3">
      <c r="A692" s="11">
        <v>3739</v>
      </c>
      <c r="B692" s="12" t="str">
        <f>[3]Name!E2743</f>
        <v>Gyarsi Devi Gugdodiya</v>
      </c>
      <c r="C692" s="13">
        <f>[2]S1!C693</f>
        <v>1000</v>
      </c>
      <c r="D692" s="13">
        <f>[2]S1!D693</f>
        <v>0</v>
      </c>
      <c r="E692" s="26">
        <f>[2]S1!E693</f>
        <v>147</v>
      </c>
      <c r="F692" s="26">
        <f>[2]S1!F693</f>
        <v>0</v>
      </c>
      <c r="G692" s="22">
        <f>[2]S1!G693</f>
        <v>1000</v>
      </c>
      <c r="H692" s="22">
        <f>[2]S1!H693</f>
        <v>0</v>
      </c>
      <c r="I692" s="22">
        <f>[2]S1!I693</f>
        <v>40</v>
      </c>
      <c r="J692" s="13">
        <f>[2]S1!J693</f>
        <v>0</v>
      </c>
      <c r="K692" s="19">
        <f>[2]S1!K693</f>
        <v>1187</v>
      </c>
      <c r="L692" s="52">
        <f>[2]S1!L693</f>
        <v>4000</v>
      </c>
      <c r="M692" s="58">
        <f>[2]S1!M693</f>
        <v>17</v>
      </c>
      <c r="N692" s="49">
        <f>[2]S1!P693</f>
        <v>9667302838</v>
      </c>
      <c r="O692" s="14"/>
    </row>
    <row r="693" spans="1:15" x14ac:dyDescent="0.3">
      <c r="A693" s="11">
        <v>3740</v>
      </c>
      <c r="B693" s="12" t="str">
        <f>[3]Name!E2744</f>
        <v>Bila Devi Gugdodiya</v>
      </c>
      <c r="C693" s="13">
        <f>[2]S1!C694</f>
        <v>1000</v>
      </c>
      <c r="D693" s="13">
        <f>[2]S1!D694</f>
        <v>0</v>
      </c>
      <c r="E693" s="26">
        <f>[2]S1!E694</f>
        <v>200</v>
      </c>
      <c r="F693" s="26">
        <f>[2]S1!F694</f>
        <v>0</v>
      </c>
      <c r="G693" s="22">
        <f>[2]S1!G694</f>
        <v>1000</v>
      </c>
      <c r="H693" s="22">
        <f>[2]S1!H694</f>
        <v>0</v>
      </c>
      <c r="I693" s="22">
        <f>[2]S1!I694</f>
        <v>40</v>
      </c>
      <c r="J693" s="13">
        <f>[2]S1!J694</f>
        <v>0</v>
      </c>
      <c r="K693" s="19">
        <f>[2]S1!K694</f>
        <v>1240</v>
      </c>
      <c r="L693" s="52">
        <f>[2]S1!L694</f>
        <v>4000</v>
      </c>
      <c r="M693" s="58">
        <f>[2]S1!M694</f>
        <v>17</v>
      </c>
      <c r="N693" s="49">
        <f>[2]S1!P694</f>
        <v>9667302838</v>
      </c>
      <c r="O693" s="14"/>
    </row>
    <row r="694" spans="1:15" x14ac:dyDescent="0.3">
      <c r="A694" s="11">
        <v>3741</v>
      </c>
      <c r="B694" s="12" t="str">
        <f>[3]Name!E2745</f>
        <v>Om Prakash Gugdodiya</v>
      </c>
      <c r="C694" s="13">
        <f>[2]S1!C695</f>
        <v>1000</v>
      </c>
      <c r="D694" s="13">
        <f>[2]S1!D695</f>
        <v>0</v>
      </c>
      <c r="E694" s="26">
        <f>[2]S1!E695</f>
        <v>200</v>
      </c>
      <c r="F694" s="26">
        <f>[2]S1!F695</f>
        <v>0</v>
      </c>
      <c r="G694" s="22">
        <f>[2]S1!G695</f>
        <v>1000</v>
      </c>
      <c r="H694" s="22">
        <f>[2]S1!H695</f>
        <v>0</v>
      </c>
      <c r="I694" s="22">
        <f>[2]S1!I695</f>
        <v>40</v>
      </c>
      <c r="J694" s="13">
        <f>[2]S1!J695</f>
        <v>0</v>
      </c>
      <c r="K694" s="19">
        <f>[2]S1!K695</f>
        <v>1240</v>
      </c>
      <c r="L694" s="52">
        <f>[2]S1!L695</f>
        <v>4000</v>
      </c>
      <c r="M694" s="58">
        <f>[2]S1!M695</f>
        <v>17</v>
      </c>
      <c r="N694" s="49">
        <f>[2]S1!P695</f>
        <v>9667302838</v>
      </c>
      <c r="O694" s="14"/>
    </row>
    <row r="695" spans="1:15" x14ac:dyDescent="0.3">
      <c r="A695" s="11">
        <v>3742</v>
      </c>
      <c r="B695" s="12" t="str">
        <f>[3]Name!E2746</f>
        <v>Dinesh Kumar Gugdodiya</v>
      </c>
      <c r="C695" s="13">
        <f>[2]S1!C696</f>
        <v>0</v>
      </c>
      <c r="D695" s="13">
        <f>[2]S1!D696</f>
        <v>196</v>
      </c>
      <c r="E695" s="26">
        <f>[2]S1!E696</f>
        <v>2400</v>
      </c>
      <c r="F695" s="26">
        <f>[2]S1!F696</f>
        <v>784</v>
      </c>
      <c r="G695" s="22">
        <f>[2]S1!G696</f>
        <v>0</v>
      </c>
      <c r="H695" s="22">
        <f>[2]S1!H696</f>
        <v>0</v>
      </c>
      <c r="I695" s="22">
        <f>[2]S1!I696</f>
        <v>0</v>
      </c>
      <c r="J695" s="13">
        <f>[2]S1!J696</f>
        <v>0</v>
      </c>
      <c r="K695" s="19">
        <f>[2]S1!K696</f>
        <v>3184</v>
      </c>
      <c r="L695" s="52">
        <f>[2]S1!L696</f>
        <v>0</v>
      </c>
      <c r="M695" s="58">
        <f>[2]S1!M696</f>
        <v>0</v>
      </c>
      <c r="N695" s="49">
        <f>[2]S1!P696</f>
        <v>9694152585</v>
      </c>
      <c r="O695" s="14"/>
    </row>
    <row r="696" spans="1:15" x14ac:dyDescent="0.3">
      <c r="A696" s="11">
        <v>3743</v>
      </c>
      <c r="B696" s="12" t="str">
        <f>[3]Name!E2747</f>
        <v>Rajana Varma</v>
      </c>
      <c r="C696" s="13">
        <f>[2]S1!C697</f>
        <v>0</v>
      </c>
      <c r="D696" s="13">
        <f>[2]S1!D697</f>
        <v>2248</v>
      </c>
      <c r="E696" s="26">
        <f>[2]S1!E697</f>
        <v>1956</v>
      </c>
      <c r="F696" s="26">
        <f>[2]S1!F697</f>
        <v>487</v>
      </c>
      <c r="G696" s="22">
        <f>[2]S1!G697</f>
        <v>16200</v>
      </c>
      <c r="H696" s="22">
        <f>[2]S1!H697</f>
        <v>4008</v>
      </c>
      <c r="I696" s="22">
        <f>[2]S1!I697</f>
        <v>1620</v>
      </c>
      <c r="J696" s="13">
        <f>[2]S1!J697</f>
        <v>0</v>
      </c>
      <c r="K696" s="19">
        <f>[2]S1!K697</f>
        <v>24271</v>
      </c>
      <c r="L696" s="52">
        <f>[2]S1!L697</f>
        <v>16200</v>
      </c>
      <c r="M696" s="58">
        <f>[2]S1!M697</f>
        <v>10</v>
      </c>
      <c r="N696" s="49">
        <f>[2]S1!P697</f>
        <v>9694152585</v>
      </c>
      <c r="O696" s="14"/>
    </row>
    <row r="697" spans="1:15" x14ac:dyDescent="0.3">
      <c r="A697" s="11">
        <v>3744</v>
      </c>
      <c r="B697" s="12" t="str">
        <f>[3]Name!E2748</f>
        <v>Dinesh Kumar Varma</v>
      </c>
      <c r="C697" s="13">
        <f>[2]S1!C698</f>
        <v>0</v>
      </c>
      <c r="D697" s="13">
        <f>[2]S1!D698</f>
        <v>2114</v>
      </c>
      <c r="E697" s="26">
        <f>[2]S1!E698</f>
        <v>2000</v>
      </c>
      <c r="F697" s="26">
        <f>[2]S1!F698</f>
        <v>516</v>
      </c>
      <c r="G697" s="22">
        <f>[2]S1!G698</f>
        <v>15000</v>
      </c>
      <c r="H697" s="22">
        <f>[2]S1!H698</f>
        <v>3711</v>
      </c>
      <c r="I697" s="22">
        <f>[2]S1!I698</f>
        <v>1500</v>
      </c>
      <c r="J697" s="13">
        <f>[2]S1!J698</f>
        <v>0</v>
      </c>
      <c r="K697" s="19">
        <f>[2]S1!K698</f>
        <v>22727</v>
      </c>
      <c r="L697" s="52">
        <f>[2]S1!L698</f>
        <v>15000</v>
      </c>
      <c r="M697" s="58">
        <f>[2]S1!M698</f>
        <v>10</v>
      </c>
      <c r="N697" s="49">
        <f>[2]S1!P698</f>
        <v>9694152585</v>
      </c>
      <c r="O697" s="14"/>
    </row>
    <row r="698" spans="1:15" x14ac:dyDescent="0.3">
      <c r="A698" s="11">
        <v>3745</v>
      </c>
      <c r="B698" s="12" t="str">
        <f>[3]Name!E2749</f>
        <v>Niharika Varma</v>
      </c>
      <c r="C698" s="13">
        <f>[2]S1!C699</f>
        <v>0</v>
      </c>
      <c r="D698" s="13">
        <f>[2]S1!D699</f>
        <v>1664</v>
      </c>
      <c r="E698" s="26">
        <f>[2]S1!E699</f>
        <v>2000</v>
      </c>
      <c r="F698" s="26">
        <f>[2]S1!F699</f>
        <v>516</v>
      </c>
      <c r="G698" s="22">
        <f>[2]S1!G699</f>
        <v>9000</v>
      </c>
      <c r="H698" s="22">
        <f>[2]S1!H699</f>
        <v>2812</v>
      </c>
      <c r="I698" s="22">
        <f>[2]S1!I699</f>
        <v>900</v>
      </c>
      <c r="J698" s="13">
        <f>[2]S1!J699</f>
        <v>0</v>
      </c>
      <c r="K698" s="19">
        <f>[2]S1!K699</f>
        <v>15228</v>
      </c>
      <c r="L698" s="52">
        <f>[2]S1!L699</f>
        <v>9000</v>
      </c>
      <c r="M698" s="58">
        <f>[2]S1!M699</f>
        <v>21</v>
      </c>
      <c r="N698" s="49">
        <f>[2]S1!P699</f>
        <v>9694152585</v>
      </c>
      <c r="O698" s="14"/>
    </row>
    <row r="699" spans="1:15" x14ac:dyDescent="0.3">
      <c r="A699" s="11">
        <v>3746</v>
      </c>
      <c r="B699" s="12" t="str">
        <f>[3]Name!E2750</f>
        <v>Jitendr Kumar Tandada</v>
      </c>
      <c r="C699" s="13">
        <f>[2]S1!C700</f>
        <v>0</v>
      </c>
      <c r="D699" s="13">
        <f>[2]S1!D700</f>
        <v>0</v>
      </c>
      <c r="E699" s="26">
        <f>[2]S1!E700</f>
        <v>200</v>
      </c>
      <c r="F699" s="26">
        <f>[2]S1!F700</f>
        <v>0</v>
      </c>
      <c r="G699" s="22">
        <f>[2]S1!G700</f>
        <v>0</v>
      </c>
      <c r="H699" s="22">
        <f>[2]S1!H700</f>
        <v>0</v>
      </c>
      <c r="I699" s="22">
        <f>[2]S1!I700</f>
        <v>0</v>
      </c>
      <c r="J699" s="13">
        <f>[2]S1!J700</f>
        <v>0</v>
      </c>
      <c r="K699" s="19">
        <f>[2]S1!K700</f>
        <v>200</v>
      </c>
      <c r="L699" s="52">
        <f>[2]S1!L700</f>
        <v>0</v>
      </c>
      <c r="M699" s="58">
        <f>[2]S1!M700</f>
        <v>0</v>
      </c>
      <c r="N699" s="49">
        <f>[2]S1!P700</f>
        <v>9928813200</v>
      </c>
      <c r="O699" s="14"/>
    </row>
    <row r="700" spans="1:15" x14ac:dyDescent="0.3">
      <c r="A700" s="11">
        <v>3747</v>
      </c>
      <c r="B700" s="12" t="str">
        <f>[3]Name!E2751</f>
        <v>Suja Ram Tandada</v>
      </c>
      <c r="C700" s="13">
        <f>[2]S1!C701</f>
        <v>0</v>
      </c>
      <c r="D700" s="13">
        <f>[2]S1!D701</f>
        <v>0</v>
      </c>
      <c r="E700" s="26">
        <f>[2]S1!E701</f>
        <v>200</v>
      </c>
      <c r="F700" s="26">
        <f>[2]S1!F701</f>
        <v>0</v>
      </c>
      <c r="G700" s="22">
        <f>[2]S1!G701</f>
        <v>0</v>
      </c>
      <c r="H700" s="22">
        <f>[2]S1!H701</f>
        <v>0</v>
      </c>
      <c r="I700" s="22">
        <f>[2]S1!I701</f>
        <v>0</v>
      </c>
      <c r="J700" s="13">
        <f>[2]S1!J701</f>
        <v>0</v>
      </c>
      <c r="K700" s="19">
        <f>[2]S1!K701</f>
        <v>200</v>
      </c>
      <c r="L700" s="52">
        <f>[2]S1!L701</f>
        <v>0</v>
      </c>
      <c r="M700" s="58">
        <f>[2]S1!M701</f>
        <v>0</v>
      </c>
      <c r="N700" s="49">
        <f>[2]S1!P701</f>
        <v>9928813200</v>
      </c>
      <c r="O700" s="14"/>
    </row>
    <row r="701" spans="1:15" x14ac:dyDescent="0.3">
      <c r="A701" s="11">
        <v>3748</v>
      </c>
      <c r="B701" s="12" t="str">
        <f>[3]Name!E2752</f>
        <v>Prem Chand</v>
      </c>
      <c r="C701" s="13">
        <f>[2]S1!C702</f>
        <v>1000</v>
      </c>
      <c r="D701" s="13">
        <f>[2]S1!D702</f>
        <v>0</v>
      </c>
      <c r="E701" s="26">
        <f>[2]S1!E702</f>
        <v>200</v>
      </c>
      <c r="F701" s="26">
        <f>[2]S1!F702</f>
        <v>0</v>
      </c>
      <c r="G701" s="22">
        <f>[2]S1!G702</f>
        <v>1000</v>
      </c>
      <c r="H701" s="22">
        <f>[2]S1!H702</f>
        <v>0</v>
      </c>
      <c r="I701" s="22">
        <f>[2]S1!I702</f>
        <v>110</v>
      </c>
      <c r="J701" s="13">
        <f>[2]S1!J702</f>
        <v>0</v>
      </c>
      <c r="K701" s="19">
        <f>[2]S1!K702</f>
        <v>1310</v>
      </c>
      <c r="L701" s="52">
        <f>[2]S1!L702</f>
        <v>11000</v>
      </c>
      <c r="M701" s="58">
        <f>[2]S1!M702</f>
        <v>10</v>
      </c>
      <c r="N701" s="49">
        <f>[2]S1!P702</f>
        <v>9929832722</v>
      </c>
      <c r="O701" s="14"/>
    </row>
    <row r="702" spans="1:15" x14ac:dyDescent="0.3">
      <c r="A702" s="11">
        <v>3749</v>
      </c>
      <c r="B702" s="12" t="str">
        <f>[3]Name!E2753</f>
        <v>Sunita</v>
      </c>
      <c r="C702" s="13">
        <f>[2]S1!C703</f>
        <v>1000</v>
      </c>
      <c r="D702" s="13">
        <f>[2]S1!D703</f>
        <v>0</v>
      </c>
      <c r="E702" s="26">
        <f>[2]S1!E703</f>
        <v>200</v>
      </c>
      <c r="F702" s="26">
        <f>[2]S1!F703</f>
        <v>0</v>
      </c>
      <c r="G702" s="22">
        <f>[2]S1!G703</f>
        <v>0</v>
      </c>
      <c r="H702" s="22">
        <f>[2]S1!H703</f>
        <v>0</v>
      </c>
      <c r="I702" s="22">
        <f>[2]S1!I703</f>
        <v>8</v>
      </c>
      <c r="J702" s="13">
        <f>[2]S1!J703</f>
        <v>0</v>
      </c>
      <c r="K702" s="19">
        <f>[2]S1!K703</f>
        <v>208</v>
      </c>
      <c r="L702" s="52">
        <f>[2]S1!L703</f>
        <v>761</v>
      </c>
      <c r="M702" s="58">
        <f>[2]S1!M703</f>
        <v>10</v>
      </c>
      <c r="N702" s="49">
        <f>[2]S1!P703</f>
        <v>9929832722</v>
      </c>
      <c r="O702" s="14"/>
    </row>
    <row r="703" spans="1:15" x14ac:dyDescent="0.3">
      <c r="A703" s="11">
        <v>3750</v>
      </c>
      <c r="B703" s="12" t="str">
        <f>[3]Name!E2754</f>
        <v>Hari Om Balai</v>
      </c>
      <c r="C703" s="13">
        <f>[2]S1!C704</f>
        <v>2000</v>
      </c>
      <c r="D703" s="13">
        <f>[2]S1!D704</f>
        <v>0</v>
      </c>
      <c r="E703" s="26">
        <f>[2]S1!E704</f>
        <v>0</v>
      </c>
      <c r="F703" s="26">
        <f>[2]S1!F704</f>
        <v>0</v>
      </c>
      <c r="G703" s="22">
        <f>[2]S1!G704</f>
        <v>2000</v>
      </c>
      <c r="H703" s="22">
        <f>[2]S1!H704</f>
        <v>0</v>
      </c>
      <c r="I703" s="22">
        <f>[2]S1!I704</f>
        <v>120</v>
      </c>
      <c r="J703" s="13">
        <f>[2]S1!J704</f>
        <v>0</v>
      </c>
      <c r="K703" s="19">
        <f>[2]S1!K704</f>
        <v>2120</v>
      </c>
      <c r="L703" s="52">
        <f>[2]S1!L704</f>
        <v>12000</v>
      </c>
      <c r="M703" s="58">
        <f>[2]S1!M704</f>
        <v>10</v>
      </c>
      <c r="N703" s="49">
        <f>[2]S1!P704</f>
        <v>8000857197</v>
      </c>
      <c r="O703" s="14"/>
    </row>
    <row r="704" spans="1:15" x14ac:dyDescent="0.3">
      <c r="A704" s="11">
        <v>3751</v>
      </c>
      <c r="B704" s="12" t="str">
        <f>[3]Name!E2755</f>
        <v>Ram Sahay Balai</v>
      </c>
      <c r="C704" s="13">
        <f>[2]S1!C705</f>
        <v>1000</v>
      </c>
      <c r="D704" s="13">
        <f>[2]S1!D705</f>
        <v>0</v>
      </c>
      <c r="E704" s="26">
        <f>[2]S1!E705</f>
        <v>200</v>
      </c>
      <c r="F704" s="26">
        <f>[2]S1!F705</f>
        <v>0</v>
      </c>
      <c r="G704" s="22">
        <f>[2]S1!G705</f>
        <v>1000</v>
      </c>
      <c r="H704" s="22">
        <f>[2]S1!H705</f>
        <v>0</v>
      </c>
      <c r="I704" s="22">
        <f>[2]S1!I705</f>
        <v>140</v>
      </c>
      <c r="J704" s="13">
        <f>[2]S1!J705</f>
        <v>0</v>
      </c>
      <c r="K704" s="19">
        <f>[2]S1!K705</f>
        <v>1340</v>
      </c>
      <c r="L704" s="52">
        <f>[2]S1!L705</f>
        <v>14000</v>
      </c>
      <c r="M704" s="58">
        <f>[2]S1!M705</f>
        <v>7</v>
      </c>
      <c r="N704" s="49">
        <f>[2]S1!P705</f>
        <v>8000857197</v>
      </c>
      <c r="O704" s="14"/>
    </row>
    <row r="705" spans="1:15" x14ac:dyDescent="0.3">
      <c r="A705" s="11">
        <v>3752</v>
      </c>
      <c r="B705" s="12" t="str">
        <f>[3]Name!E2756</f>
        <v>Darm Pal Balai</v>
      </c>
      <c r="C705" s="13">
        <f>[2]S1!C706</f>
        <v>1000</v>
      </c>
      <c r="D705" s="13">
        <f>[2]S1!D706</f>
        <v>0</v>
      </c>
      <c r="E705" s="26">
        <f>[2]S1!E706</f>
        <v>200</v>
      </c>
      <c r="F705" s="26">
        <f>[2]S1!F706</f>
        <v>0</v>
      </c>
      <c r="G705" s="22">
        <f>[2]S1!G706</f>
        <v>1000</v>
      </c>
      <c r="H705" s="22">
        <f>[2]S1!H706</f>
        <v>0</v>
      </c>
      <c r="I705" s="22">
        <f>[2]S1!I706</f>
        <v>140</v>
      </c>
      <c r="J705" s="13">
        <f>[2]S1!J706</f>
        <v>0</v>
      </c>
      <c r="K705" s="19">
        <f>[2]S1!K706</f>
        <v>1340</v>
      </c>
      <c r="L705" s="52">
        <f>[2]S1!L706</f>
        <v>14000</v>
      </c>
      <c r="M705" s="58">
        <f>[2]S1!M706</f>
        <v>7</v>
      </c>
      <c r="N705" s="49">
        <f>[2]S1!P706</f>
        <v>8000857197</v>
      </c>
      <c r="O705" s="14"/>
    </row>
    <row r="706" spans="1:15" x14ac:dyDescent="0.3">
      <c r="A706" s="11">
        <v>3753</v>
      </c>
      <c r="B706" s="12" t="str">
        <f>[3]Name!E2757</f>
        <v>Ramesvar Sachoriya</v>
      </c>
      <c r="C706" s="13">
        <f>[2]S1!C707</f>
        <v>500</v>
      </c>
      <c r="D706" s="13">
        <f>[2]S1!D707</f>
        <v>0</v>
      </c>
      <c r="E706" s="26">
        <f>[2]S1!E707</f>
        <v>200</v>
      </c>
      <c r="F706" s="26">
        <f>[2]S1!F707</f>
        <v>0</v>
      </c>
      <c r="G706" s="22">
        <f>[2]S1!G707</f>
        <v>0</v>
      </c>
      <c r="H706" s="22">
        <f>[2]S1!H707</f>
        <v>0</v>
      </c>
      <c r="I706" s="22">
        <f>[2]S1!I707</f>
        <v>215</v>
      </c>
      <c r="J706" s="13">
        <f>[2]S1!J707</f>
        <v>0</v>
      </c>
      <c r="K706" s="19">
        <f>[2]S1!K707</f>
        <v>415</v>
      </c>
      <c r="L706" s="52">
        <f>[2]S1!L707</f>
        <v>21500</v>
      </c>
      <c r="M706" s="58">
        <f>[2]S1!M707</f>
        <v>11</v>
      </c>
      <c r="N706" s="49">
        <f>[2]S1!P707</f>
        <v>9571650476</v>
      </c>
      <c r="O706" s="14"/>
    </row>
    <row r="707" spans="1:15" x14ac:dyDescent="0.3">
      <c r="A707" s="11">
        <v>3754</v>
      </c>
      <c r="B707" s="12" t="str">
        <f>[3]Name!E2758</f>
        <v>Mamta Devi Sachoriya</v>
      </c>
      <c r="C707" s="13">
        <f>[2]S1!C708</f>
        <v>500</v>
      </c>
      <c r="D707" s="13">
        <f>[2]S1!D708</f>
        <v>0</v>
      </c>
      <c r="E707" s="26">
        <f>[2]S1!E708</f>
        <v>200</v>
      </c>
      <c r="F707" s="26">
        <f>[2]S1!F708</f>
        <v>0</v>
      </c>
      <c r="G707" s="22">
        <f>[2]S1!G708</f>
        <v>0</v>
      </c>
      <c r="H707" s="22">
        <f>[2]S1!H708</f>
        <v>0</v>
      </c>
      <c r="I707" s="22">
        <f>[2]S1!I708</f>
        <v>0</v>
      </c>
      <c r="J707" s="13">
        <f>[2]S1!J708</f>
        <v>0</v>
      </c>
      <c r="K707" s="19">
        <f>[2]S1!K708</f>
        <v>200</v>
      </c>
      <c r="L707" s="52">
        <f>[2]S1!L708</f>
        <v>0</v>
      </c>
      <c r="M707" s="58">
        <f>[2]S1!M708</f>
        <v>0</v>
      </c>
      <c r="N707" s="49">
        <f>[2]S1!P708</f>
        <v>9571650476</v>
      </c>
      <c r="O707" s="14"/>
    </row>
    <row r="708" spans="1:15" x14ac:dyDescent="0.3">
      <c r="A708" s="11">
        <v>3755</v>
      </c>
      <c r="B708" s="12" t="str">
        <f>[3]Name!E2759</f>
        <v>Mahesh Kumar Ghodeta</v>
      </c>
      <c r="C708" s="13">
        <f>[2]S1!C709</f>
        <v>0</v>
      </c>
      <c r="D708" s="13">
        <f>[2]S1!D709</f>
        <v>0</v>
      </c>
      <c r="E708" s="26">
        <f>[2]S1!E709</f>
        <v>200</v>
      </c>
      <c r="F708" s="26">
        <f>[2]S1!F709</f>
        <v>2</v>
      </c>
      <c r="G708" s="22">
        <f>[2]S1!G709</f>
        <v>0</v>
      </c>
      <c r="H708" s="22">
        <f>[2]S1!H709</f>
        <v>190</v>
      </c>
      <c r="I708" s="22">
        <f>[2]S1!I709</f>
        <v>190</v>
      </c>
      <c r="J708" s="13">
        <f>[2]S1!J709</f>
        <v>0</v>
      </c>
      <c r="K708" s="19">
        <f>[2]S1!K709</f>
        <v>582</v>
      </c>
      <c r="L708" s="52">
        <f>[2]S1!L709</f>
        <v>17806</v>
      </c>
      <c r="M708" s="58">
        <f>[2]S1!M709</f>
        <v>1</v>
      </c>
      <c r="N708" s="49">
        <f>[2]S1!P709</f>
        <v>9660434069</v>
      </c>
      <c r="O708" s="14"/>
    </row>
    <row r="709" spans="1:15" x14ac:dyDescent="0.3">
      <c r="A709" s="11">
        <v>3756</v>
      </c>
      <c r="B709" s="12" t="str">
        <f>[3]Name!E2760</f>
        <v>Sita Devi Ghodeta</v>
      </c>
      <c r="C709" s="13">
        <f>[2]S1!C710</f>
        <v>0</v>
      </c>
      <c r="D709" s="13">
        <f>[2]S1!D710</f>
        <v>0</v>
      </c>
      <c r="E709" s="26">
        <f>[2]S1!E710</f>
        <v>200</v>
      </c>
      <c r="F709" s="26">
        <f>[2]S1!F710</f>
        <v>2</v>
      </c>
      <c r="G709" s="22">
        <f>[2]S1!G710</f>
        <v>0</v>
      </c>
      <c r="H709" s="22">
        <f>[2]S1!H710</f>
        <v>193</v>
      </c>
      <c r="I709" s="22">
        <f>[2]S1!I710</f>
        <v>192</v>
      </c>
      <c r="J709" s="13">
        <f>[2]S1!J710</f>
        <v>0</v>
      </c>
      <c r="K709" s="19">
        <f>[2]S1!K710</f>
        <v>587</v>
      </c>
      <c r="L709" s="52">
        <f>[2]S1!L710</f>
        <v>18000</v>
      </c>
      <c r="M709" s="58">
        <f>[2]S1!M710</f>
        <v>1</v>
      </c>
      <c r="N709" s="49">
        <f>[2]S1!P710</f>
        <v>9660434069</v>
      </c>
      <c r="O709" s="14"/>
    </row>
    <row r="710" spans="1:15" x14ac:dyDescent="0.3">
      <c r="A710" s="11">
        <v>3757</v>
      </c>
      <c r="B710" s="12" t="str">
        <f>[3]Name!E2761</f>
        <v>Komal Ghodeta</v>
      </c>
      <c r="C710" s="13">
        <f>[2]S1!C711</f>
        <v>0</v>
      </c>
      <c r="D710" s="13">
        <f>[2]S1!D711</f>
        <v>0</v>
      </c>
      <c r="E710" s="26">
        <f>[2]S1!E711</f>
        <v>200</v>
      </c>
      <c r="F710" s="26">
        <f>[2]S1!F711</f>
        <v>2</v>
      </c>
      <c r="G710" s="22">
        <f>[2]S1!G711</f>
        <v>0</v>
      </c>
      <c r="H710" s="22">
        <f>[2]S1!H711</f>
        <v>193</v>
      </c>
      <c r="I710" s="22">
        <f>[2]S1!I711</f>
        <v>192</v>
      </c>
      <c r="J710" s="13">
        <f>[2]S1!J711</f>
        <v>0</v>
      </c>
      <c r="K710" s="19">
        <f>[2]S1!K711</f>
        <v>587</v>
      </c>
      <c r="L710" s="52">
        <f>[2]S1!L711</f>
        <v>18000</v>
      </c>
      <c r="M710" s="58">
        <f>[2]S1!M711</f>
        <v>1</v>
      </c>
      <c r="N710" s="49">
        <f>[2]S1!P711</f>
        <v>9660434069</v>
      </c>
      <c r="O710" s="14"/>
    </row>
    <row r="711" spans="1:15" x14ac:dyDescent="0.3">
      <c r="A711" s="11">
        <v>3758</v>
      </c>
      <c r="B711" s="12" t="str">
        <f>[3]Name!E2762</f>
        <v>Aaradya Ghodeta</v>
      </c>
      <c r="C711" s="13">
        <f>[2]S1!C712</f>
        <v>0</v>
      </c>
      <c r="D711" s="13">
        <f>[2]S1!D712</f>
        <v>0</v>
      </c>
      <c r="E711" s="26">
        <f>[2]S1!E712</f>
        <v>200</v>
      </c>
      <c r="F711" s="26">
        <f>[2]S1!F712</f>
        <v>0</v>
      </c>
      <c r="G711" s="22">
        <f>[2]S1!G712</f>
        <v>0</v>
      </c>
      <c r="H711" s="22">
        <f>[2]S1!H712</f>
        <v>0</v>
      </c>
      <c r="I711" s="22">
        <f>[2]S1!I712</f>
        <v>118</v>
      </c>
      <c r="J711" s="13">
        <f>[2]S1!J712</f>
        <v>0</v>
      </c>
      <c r="K711" s="19">
        <f>[2]S1!K712</f>
        <v>318</v>
      </c>
      <c r="L711" s="52">
        <f>[2]S1!L712</f>
        <v>11067</v>
      </c>
      <c r="M711" s="58">
        <f>[2]S1!M712</f>
        <v>1</v>
      </c>
      <c r="N711" s="49">
        <f>[2]S1!P712</f>
        <v>9660434069</v>
      </c>
      <c r="O711" s="14"/>
    </row>
    <row r="712" spans="1:15" x14ac:dyDescent="0.3">
      <c r="A712" s="11">
        <v>3759</v>
      </c>
      <c r="B712" s="12" t="str">
        <f>[3]Name!E2763</f>
        <v>Rajesh Kumar Saravata</v>
      </c>
      <c r="C712" s="13">
        <f>[2]S1!C713</f>
        <v>0</v>
      </c>
      <c r="D712" s="13">
        <f>[2]S1!D713</f>
        <v>0</v>
      </c>
      <c r="E712" s="26">
        <f>[2]S1!E713</f>
        <v>200</v>
      </c>
      <c r="F712" s="26">
        <f>[2]S1!F713</f>
        <v>0</v>
      </c>
      <c r="G712" s="22">
        <f>[2]S1!G713</f>
        <v>0</v>
      </c>
      <c r="H712" s="22">
        <f>[2]S1!H713</f>
        <v>0</v>
      </c>
      <c r="I712" s="22">
        <f>[2]S1!I713</f>
        <v>0</v>
      </c>
      <c r="J712" s="13">
        <f>[2]S1!J713</f>
        <v>0</v>
      </c>
      <c r="K712" s="19">
        <f>[2]S1!K713</f>
        <v>200</v>
      </c>
      <c r="L712" s="52">
        <f>[2]S1!L713</f>
        <v>0</v>
      </c>
      <c r="M712" s="58">
        <f>[2]S1!M713</f>
        <v>0</v>
      </c>
      <c r="N712" s="49">
        <f>[2]S1!P713</f>
        <v>8560046266</v>
      </c>
      <c r="O712" s="14"/>
    </row>
    <row r="713" spans="1:15" x14ac:dyDescent="0.3">
      <c r="A713" s="11">
        <v>3760</v>
      </c>
      <c r="B713" s="12" t="str">
        <f>[3]Name!E2764</f>
        <v>Laxi Devi Saravata</v>
      </c>
      <c r="C713" s="13">
        <f>[2]S1!C714</f>
        <v>0</v>
      </c>
      <c r="D713" s="13">
        <f>[2]S1!D714</f>
        <v>0</v>
      </c>
      <c r="E713" s="26">
        <f>[2]S1!E714</f>
        <v>200</v>
      </c>
      <c r="F713" s="26">
        <f>[2]S1!F714</f>
        <v>0</v>
      </c>
      <c r="G713" s="22">
        <f>[2]S1!G714</f>
        <v>0</v>
      </c>
      <c r="H713" s="22">
        <f>[2]S1!H714</f>
        <v>0</v>
      </c>
      <c r="I713" s="22">
        <f>[2]S1!I714</f>
        <v>0</v>
      </c>
      <c r="J713" s="13">
        <f>[2]S1!J714</f>
        <v>0</v>
      </c>
      <c r="K713" s="19">
        <f>[2]S1!K714</f>
        <v>200</v>
      </c>
      <c r="L713" s="52">
        <f>[2]S1!L714</f>
        <v>0</v>
      </c>
      <c r="M713" s="58">
        <f>[2]S1!M714</f>
        <v>0</v>
      </c>
      <c r="N713" s="49">
        <f>[2]S1!P714</f>
        <v>8560046266</v>
      </c>
      <c r="O713" s="14"/>
    </row>
    <row r="714" spans="1:15" x14ac:dyDescent="0.3">
      <c r="A714" s="11">
        <v>3761</v>
      </c>
      <c r="B714" s="12" t="str">
        <f>[3]Name!E2765</f>
        <v>Arjun Lal Saravata</v>
      </c>
      <c r="C714" s="13">
        <f>[2]S1!C715</f>
        <v>0</v>
      </c>
      <c r="D714" s="13">
        <f>[2]S1!D715</f>
        <v>0</v>
      </c>
      <c r="E714" s="26">
        <f>[2]S1!E715</f>
        <v>200</v>
      </c>
      <c r="F714" s="26">
        <f>[2]S1!F715</f>
        <v>0</v>
      </c>
      <c r="G714" s="22">
        <f>[2]S1!G715</f>
        <v>0</v>
      </c>
      <c r="H714" s="22">
        <f>[2]S1!H715</f>
        <v>0</v>
      </c>
      <c r="I714" s="22">
        <f>[2]S1!I715</f>
        <v>0</v>
      </c>
      <c r="J714" s="13">
        <f>[2]S1!J715</f>
        <v>0</v>
      </c>
      <c r="K714" s="19">
        <f>[2]S1!K715</f>
        <v>200</v>
      </c>
      <c r="L714" s="52">
        <f>[2]S1!L715</f>
        <v>0</v>
      </c>
      <c r="M714" s="58">
        <f>[2]S1!M715</f>
        <v>0</v>
      </c>
      <c r="N714" s="49">
        <f>[2]S1!P715</f>
        <v>8560046266</v>
      </c>
      <c r="O714" s="14"/>
    </row>
    <row r="715" spans="1:15" x14ac:dyDescent="0.3">
      <c r="A715" s="11">
        <v>3762</v>
      </c>
      <c r="B715" s="12" t="str">
        <f>[3]Name!E2766</f>
        <v>Priti Kumari Saravata</v>
      </c>
      <c r="C715" s="13">
        <f>[2]S1!C716</f>
        <v>0</v>
      </c>
      <c r="D715" s="13">
        <f>[2]S1!D716</f>
        <v>0</v>
      </c>
      <c r="E715" s="26">
        <f>[2]S1!E716</f>
        <v>200</v>
      </c>
      <c r="F715" s="26">
        <f>[2]S1!F716</f>
        <v>0</v>
      </c>
      <c r="G715" s="22">
        <f>[2]S1!G716</f>
        <v>0</v>
      </c>
      <c r="H715" s="22">
        <f>[2]S1!H716</f>
        <v>0</v>
      </c>
      <c r="I715" s="22">
        <f>[2]S1!I716</f>
        <v>0</v>
      </c>
      <c r="J715" s="13">
        <f>[2]S1!J716</f>
        <v>0</v>
      </c>
      <c r="K715" s="19">
        <f>[2]S1!K716</f>
        <v>200</v>
      </c>
      <c r="L715" s="52">
        <f>[2]S1!L716</f>
        <v>0</v>
      </c>
      <c r="M715" s="58">
        <f>[2]S1!M716</f>
        <v>0</v>
      </c>
      <c r="N715" s="49">
        <f>[2]S1!P716</f>
        <v>8560046266</v>
      </c>
      <c r="O715" s="14"/>
    </row>
    <row r="716" spans="1:15" x14ac:dyDescent="0.3">
      <c r="A716" s="11">
        <v>3763</v>
      </c>
      <c r="B716" s="12" t="str">
        <f>[3]Name!E2767</f>
        <v>Yas Kumar Saravata</v>
      </c>
      <c r="C716" s="13">
        <f>[2]S1!C717</f>
        <v>0</v>
      </c>
      <c r="D716" s="13">
        <f>[2]S1!D717</f>
        <v>0</v>
      </c>
      <c r="E716" s="26">
        <f>[2]S1!E717</f>
        <v>200</v>
      </c>
      <c r="F716" s="26">
        <f>[2]S1!F717</f>
        <v>0</v>
      </c>
      <c r="G716" s="22">
        <f>[2]S1!G717</f>
        <v>0</v>
      </c>
      <c r="H716" s="22">
        <f>[2]S1!H717</f>
        <v>0</v>
      </c>
      <c r="I716" s="22">
        <f>[2]S1!I717</f>
        <v>0</v>
      </c>
      <c r="J716" s="13">
        <f>[2]S1!J717</f>
        <v>0</v>
      </c>
      <c r="K716" s="19">
        <f>[2]S1!K717</f>
        <v>200</v>
      </c>
      <c r="L716" s="52">
        <f>[2]S1!L717</f>
        <v>0</v>
      </c>
      <c r="M716" s="58">
        <f>[2]S1!M717</f>
        <v>0</v>
      </c>
      <c r="N716" s="49">
        <f>[2]S1!P717</f>
        <v>8560046266</v>
      </c>
      <c r="O716" s="14"/>
    </row>
    <row r="717" spans="1:15" x14ac:dyDescent="0.3">
      <c r="A717" s="11">
        <v>3764</v>
      </c>
      <c r="B717" s="12" t="str">
        <f>[3]Name!E2768</f>
        <v>Sarvan Lal Barvad</v>
      </c>
      <c r="C717" s="13">
        <f>[2]S1!C718</f>
        <v>0</v>
      </c>
      <c r="D717" s="13">
        <f>[2]S1!D718</f>
        <v>11646</v>
      </c>
      <c r="E717" s="26">
        <f>[2]S1!E718</f>
        <v>5172</v>
      </c>
      <c r="F717" s="26">
        <f>[2]S1!F718</f>
        <v>4968</v>
      </c>
      <c r="G717" s="22">
        <f>[2]S1!G718</f>
        <v>5000</v>
      </c>
      <c r="H717" s="22">
        <f>[2]S1!H718</f>
        <v>9590</v>
      </c>
      <c r="I717" s="22">
        <f>[2]S1!I718</f>
        <v>1300</v>
      </c>
      <c r="J717" s="13">
        <f>[2]S1!J718</f>
        <v>0</v>
      </c>
      <c r="K717" s="19">
        <f>[2]S1!K718</f>
        <v>26030</v>
      </c>
      <c r="L717" s="52">
        <f>[2]S1!L718</f>
        <v>5000</v>
      </c>
      <c r="M717" s="58">
        <f>[2]S1!M718</f>
        <v>26</v>
      </c>
      <c r="N717" s="49">
        <f>[2]S1!P718</f>
        <v>8769818301</v>
      </c>
      <c r="O717" s="14"/>
    </row>
    <row r="718" spans="1:15" x14ac:dyDescent="0.3">
      <c r="A718" s="11">
        <v>3765</v>
      </c>
      <c r="B718" s="12" t="str">
        <f>[3]Name!E2769</f>
        <v>Prem Devi Barvad</v>
      </c>
      <c r="C718" s="13">
        <f>[2]S1!C719</f>
        <v>0</v>
      </c>
      <c r="D718" s="13">
        <f>[2]S1!D719</f>
        <v>11700</v>
      </c>
      <c r="E718" s="26">
        <f>[2]S1!E719</f>
        <v>5200</v>
      </c>
      <c r="F718" s="26">
        <f>[2]S1!F719</f>
        <v>5035</v>
      </c>
      <c r="G718" s="22">
        <f>[2]S1!G719</f>
        <v>5000</v>
      </c>
      <c r="H718" s="22">
        <f>[2]S1!H719</f>
        <v>9590</v>
      </c>
      <c r="I718" s="22">
        <f>[2]S1!I719</f>
        <v>1300</v>
      </c>
      <c r="J718" s="13">
        <f>[2]S1!J719</f>
        <v>0</v>
      </c>
      <c r="K718" s="19">
        <f>[2]S1!K719</f>
        <v>26125</v>
      </c>
      <c r="L718" s="52">
        <f>[2]S1!L719</f>
        <v>5000</v>
      </c>
      <c r="M718" s="58">
        <f>[2]S1!M719</f>
        <v>26</v>
      </c>
      <c r="N718" s="49">
        <f>[2]S1!P719</f>
        <v>8769818301</v>
      </c>
      <c r="O718" s="14"/>
    </row>
    <row r="719" spans="1:15" x14ac:dyDescent="0.3">
      <c r="A719" s="11">
        <v>3766</v>
      </c>
      <c r="B719" s="12" t="str">
        <f>[3]Name!E2770</f>
        <v>Mahesh Kumar Sutrkar</v>
      </c>
      <c r="C719" s="13">
        <f>[2]S1!C720</f>
        <v>1500</v>
      </c>
      <c r="D719" s="13">
        <f>[2]S1!D720</f>
        <v>0</v>
      </c>
      <c r="E719" s="26">
        <f>[2]S1!E720</f>
        <v>0</v>
      </c>
      <c r="F719" s="26">
        <f>[2]S1!F720</f>
        <v>0</v>
      </c>
      <c r="G719" s="22">
        <f>[2]S1!G720</f>
        <v>1470</v>
      </c>
      <c r="H719" s="22">
        <f>[2]S1!H720</f>
        <v>0</v>
      </c>
      <c r="I719" s="22">
        <f>[2]S1!I720</f>
        <v>270</v>
      </c>
      <c r="J719" s="13">
        <f>[2]S1!J720</f>
        <v>0</v>
      </c>
      <c r="K719" s="19">
        <f>[2]S1!K720</f>
        <v>1740</v>
      </c>
      <c r="L719" s="52">
        <f>[2]S1!L720</f>
        <v>26970</v>
      </c>
      <c r="M719" s="58">
        <f>[2]S1!M720</f>
        <v>3</v>
      </c>
      <c r="N719" s="49">
        <f>[2]S1!P720</f>
        <v>9588009156</v>
      </c>
      <c r="O719" s="14"/>
    </row>
    <row r="720" spans="1:15" x14ac:dyDescent="0.3">
      <c r="A720" s="11">
        <v>3767</v>
      </c>
      <c r="B720" s="12" t="str">
        <f>[3]Name!E2771</f>
        <v>Mamta Devi Sutrkar</v>
      </c>
      <c r="C720" s="13">
        <f>[2]S1!C721</f>
        <v>1500</v>
      </c>
      <c r="D720" s="13">
        <f>[2]S1!D721</f>
        <v>0</v>
      </c>
      <c r="E720" s="26">
        <f>[2]S1!E721</f>
        <v>0</v>
      </c>
      <c r="F720" s="26">
        <f>[2]S1!F721</f>
        <v>0</v>
      </c>
      <c r="G720" s="22">
        <f>[2]S1!G721</f>
        <v>1500</v>
      </c>
      <c r="H720" s="22">
        <f>[2]S1!H721</f>
        <v>0</v>
      </c>
      <c r="I720" s="22">
        <f>[2]S1!I721</f>
        <v>270</v>
      </c>
      <c r="J720" s="13">
        <f>[2]S1!J721</f>
        <v>0</v>
      </c>
      <c r="K720" s="19">
        <f>[2]S1!K721</f>
        <v>1770</v>
      </c>
      <c r="L720" s="52">
        <f>[2]S1!L721</f>
        <v>27000</v>
      </c>
      <c r="M720" s="58">
        <f>[2]S1!M721</f>
        <v>3</v>
      </c>
      <c r="N720" s="49">
        <f>[2]S1!P721</f>
        <v>9588009156</v>
      </c>
      <c r="O720" s="14"/>
    </row>
    <row r="721" spans="1:15" x14ac:dyDescent="0.3">
      <c r="A721" s="11">
        <v>3768</v>
      </c>
      <c r="B721" s="12" t="str">
        <f>[3]Name!E2772</f>
        <v>Ramji Lal Balai</v>
      </c>
      <c r="C721" s="13">
        <f>[2]S1!C722</f>
        <v>0</v>
      </c>
      <c r="D721" s="13">
        <f>[2]S1!D722</f>
        <v>0</v>
      </c>
      <c r="E721" s="26">
        <f>[2]S1!E722</f>
        <v>188</v>
      </c>
      <c r="F721" s="26">
        <f>[2]S1!F722</f>
        <v>0</v>
      </c>
      <c r="G721" s="22">
        <f>[2]S1!G722</f>
        <v>0</v>
      </c>
      <c r="H721" s="22">
        <f>[2]S1!H722</f>
        <v>0</v>
      </c>
      <c r="I721" s="22">
        <f>[2]S1!I722</f>
        <v>0</v>
      </c>
      <c r="J721" s="13">
        <f>[2]S1!J722</f>
        <v>0</v>
      </c>
      <c r="K721" s="19">
        <f>[2]S1!K722</f>
        <v>188</v>
      </c>
      <c r="L721" s="52">
        <f>[2]S1!L722</f>
        <v>0</v>
      </c>
      <c r="M721" s="58">
        <f>[2]S1!M722</f>
        <v>0</v>
      </c>
      <c r="N721" s="49">
        <f>[2]S1!P722</f>
        <v>9602068481</v>
      </c>
      <c r="O721" s="14"/>
    </row>
    <row r="722" spans="1:15" x14ac:dyDescent="0.3">
      <c r="A722" s="11">
        <v>3769</v>
      </c>
      <c r="B722" s="12" t="str">
        <f>[3]Name!E2773</f>
        <v>Rajendra Edival</v>
      </c>
      <c r="C722" s="13">
        <f>[2]S1!C723</f>
        <v>1000</v>
      </c>
      <c r="D722" s="13">
        <f>[2]S1!D723</f>
        <v>0</v>
      </c>
      <c r="E722" s="26">
        <f>[2]S1!E723</f>
        <v>200</v>
      </c>
      <c r="F722" s="26">
        <f>[2]S1!F723</f>
        <v>0</v>
      </c>
      <c r="G722" s="22">
        <f>[2]S1!G723</f>
        <v>0</v>
      </c>
      <c r="H722" s="22">
        <f>[2]S1!H723</f>
        <v>0</v>
      </c>
      <c r="I722" s="22">
        <f>[2]S1!I723</f>
        <v>0</v>
      </c>
      <c r="J722" s="13">
        <f>[2]S1!J723</f>
        <v>0</v>
      </c>
      <c r="K722" s="19">
        <f>[2]S1!K723</f>
        <v>200</v>
      </c>
      <c r="L722" s="52">
        <f>[2]S1!L723</f>
        <v>0</v>
      </c>
      <c r="M722" s="58">
        <f>[2]S1!M723</f>
        <v>0</v>
      </c>
      <c r="N722" s="49">
        <f>[2]S1!P723</f>
        <v>9887259462</v>
      </c>
      <c r="O722" s="14"/>
    </row>
    <row r="723" spans="1:15" x14ac:dyDescent="0.3">
      <c r="A723" s="11">
        <v>3770</v>
      </c>
      <c r="B723" s="12" t="str">
        <f>[3]Name!E2774</f>
        <v>Ramu Edival</v>
      </c>
      <c r="C723" s="13">
        <f>[2]S1!C724</f>
        <v>1000</v>
      </c>
      <c r="D723" s="13">
        <f>[2]S1!D724</f>
        <v>0</v>
      </c>
      <c r="E723" s="26">
        <f>[2]S1!E724</f>
        <v>200</v>
      </c>
      <c r="F723" s="26">
        <f>[2]S1!F724</f>
        <v>0</v>
      </c>
      <c r="G723" s="22">
        <f>[2]S1!G724</f>
        <v>0</v>
      </c>
      <c r="H723" s="22">
        <f>[2]S1!H724</f>
        <v>0</v>
      </c>
      <c r="I723" s="22">
        <f>[2]S1!I724</f>
        <v>0</v>
      </c>
      <c r="J723" s="13">
        <f>[2]S1!J724</f>
        <v>0</v>
      </c>
      <c r="K723" s="19">
        <f>[2]S1!K724</f>
        <v>200</v>
      </c>
      <c r="L723" s="52">
        <f>[2]S1!L724</f>
        <v>0</v>
      </c>
      <c r="M723" s="58">
        <f>[2]S1!M724</f>
        <v>0</v>
      </c>
      <c r="N723" s="49">
        <f>[2]S1!P724</f>
        <v>9887259462</v>
      </c>
      <c r="O723" s="14"/>
    </row>
    <row r="724" spans="1:15" x14ac:dyDescent="0.3">
      <c r="A724" s="11">
        <v>3771</v>
      </c>
      <c r="B724" s="12" t="str">
        <f>[3]Name!E2775</f>
        <v>Ramgopal Khandelwal</v>
      </c>
      <c r="C724" s="13">
        <f>[2]S1!C725</f>
        <v>1000</v>
      </c>
      <c r="D724" s="13">
        <f>[2]S1!D725</f>
        <v>0</v>
      </c>
      <c r="E724" s="26">
        <f>[2]S1!E725</f>
        <v>200</v>
      </c>
      <c r="F724" s="26">
        <f>[2]S1!F725</f>
        <v>0</v>
      </c>
      <c r="G724" s="22">
        <f>[2]S1!G725</f>
        <v>552</v>
      </c>
      <c r="H724" s="22">
        <f>[2]S1!H725</f>
        <v>0</v>
      </c>
      <c r="I724" s="22">
        <f>[2]S1!I725</f>
        <v>166</v>
      </c>
      <c r="J724" s="13">
        <f>[2]S1!J725</f>
        <v>0</v>
      </c>
      <c r="K724" s="19">
        <f>[2]S1!K725</f>
        <v>918</v>
      </c>
      <c r="L724" s="52">
        <f>[2]S1!L725</f>
        <v>16552</v>
      </c>
      <c r="M724" s="58">
        <f>[2]S1!M725</f>
        <v>4</v>
      </c>
      <c r="N724" s="49">
        <f>[2]S1!P725</f>
        <v>8949606003</v>
      </c>
      <c r="O724" s="14"/>
    </row>
    <row r="725" spans="1:15" x14ac:dyDescent="0.3">
      <c r="A725" s="11">
        <v>3772</v>
      </c>
      <c r="B725" s="12" t="str">
        <f>[3]Name!E2776</f>
        <v>Ram Kumar Khandelwal</v>
      </c>
      <c r="C725" s="13">
        <f>[2]S1!C726</f>
        <v>0</v>
      </c>
      <c r="D725" s="13">
        <f>[2]S1!D726</f>
        <v>0</v>
      </c>
      <c r="E725" s="26">
        <f>[2]S1!E726</f>
        <v>200</v>
      </c>
      <c r="F725" s="26">
        <f>[2]S1!F726</f>
        <v>0</v>
      </c>
      <c r="G725" s="22">
        <f>[2]S1!G726</f>
        <v>0</v>
      </c>
      <c r="H725" s="22">
        <f>[2]S1!H726</f>
        <v>0</v>
      </c>
      <c r="I725" s="22">
        <f>[2]S1!I726</f>
        <v>0</v>
      </c>
      <c r="J725" s="13">
        <f>[2]S1!J726</f>
        <v>0</v>
      </c>
      <c r="K725" s="19">
        <f>[2]S1!K726</f>
        <v>200</v>
      </c>
      <c r="L725" s="52">
        <f>[2]S1!L726</f>
        <v>0</v>
      </c>
      <c r="M725" s="58">
        <f>[2]S1!M726</f>
        <v>0</v>
      </c>
      <c r="N725" s="49">
        <f>[2]S1!P726</f>
        <v>8949606003</v>
      </c>
      <c r="O725" s="14"/>
    </row>
    <row r="726" spans="1:15" x14ac:dyDescent="0.3">
      <c r="A726" s="11">
        <v>3773</v>
      </c>
      <c r="B726" s="12" t="str">
        <f>[3]Name!E2777</f>
        <v>Papu katariya</v>
      </c>
      <c r="C726" s="13">
        <f>[2]S1!C727</f>
        <v>1000</v>
      </c>
      <c r="D726" s="13">
        <f>[2]S1!D727</f>
        <v>0</v>
      </c>
      <c r="E726" s="26">
        <f>[2]S1!E727</f>
        <v>200</v>
      </c>
      <c r="F726" s="26">
        <f>[2]S1!F727</f>
        <v>0</v>
      </c>
      <c r="G726" s="22">
        <f>[2]S1!G727</f>
        <v>980</v>
      </c>
      <c r="H726" s="22">
        <f>[2]S1!H727</f>
        <v>0</v>
      </c>
      <c r="I726" s="22">
        <f>[2]S1!I727</f>
        <v>130</v>
      </c>
      <c r="J726" s="13">
        <f>[2]S1!J727</f>
        <v>0</v>
      </c>
      <c r="K726" s="19">
        <f>[2]S1!K727</f>
        <v>1310</v>
      </c>
      <c r="L726" s="52">
        <f>[2]S1!L727</f>
        <v>12980</v>
      </c>
      <c r="M726" s="58">
        <f>[2]S1!M727</f>
        <v>8</v>
      </c>
      <c r="N726" s="49">
        <f>[2]S1!P727</f>
        <v>9887264682</v>
      </c>
      <c r="O726" s="14"/>
    </row>
    <row r="727" spans="1:15" x14ac:dyDescent="0.3">
      <c r="A727" s="11">
        <v>3774</v>
      </c>
      <c r="B727" s="12" t="str">
        <f>[3]Name!E2778</f>
        <v>Papu katariya</v>
      </c>
      <c r="C727" s="13">
        <f>[2]S1!C728</f>
        <v>1000</v>
      </c>
      <c r="D727" s="13">
        <f>[2]S1!D728</f>
        <v>0</v>
      </c>
      <c r="E727" s="26">
        <f>[2]S1!E728</f>
        <v>200</v>
      </c>
      <c r="F727" s="26">
        <f>[2]S1!F728</f>
        <v>0</v>
      </c>
      <c r="G727" s="22">
        <f>[2]S1!G728</f>
        <v>1000</v>
      </c>
      <c r="H727" s="22">
        <f>[2]S1!H728</f>
        <v>0</v>
      </c>
      <c r="I727" s="22">
        <f>[2]S1!I728</f>
        <v>130</v>
      </c>
      <c r="J727" s="13">
        <f>[2]S1!J728</f>
        <v>0</v>
      </c>
      <c r="K727" s="19">
        <f>[2]S1!K728</f>
        <v>1330</v>
      </c>
      <c r="L727" s="52">
        <f>[2]S1!L728</f>
        <v>13000</v>
      </c>
      <c r="M727" s="58">
        <f>[2]S1!M728</f>
        <v>8</v>
      </c>
      <c r="N727" s="49">
        <f>[2]S1!P728</f>
        <v>9887264682</v>
      </c>
      <c r="O727" s="14"/>
    </row>
    <row r="728" spans="1:15" x14ac:dyDescent="0.3">
      <c r="A728" s="11">
        <v>3775</v>
      </c>
      <c r="B728" s="12" t="str">
        <f>[3]Name!E2779</f>
        <v>Ramasvarup Meharda</v>
      </c>
      <c r="C728" s="13">
        <f>[2]S1!C729</f>
        <v>1000</v>
      </c>
      <c r="D728" s="13">
        <f>[2]S1!D729</f>
        <v>0</v>
      </c>
      <c r="E728" s="26">
        <f>[2]S1!E729</f>
        <v>0</v>
      </c>
      <c r="F728" s="26">
        <f>[2]S1!F729</f>
        <v>0</v>
      </c>
      <c r="G728" s="22">
        <f>[2]S1!G729</f>
        <v>1000</v>
      </c>
      <c r="H728" s="22">
        <f>[2]S1!H729</f>
        <v>0</v>
      </c>
      <c r="I728" s="22">
        <f>[2]S1!I729</f>
        <v>300</v>
      </c>
      <c r="J728" s="13">
        <f>[2]S1!J729</f>
        <v>0</v>
      </c>
      <c r="K728" s="19">
        <f>[2]S1!K729</f>
        <v>1300</v>
      </c>
      <c r="L728" s="52">
        <f>[2]S1!L729</f>
        <v>30000</v>
      </c>
      <c r="M728" s="58">
        <f>[2]S1!M729</f>
        <v>1</v>
      </c>
      <c r="N728" s="49">
        <f>[2]S1!P729</f>
        <v>9694390502</v>
      </c>
      <c r="O728" s="14"/>
    </row>
    <row r="729" spans="1:15" x14ac:dyDescent="0.3">
      <c r="A729" s="11">
        <v>3776</v>
      </c>
      <c r="B729" s="12" t="str">
        <f>[3]Name!E2780</f>
        <v>mamta Devi Meharda</v>
      </c>
      <c r="C729" s="13">
        <f>[2]S1!C730</f>
        <v>1000</v>
      </c>
      <c r="D729" s="13">
        <f>[2]S1!D730</f>
        <v>0</v>
      </c>
      <c r="E729" s="26">
        <f>[2]S1!E730</f>
        <v>200</v>
      </c>
      <c r="F729" s="26">
        <f>[2]S1!F730</f>
        <v>0</v>
      </c>
      <c r="G729" s="22">
        <f>[2]S1!G730</f>
        <v>1000</v>
      </c>
      <c r="H729" s="22">
        <f>[2]S1!H730</f>
        <v>0</v>
      </c>
      <c r="I729" s="22">
        <f>[2]S1!I730</f>
        <v>60</v>
      </c>
      <c r="J729" s="13">
        <f>[2]S1!J730</f>
        <v>0</v>
      </c>
      <c r="K729" s="19">
        <f>[2]S1!K730</f>
        <v>1260</v>
      </c>
      <c r="L729" s="52">
        <f>[2]S1!L730</f>
        <v>6000</v>
      </c>
      <c r="M729" s="58">
        <f>[2]S1!M730</f>
        <v>15</v>
      </c>
      <c r="N729" s="49">
        <f>[2]S1!P730</f>
        <v>9694390502</v>
      </c>
      <c r="O729" s="14"/>
    </row>
    <row r="730" spans="1:15" x14ac:dyDescent="0.3">
      <c r="A730" s="11">
        <v>3777</v>
      </c>
      <c r="B730" s="12" t="str">
        <f>[3]Name!E2781</f>
        <v>Komal Kumari Meharda</v>
      </c>
      <c r="C730" s="13">
        <f>[2]S1!C731</f>
        <v>1000</v>
      </c>
      <c r="D730" s="13">
        <f>[2]S1!D731</f>
        <v>0</v>
      </c>
      <c r="E730" s="26">
        <f>[2]S1!E731</f>
        <v>200</v>
      </c>
      <c r="F730" s="26">
        <f>[2]S1!F731</f>
        <v>0</v>
      </c>
      <c r="G730" s="22">
        <f>[2]S1!G731</f>
        <v>1000</v>
      </c>
      <c r="H730" s="22">
        <f>[2]S1!H731</f>
        <v>0</v>
      </c>
      <c r="I730" s="22">
        <f>[2]S1!I731</f>
        <v>60</v>
      </c>
      <c r="J730" s="13">
        <f>[2]S1!J731</f>
        <v>0</v>
      </c>
      <c r="K730" s="19">
        <f>[2]S1!K731</f>
        <v>1260</v>
      </c>
      <c r="L730" s="52">
        <f>[2]S1!L731</f>
        <v>6000</v>
      </c>
      <c r="M730" s="58">
        <f>[2]S1!M731</f>
        <v>15</v>
      </c>
      <c r="N730" s="49">
        <f>[2]S1!P731</f>
        <v>9694390502</v>
      </c>
      <c r="O730" s="14"/>
    </row>
    <row r="731" spans="1:15" x14ac:dyDescent="0.3">
      <c r="A731" s="11">
        <v>3778</v>
      </c>
      <c r="B731" s="12" t="str">
        <f>[3]Name!E2782</f>
        <v>Ramesvar Meharda</v>
      </c>
      <c r="C731" s="13">
        <f>[2]S1!C732</f>
        <v>0</v>
      </c>
      <c r="D731" s="13">
        <f>[2]S1!D732</f>
        <v>0</v>
      </c>
      <c r="E731" s="26">
        <f>[2]S1!E732</f>
        <v>200</v>
      </c>
      <c r="F731" s="26">
        <f>[2]S1!F732</f>
        <v>0</v>
      </c>
      <c r="G731" s="22">
        <f>[2]S1!G732</f>
        <v>0</v>
      </c>
      <c r="H731" s="22">
        <f>[2]S1!H732</f>
        <v>0</v>
      </c>
      <c r="I731" s="22">
        <f>[2]S1!I732</f>
        <v>160</v>
      </c>
      <c r="J731" s="13">
        <f>[2]S1!J732</f>
        <v>0</v>
      </c>
      <c r="K731" s="19">
        <f>[2]S1!K732</f>
        <v>360</v>
      </c>
      <c r="L731" s="52">
        <f>[2]S1!L732</f>
        <v>16000</v>
      </c>
      <c r="M731" s="58">
        <f>[2]S1!M732</f>
        <v>1</v>
      </c>
      <c r="N731" s="49">
        <f>[2]S1!P732</f>
        <v>9829642938</v>
      </c>
      <c r="O731" s="14"/>
    </row>
    <row r="732" spans="1:15" x14ac:dyDescent="0.3">
      <c r="A732" s="11">
        <v>3779</v>
      </c>
      <c r="B732" s="12" t="str">
        <f>[3]Name!E2783</f>
        <v>Mira Devi Meharda</v>
      </c>
      <c r="C732" s="13">
        <f>[2]S1!C733</f>
        <v>0</v>
      </c>
      <c r="D732" s="13">
        <f>[2]S1!D733</f>
        <v>0</v>
      </c>
      <c r="E732" s="26">
        <f>[2]S1!E733</f>
        <v>200</v>
      </c>
      <c r="F732" s="26">
        <f>[2]S1!F733</f>
        <v>0</v>
      </c>
      <c r="G732" s="22">
        <f>[2]S1!G733</f>
        <v>0</v>
      </c>
      <c r="H732" s="22">
        <f>[2]S1!H733</f>
        <v>0</v>
      </c>
      <c r="I732" s="22">
        <f>[2]S1!I733</f>
        <v>160</v>
      </c>
      <c r="J732" s="13">
        <f>[2]S1!J733</f>
        <v>0</v>
      </c>
      <c r="K732" s="19">
        <f>[2]S1!K733</f>
        <v>360</v>
      </c>
      <c r="L732" s="52">
        <f>[2]S1!L733</f>
        <v>16000</v>
      </c>
      <c r="M732" s="58">
        <f>[2]S1!M733</f>
        <v>1</v>
      </c>
      <c r="N732" s="49">
        <f>[2]S1!P733</f>
        <v>9829642938</v>
      </c>
      <c r="O732" s="14"/>
    </row>
    <row r="733" spans="1:15" x14ac:dyDescent="0.3">
      <c r="A733" s="11">
        <v>3780</v>
      </c>
      <c r="B733" s="12" t="str">
        <f>[3]Name!E2784</f>
        <v>Ankit kumar Meharda</v>
      </c>
      <c r="C733" s="13">
        <f>[2]S1!C734</f>
        <v>0</v>
      </c>
      <c r="D733" s="13">
        <f>[2]S1!D734</f>
        <v>0</v>
      </c>
      <c r="E733" s="26">
        <f>[2]S1!E734</f>
        <v>200</v>
      </c>
      <c r="F733" s="26">
        <f>[2]S1!F734</f>
        <v>0</v>
      </c>
      <c r="G733" s="22">
        <f>[2]S1!G734</f>
        <v>0</v>
      </c>
      <c r="H733" s="22">
        <f>[2]S1!H734</f>
        <v>0</v>
      </c>
      <c r="I733" s="22">
        <f>[2]S1!I734</f>
        <v>160</v>
      </c>
      <c r="J733" s="13">
        <f>[2]S1!J734</f>
        <v>0</v>
      </c>
      <c r="K733" s="19">
        <f>[2]S1!K734</f>
        <v>360</v>
      </c>
      <c r="L733" s="52">
        <f>[2]S1!L734</f>
        <v>16000</v>
      </c>
      <c r="M733" s="58">
        <f>[2]S1!M734</f>
        <v>1</v>
      </c>
      <c r="N733" s="49">
        <f>[2]S1!P734</f>
        <v>9829642938</v>
      </c>
      <c r="O733" s="14"/>
    </row>
    <row r="734" spans="1:15" x14ac:dyDescent="0.3">
      <c r="A734" s="11">
        <v>3781</v>
      </c>
      <c r="B734" s="12" t="str">
        <f>[3]Name!E2785</f>
        <v>Aayus  Kumar Meharda</v>
      </c>
      <c r="C734" s="13">
        <f>[2]S1!C735</f>
        <v>0</v>
      </c>
      <c r="D734" s="13">
        <f>[2]S1!D735</f>
        <v>0</v>
      </c>
      <c r="E734" s="26">
        <f>[2]S1!E735</f>
        <v>200</v>
      </c>
      <c r="F734" s="26">
        <f>[2]S1!F735</f>
        <v>0</v>
      </c>
      <c r="G734" s="22">
        <f>[2]S1!G735</f>
        <v>0</v>
      </c>
      <c r="H734" s="22">
        <f>[2]S1!H735</f>
        <v>0</v>
      </c>
      <c r="I734" s="22">
        <f>[2]S1!I735</f>
        <v>70</v>
      </c>
      <c r="J734" s="13">
        <f>[2]S1!J735</f>
        <v>0</v>
      </c>
      <c r="K734" s="19">
        <f>[2]S1!K735</f>
        <v>270</v>
      </c>
      <c r="L734" s="52">
        <f>[2]S1!L735</f>
        <v>7000</v>
      </c>
      <c r="M734" s="58">
        <f>[2]S1!M735</f>
        <v>1</v>
      </c>
      <c r="N734" s="49">
        <f>[2]S1!P735</f>
        <v>919782606781</v>
      </c>
      <c r="O734" s="14"/>
    </row>
    <row r="735" spans="1:15" x14ac:dyDescent="0.3">
      <c r="A735" s="11">
        <v>3782</v>
      </c>
      <c r="B735" s="12" t="str">
        <f>[3]Name!E2786</f>
        <v>KomalKumari Meharda</v>
      </c>
      <c r="C735" s="13">
        <f>[2]S1!C736</f>
        <v>0</v>
      </c>
      <c r="D735" s="13">
        <f>[2]S1!D736</f>
        <v>0</v>
      </c>
      <c r="E735" s="26">
        <f>[2]S1!E736</f>
        <v>200</v>
      </c>
      <c r="F735" s="26">
        <f>[2]S1!F736</f>
        <v>0</v>
      </c>
      <c r="G735" s="22">
        <f>[2]S1!G736</f>
        <v>0</v>
      </c>
      <c r="H735" s="22">
        <f>[2]S1!H736</f>
        <v>0</v>
      </c>
      <c r="I735" s="22">
        <f>[2]S1!I736</f>
        <v>160</v>
      </c>
      <c r="J735" s="13">
        <f>[2]S1!J736</f>
        <v>0</v>
      </c>
      <c r="K735" s="19">
        <f>[2]S1!K736</f>
        <v>360</v>
      </c>
      <c r="L735" s="52">
        <f>[2]S1!L736</f>
        <v>16000</v>
      </c>
      <c r="M735" s="58">
        <f>[2]S1!M736</f>
        <v>1</v>
      </c>
      <c r="N735" s="49">
        <f>[2]S1!P736</f>
        <v>919782606781</v>
      </c>
      <c r="O735" s="14"/>
    </row>
    <row r="736" spans="1:15" x14ac:dyDescent="0.3">
      <c r="A736" s="11">
        <v>3783</v>
      </c>
      <c r="B736" s="12" t="str">
        <f>[3]Name!E2787</f>
        <v>Om Prakash Maharda</v>
      </c>
      <c r="C736" s="13">
        <f>[2]S1!C737</f>
        <v>1000</v>
      </c>
      <c r="D736" s="13">
        <f>[2]S1!D737</f>
        <v>9</v>
      </c>
      <c r="E736" s="26">
        <f>[2]S1!E737</f>
        <v>748</v>
      </c>
      <c r="F736" s="26">
        <f>[2]S1!F737</f>
        <v>48</v>
      </c>
      <c r="G736" s="22">
        <f>[2]S1!G737</f>
        <v>4000</v>
      </c>
      <c r="H736" s="22">
        <f>[2]S1!H737</f>
        <v>336</v>
      </c>
      <c r="I736" s="22">
        <f>[2]S1!I737</f>
        <v>520</v>
      </c>
      <c r="J736" s="13">
        <f>[2]S1!J737</f>
        <v>0</v>
      </c>
      <c r="K736" s="19">
        <f>[2]S1!K737</f>
        <v>5652</v>
      </c>
      <c r="L736" s="52">
        <f>[2]S1!L737</f>
        <v>13000</v>
      </c>
      <c r="M736" s="58">
        <f>[2]S1!M737</f>
        <v>11</v>
      </c>
      <c r="N736" s="49">
        <f>[2]S1!P737</f>
        <v>8946957852</v>
      </c>
      <c r="O736" s="14"/>
    </row>
    <row r="737" spans="1:15" x14ac:dyDescent="0.3">
      <c r="A737" s="11">
        <v>3784</v>
      </c>
      <c r="B737" s="12" t="str">
        <f>[3]Name!E2788</f>
        <v>Badam Devi  Maharda</v>
      </c>
      <c r="C737" s="13">
        <f>[2]S1!C738</f>
        <v>1000</v>
      </c>
      <c r="D737" s="13">
        <f>[2]S1!D738</f>
        <v>39</v>
      </c>
      <c r="E737" s="26">
        <f>[2]S1!E738</f>
        <v>800</v>
      </c>
      <c r="F737" s="26">
        <f>[2]S1!F738</f>
        <v>63</v>
      </c>
      <c r="G737" s="22">
        <f>[2]S1!G738</f>
        <v>4000</v>
      </c>
      <c r="H737" s="22">
        <f>[2]S1!H738</f>
        <v>351</v>
      </c>
      <c r="I737" s="22">
        <f>[2]S1!I738</f>
        <v>520</v>
      </c>
      <c r="J737" s="13">
        <f>[2]S1!J738</f>
        <v>0</v>
      </c>
      <c r="K737" s="19">
        <f>[2]S1!K738</f>
        <v>5734</v>
      </c>
      <c r="L737" s="52">
        <f>[2]S1!L738</f>
        <v>13000</v>
      </c>
      <c r="M737" s="58">
        <f>[2]S1!M738</f>
        <v>11</v>
      </c>
      <c r="N737" s="49">
        <f>[2]S1!P738</f>
        <v>8946957852</v>
      </c>
      <c r="O737" s="14"/>
    </row>
    <row r="738" spans="1:15" x14ac:dyDescent="0.3">
      <c r="A738" s="11">
        <v>3785</v>
      </c>
      <c r="B738" s="12" t="str">
        <f>[3]Name!E2789</f>
        <v>Sila Kumari  Maharda</v>
      </c>
      <c r="C738" s="13">
        <f>[2]S1!C739</f>
        <v>1000</v>
      </c>
      <c r="D738" s="13">
        <f>[2]S1!D739</f>
        <v>39</v>
      </c>
      <c r="E738" s="26">
        <f>[2]S1!E739</f>
        <v>800</v>
      </c>
      <c r="F738" s="26">
        <f>[2]S1!F739</f>
        <v>63</v>
      </c>
      <c r="G738" s="22">
        <f>[2]S1!G739</f>
        <v>4000</v>
      </c>
      <c r="H738" s="22">
        <f>[2]S1!H739</f>
        <v>351</v>
      </c>
      <c r="I738" s="22">
        <f>[2]S1!I739</f>
        <v>520</v>
      </c>
      <c r="J738" s="13">
        <f>[2]S1!J739</f>
        <v>0</v>
      </c>
      <c r="K738" s="19">
        <f>[2]S1!K739</f>
        <v>5734</v>
      </c>
      <c r="L738" s="52">
        <f>[2]S1!L739</f>
        <v>13000</v>
      </c>
      <c r="M738" s="58">
        <f>[2]S1!M739</f>
        <v>11</v>
      </c>
      <c r="N738" s="49">
        <f>[2]S1!P739</f>
        <v>8946957852</v>
      </c>
      <c r="O738" s="14"/>
    </row>
    <row r="739" spans="1:15" x14ac:dyDescent="0.3">
      <c r="A739" s="11">
        <v>3786</v>
      </c>
      <c r="B739" s="12" t="str">
        <f>[3]Name!E2790</f>
        <v>Manish Kumar  Maharda</v>
      </c>
      <c r="C739" s="13">
        <f>[2]S1!C740</f>
        <v>1000</v>
      </c>
      <c r="D739" s="13">
        <f>[2]S1!D740</f>
        <v>39</v>
      </c>
      <c r="E739" s="26">
        <f>[2]S1!E740</f>
        <v>800</v>
      </c>
      <c r="F739" s="26">
        <f>[2]S1!F740</f>
        <v>63</v>
      </c>
      <c r="G739" s="22">
        <f>[2]S1!G740</f>
        <v>4000</v>
      </c>
      <c r="H739" s="22">
        <f>[2]S1!H740</f>
        <v>351</v>
      </c>
      <c r="I739" s="22">
        <f>[2]S1!I740</f>
        <v>520</v>
      </c>
      <c r="J739" s="13">
        <f>[2]S1!J740</f>
        <v>0</v>
      </c>
      <c r="K739" s="19">
        <f>[2]S1!K740</f>
        <v>5734</v>
      </c>
      <c r="L739" s="52">
        <f>[2]S1!L740</f>
        <v>13000</v>
      </c>
      <c r="M739" s="58">
        <f>[2]S1!M740</f>
        <v>11</v>
      </c>
      <c r="N739" s="49">
        <f>[2]S1!P740</f>
        <v>8946957852</v>
      </c>
      <c r="O739" s="14"/>
    </row>
    <row r="740" spans="1:15" x14ac:dyDescent="0.3">
      <c r="A740" s="11">
        <v>3787</v>
      </c>
      <c r="B740" s="12" t="str">
        <f>[3]Name!E2791</f>
        <v>Om Prakash Meharda</v>
      </c>
      <c r="C740" s="13">
        <f>[2]S1!C741</f>
        <v>0</v>
      </c>
      <c r="D740" s="13">
        <f>[2]S1!D741</f>
        <v>0</v>
      </c>
      <c r="E740" s="26">
        <f>[2]S1!E741</f>
        <v>200</v>
      </c>
      <c r="F740" s="26">
        <f>[2]S1!F741</f>
        <v>0</v>
      </c>
      <c r="G740" s="22">
        <f>[2]S1!G741</f>
        <v>0</v>
      </c>
      <c r="H740" s="22">
        <f>[2]S1!H741</f>
        <v>0</v>
      </c>
      <c r="I740" s="22">
        <f>[2]S1!I741</f>
        <v>206</v>
      </c>
      <c r="J740" s="13">
        <f>[2]S1!J741</f>
        <v>0</v>
      </c>
      <c r="K740" s="19">
        <f>[2]S1!K741</f>
        <v>406</v>
      </c>
      <c r="L740" s="52">
        <f>[2]S1!L741</f>
        <v>20624</v>
      </c>
      <c r="M740" s="58">
        <f>[2]S1!M741</f>
        <v>3</v>
      </c>
      <c r="N740" s="49">
        <f>[2]S1!P741</f>
        <v>9928390950</v>
      </c>
      <c r="O740" s="14"/>
    </row>
    <row r="741" spans="1:15" x14ac:dyDescent="0.3">
      <c r="A741" s="11">
        <v>3788</v>
      </c>
      <c r="B741" s="12" t="str">
        <f>[3]Name!E2792</f>
        <v>Himansu Meharda</v>
      </c>
      <c r="C741" s="13">
        <f>[2]S1!C742</f>
        <v>0</v>
      </c>
      <c r="D741" s="13">
        <f>[2]S1!D742</f>
        <v>0</v>
      </c>
      <c r="E741" s="26">
        <f>[2]S1!E742</f>
        <v>200</v>
      </c>
      <c r="F741" s="26">
        <f>[2]S1!F742</f>
        <v>0</v>
      </c>
      <c r="G741" s="22">
        <f>[2]S1!G742</f>
        <v>0</v>
      </c>
      <c r="H741" s="22">
        <f>[2]S1!H742</f>
        <v>0</v>
      </c>
      <c r="I741" s="22">
        <f>[2]S1!I742</f>
        <v>200</v>
      </c>
      <c r="J741" s="13">
        <f>[2]S1!J742</f>
        <v>0</v>
      </c>
      <c r="K741" s="19">
        <f>[2]S1!K742</f>
        <v>400</v>
      </c>
      <c r="L741" s="52">
        <f>[2]S1!L742</f>
        <v>20000</v>
      </c>
      <c r="M741" s="58">
        <f>[2]S1!M742</f>
        <v>3</v>
      </c>
      <c r="N741" s="49">
        <f>[2]S1!P742</f>
        <v>9928390950</v>
      </c>
      <c r="O741" s="14"/>
    </row>
    <row r="742" spans="1:15" x14ac:dyDescent="0.3">
      <c r="A742" s="11">
        <v>3789</v>
      </c>
      <c r="B742" s="12" t="str">
        <f>[3]Name!E2793</f>
        <v>Nikita Kumari Meharda</v>
      </c>
      <c r="C742" s="13">
        <f>[2]S1!C743</f>
        <v>0</v>
      </c>
      <c r="D742" s="13">
        <f>[2]S1!D743</f>
        <v>0</v>
      </c>
      <c r="E742" s="26">
        <f>[2]S1!E743</f>
        <v>200</v>
      </c>
      <c r="F742" s="26">
        <f>[2]S1!F743</f>
        <v>0</v>
      </c>
      <c r="G742" s="22">
        <f>[2]S1!G743</f>
        <v>0</v>
      </c>
      <c r="H742" s="22">
        <f>[2]S1!H743</f>
        <v>0</v>
      </c>
      <c r="I742" s="22">
        <f>[2]S1!I743</f>
        <v>200</v>
      </c>
      <c r="J742" s="13">
        <f>[2]S1!J743</f>
        <v>0</v>
      </c>
      <c r="K742" s="19">
        <f>[2]S1!K743</f>
        <v>400</v>
      </c>
      <c r="L742" s="52">
        <f>[2]S1!L743</f>
        <v>20000</v>
      </c>
      <c r="M742" s="58">
        <f>[2]S1!M743</f>
        <v>3</v>
      </c>
      <c r="N742" s="49">
        <f>[2]S1!P743</f>
        <v>9928390950</v>
      </c>
      <c r="O742" s="14"/>
    </row>
    <row r="743" spans="1:15" x14ac:dyDescent="0.3">
      <c r="A743" s="11">
        <v>3790</v>
      </c>
      <c r="B743" s="12" t="str">
        <f>[3]Name!E2794</f>
        <v>Mnisha Kumari Meharda</v>
      </c>
      <c r="C743" s="13">
        <f>[2]S1!C744</f>
        <v>0</v>
      </c>
      <c r="D743" s="13">
        <f>[2]S1!D744</f>
        <v>0</v>
      </c>
      <c r="E743" s="26">
        <f>[2]S1!E744</f>
        <v>200</v>
      </c>
      <c r="F743" s="26">
        <f>[2]S1!F744</f>
        <v>0</v>
      </c>
      <c r="G743" s="22">
        <f>[2]S1!G744</f>
        <v>0</v>
      </c>
      <c r="H743" s="22">
        <f>[2]S1!H744</f>
        <v>0</v>
      </c>
      <c r="I743" s="22">
        <f>[2]S1!I744</f>
        <v>200</v>
      </c>
      <c r="J743" s="13">
        <f>[2]S1!J744</f>
        <v>0</v>
      </c>
      <c r="K743" s="19">
        <f>[2]S1!K744</f>
        <v>400</v>
      </c>
      <c r="L743" s="52">
        <f>[2]S1!L744</f>
        <v>20000</v>
      </c>
      <c r="M743" s="58">
        <f>[2]S1!M744</f>
        <v>3</v>
      </c>
      <c r="N743" s="49">
        <f>[2]S1!P744</f>
        <v>9928390950</v>
      </c>
      <c r="O743" s="14"/>
    </row>
    <row r="744" spans="1:15" x14ac:dyDescent="0.3">
      <c r="A744" s="11">
        <v>3791</v>
      </c>
      <c r="B744" s="12" t="str">
        <f>[3]Name!E2795</f>
        <v>Gokul Devi Meharda</v>
      </c>
      <c r="C744" s="13">
        <f>[2]S1!C745</f>
        <v>0</v>
      </c>
      <c r="D744" s="13">
        <f>[2]S1!D745</f>
        <v>0</v>
      </c>
      <c r="E744" s="26">
        <f>[2]S1!E745</f>
        <v>200</v>
      </c>
      <c r="F744" s="26">
        <f>[2]S1!F745</f>
        <v>0</v>
      </c>
      <c r="G744" s="22">
        <f>[2]S1!G745</f>
        <v>0</v>
      </c>
      <c r="H744" s="22">
        <f>[2]S1!H745</f>
        <v>0</v>
      </c>
      <c r="I744" s="22">
        <f>[2]S1!I745</f>
        <v>200</v>
      </c>
      <c r="J744" s="13">
        <f>[2]S1!J745</f>
        <v>0</v>
      </c>
      <c r="K744" s="19">
        <f>[2]S1!K745</f>
        <v>400</v>
      </c>
      <c r="L744" s="52">
        <f>[2]S1!L745</f>
        <v>20000</v>
      </c>
      <c r="M744" s="58">
        <f>[2]S1!M745</f>
        <v>3</v>
      </c>
      <c r="N744" s="49">
        <f>[2]S1!P745</f>
        <v>9928390950</v>
      </c>
      <c r="O744" s="14"/>
    </row>
    <row r="745" spans="1:15" x14ac:dyDescent="0.3">
      <c r="A745" s="11">
        <v>3792</v>
      </c>
      <c r="B745" s="12" t="str">
        <f>[3]Name!E2796</f>
        <v>Manoj Kumar Mandavara</v>
      </c>
      <c r="C745" s="13">
        <f>[2]S1!C746</f>
        <v>1000</v>
      </c>
      <c r="D745" s="13">
        <f>[2]S1!D746</f>
        <v>0</v>
      </c>
      <c r="E745" s="26">
        <f>[2]S1!E746</f>
        <v>200</v>
      </c>
      <c r="F745" s="26">
        <f>[2]S1!F746</f>
        <v>0</v>
      </c>
      <c r="G745" s="22">
        <f>[2]S1!G746</f>
        <v>1000</v>
      </c>
      <c r="H745" s="22">
        <f>[2]S1!H746</f>
        <v>0</v>
      </c>
      <c r="I745" s="22">
        <f>[2]S1!I746</f>
        <v>60</v>
      </c>
      <c r="J745" s="13">
        <f>[2]S1!J746</f>
        <v>0</v>
      </c>
      <c r="K745" s="19">
        <f>[2]S1!K746</f>
        <v>1260</v>
      </c>
      <c r="L745" s="52">
        <f>[2]S1!L746</f>
        <v>6000</v>
      </c>
      <c r="M745" s="58">
        <f>[2]S1!M746</f>
        <v>15</v>
      </c>
      <c r="N745" s="49">
        <f>[2]S1!P746</f>
        <v>9828669365</v>
      </c>
      <c r="O745" s="14"/>
    </row>
    <row r="746" spans="1:15" x14ac:dyDescent="0.3">
      <c r="A746" s="11">
        <v>3793</v>
      </c>
      <c r="B746" s="12" t="str">
        <f>[3]Name!E2797</f>
        <v>Prem Prakash Mandavara</v>
      </c>
      <c r="C746" s="13">
        <f>[2]S1!C747</f>
        <v>1000</v>
      </c>
      <c r="D746" s="13">
        <f>[2]S1!D747</f>
        <v>0</v>
      </c>
      <c r="E746" s="26">
        <f>[2]S1!E747</f>
        <v>200</v>
      </c>
      <c r="F746" s="26">
        <f>[2]S1!F747</f>
        <v>0</v>
      </c>
      <c r="G746" s="22">
        <f>[2]S1!G747</f>
        <v>1000</v>
      </c>
      <c r="H746" s="22">
        <f>[2]S1!H747</f>
        <v>0</v>
      </c>
      <c r="I746" s="22">
        <f>[2]S1!I747</f>
        <v>60</v>
      </c>
      <c r="J746" s="13">
        <f>[2]S1!J747</f>
        <v>0</v>
      </c>
      <c r="K746" s="19">
        <f>[2]S1!K747</f>
        <v>1260</v>
      </c>
      <c r="L746" s="52">
        <f>[2]S1!L747</f>
        <v>6000</v>
      </c>
      <c r="M746" s="58">
        <f>[2]S1!M747</f>
        <v>15</v>
      </c>
      <c r="N746" s="49">
        <f>[2]S1!P747</f>
        <v>9828669365</v>
      </c>
      <c r="O746" s="14"/>
    </row>
    <row r="747" spans="1:15" x14ac:dyDescent="0.3">
      <c r="A747" s="11">
        <v>3794</v>
      </c>
      <c r="B747" s="12" t="str">
        <f>[3]Name!E2798</f>
        <v>Maya Kumari Mandavara</v>
      </c>
      <c r="C747" s="13">
        <f>[2]S1!C748</f>
        <v>1000</v>
      </c>
      <c r="D747" s="13">
        <f>[2]S1!D748</f>
        <v>0</v>
      </c>
      <c r="E747" s="26">
        <f>[2]S1!E748</f>
        <v>200</v>
      </c>
      <c r="F747" s="26">
        <f>[2]S1!F748</f>
        <v>0</v>
      </c>
      <c r="G747" s="22">
        <f>[2]S1!G748</f>
        <v>1000</v>
      </c>
      <c r="H747" s="22">
        <f>[2]S1!H748</f>
        <v>0</v>
      </c>
      <c r="I747" s="22">
        <f>[2]S1!I748</f>
        <v>60</v>
      </c>
      <c r="J747" s="13">
        <f>[2]S1!J748</f>
        <v>0</v>
      </c>
      <c r="K747" s="19">
        <f>[2]S1!K748</f>
        <v>1260</v>
      </c>
      <c r="L747" s="52">
        <f>[2]S1!L748</f>
        <v>6000</v>
      </c>
      <c r="M747" s="58">
        <f>[2]S1!M748</f>
        <v>15</v>
      </c>
      <c r="N747" s="49">
        <f>[2]S1!P748</f>
        <v>9828669365</v>
      </c>
      <c r="O747" s="14"/>
    </row>
    <row r="748" spans="1:15" x14ac:dyDescent="0.3">
      <c r="A748" s="11">
        <v>3795</v>
      </c>
      <c r="B748" s="12" t="str">
        <f>[3]Name!E2799</f>
        <v>Sannu Kumar Gadaval</v>
      </c>
      <c r="C748" s="13">
        <f>[2]S1!C749</f>
        <v>1000</v>
      </c>
      <c r="D748" s="13">
        <f>[2]S1!D749</f>
        <v>0</v>
      </c>
      <c r="E748" s="26">
        <f>[2]S1!E749</f>
        <v>200</v>
      </c>
      <c r="F748" s="26">
        <f>[2]S1!F749</f>
        <v>0</v>
      </c>
      <c r="G748" s="22">
        <f>[2]S1!G749</f>
        <v>1000</v>
      </c>
      <c r="H748" s="22">
        <f>[2]S1!H749</f>
        <v>0</v>
      </c>
      <c r="I748" s="22">
        <f>[2]S1!I749</f>
        <v>60</v>
      </c>
      <c r="J748" s="13">
        <f>[2]S1!J749</f>
        <v>0</v>
      </c>
      <c r="K748" s="19">
        <f>[2]S1!K749</f>
        <v>1260</v>
      </c>
      <c r="L748" s="52">
        <f>[2]S1!L749</f>
        <v>6000</v>
      </c>
      <c r="M748" s="58">
        <f>[2]S1!M749</f>
        <v>15</v>
      </c>
      <c r="N748" s="49">
        <f>[2]S1!P749</f>
        <v>9828669365</v>
      </c>
      <c r="O748" s="14"/>
    </row>
    <row r="749" spans="1:15" x14ac:dyDescent="0.3">
      <c r="A749" s="11">
        <v>3796</v>
      </c>
      <c r="B749" s="12" t="str">
        <f>[3]Name!E2800</f>
        <v>Ankit kumar Meharda</v>
      </c>
      <c r="C749" s="13">
        <f>[2]S1!C750</f>
        <v>0</v>
      </c>
      <c r="D749" s="13">
        <f>[2]S1!D750</f>
        <v>0</v>
      </c>
      <c r="E749" s="26">
        <f>[2]S1!E750</f>
        <v>200</v>
      </c>
      <c r="F749" s="26">
        <f>[2]S1!F750</f>
        <v>0</v>
      </c>
      <c r="G749" s="22">
        <f>[2]S1!G750</f>
        <v>0</v>
      </c>
      <c r="H749" s="22">
        <f>[2]S1!H750</f>
        <v>0</v>
      </c>
      <c r="I749" s="22">
        <f>[2]S1!I750</f>
        <v>0</v>
      </c>
      <c r="J749" s="13">
        <f>[2]S1!J750</f>
        <v>0</v>
      </c>
      <c r="K749" s="19">
        <f>[2]S1!K750</f>
        <v>200</v>
      </c>
      <c r="L749" s="52">
        <f>[2]S1!L750</f>
        <v>0</v>
      </c>
      <c r="M749" s="58">
        <f>[2]S1!M750</f>
        <v>0</v>
      </c>
      <c r="N749" s="49">
        <f>[2]S1!P750</f>
        <v>9829642938</v>
      </c>
      <c r="O749" s="14"/>
    </row>
    <row r="750" spans="1:15" x14ac:dyDescent="0.3">
      <c r="A750" s="11">
        <v>3797</v>
      </c>
      <c r="B750" s="12" t="str">
        <f>[3]Name!E2801</f>
        <v>Mira Devi Meharda</v>
      </c>
      <c r="C750" s="13">
        <f>[2]S1!C751</f>
        <v>0</v>
      </c>
      <c r="D750" s="13">
        <f>[2]S1!D751</f>
        <v>0</v>
      </c>
      <c r="E750" s="26">
        <f>[2]S1!E751</f>
        <v>200</v>
      </c>
      <c r="F750" s="26">
        <f>[2]S1!F751</f>
        <v>0</v>
      </c>
      <c r="G750" s="22">
        <f>[2]S1!G751</f>
        <v>0</v>
      </c>
      <c r="H750" s="22">
        <f>[2]S1!H751</f>
        <v>0</v>
      </c>
      <c r="I750" s="22">
        <f>[2]S1!I751</f>
        <v>0</v>
      </c>
      <c r="J750" s="13">
        <f>[2]S1!J751</f>
        <v>0</v>
      </c>
      <c r="K750" s="19">
        <f>[2]S1!K751</f>
        <v>200</v>
      </c>
      <c r="L750" s="52">
        <f>[2]S1!L751</f>
        <v>0</v>
      </c>
      <c r="M750" s="58">
        <f>[2]S1!M751</f>
        <v>0</v>
      </c>
      <c r="N750" s="49">
        <f>[2]S1!P751</f>
        <v>9829642938</v>
      </c>
      <c r="O750" s="14"/>
    </row>
    <row r="751" spans="1:15" x14ac:dyDescent="0.3">
      <c r="A751" s="11">
        <v>3798</v>
      </c>
      <c r="B751" s="12" t="str">
        <f>[3]Name!E2802</f>
        <v>Komal Khatti</v>
      </c>
      <c r="C751" s="13">
        <f>[2]S1!C752</f>
        <v>500</v>
      </c>
      <c r="D751" s="13">
        <f>[2]S1!D752</f>
        <v>0</v>
      </c>
      <c r="E751" s="26">
        <f>[2]S1!E752</f>
        <v>200</v>
      </c>
      <c r="F751" s="26">
        <f>[2]S1!F752</f>
        <v>0</v>
      </c>
      <c r="G751" s="22">
        <f>[2]S1!G752</f>
        <v>500</v>
      </c>
      <c r="H751" s="22">
        <f>[2]S1!H752</f>
        <v>0</v>
      </c>
      <c r="I751" s="22">
        <f>[2]S1!I752</f>
        <v>125</v>
      </c>
      <c r="J751" s="13">
        <f>[2]S1!J752</f>
        <v>0</v>
      </c>
      <c r="K751" s="19">
        <f>[2]S1!K752</f>
        <v>825</v>
      </c>
      <c r="L751" s="52">
        <f>[2]S1!L752</f>
        <v>12500</v>
      </c>
      <c r="M751" s="58">
        <f>[2]S1!M752</f>
        <v>16</v>
      </c>
      <c r="N751" s="49">
        <f>[2]S1!P752</f>
        <v>6367846106</v>
      </c>
      <c r="O751" s="14"/>
    </row>
    <row r="752" spans="1:15" x14ac:dyDescent="0.3">
      <c r="A752" s="11">
        <v>3799</v>
      </c>
      <c r="B752" s="12" t="str">
        <f>[3]Name!E2803</f>
        <v>Guddi Khatti</v>
      </c>
      <c r="C752" s="13">
        <f>[2]S1!C753</f>
        <v>500</v>
      </c>
      <c r="D752" s="13">
        <f>[2]S1!D753</f>
        <v>0</v>
      </c>
      <c r="E752" s="26">
        <f>[2]S1!E753</f>
        <v>200</v>
      </c>
      <c r="F752" s="26">
        <f>[2]S1!F753</f>
        <v>0</v>
      </c>
      <c r="G752" s="22">
        <f>[2]S1!G753</f>
        <v>500</v>
      </c>
      <c r="H752" s="22">
        <f>[2]S1!H753</f>
        <v>0</v>
      </c>
      <c r="I752" s="22">
        <f>[2]S1!I753</f>
        <v>125</v>
      </c>
      <c r="J752" s="13">
        <f>[2]S1!J753</f>
        <v>0</v>
      </c>
      <c r="K752" s="19">
        <f>[2]S1!K753</f>
        <v>825</v>
      </c>
      <c r="L752" s="52">
        <f>[2]S1!L753</f>
        <v>12500</v>
      </c>
      <c r="M752" s="58">
        <f>[2]S1!M753</f>
        <v>16</v>
      </c>
      <c r="N752" s="49">
        <f>[2]S1!P753</f>
        <v>6367846106</v>
      </c>
      <c r="O752" s="14"/>
    </row>
    <row r="753" spans="1:15" x14ac:dyDescent="0.3">
      <c r="A753" s="11">
        <v>3800</v>
      </c>
      <c r="B753" s="12" t="str">
        <f>[3]Name!E2804</f>
        <v>Sanjay Khatti</v>
      </c>
      <c r="C753" s="13">
        <f>[2]S1!C754</f>
        <v>500</v>
      </c>
      <c r="D753" s="13">
        <f>[2]S1!D754</f>
        <v>0</v>
      </c>
      <c r="E753" s="26">
        <f>[2]S1!E754</f>
        <v>200</v>
      </c>
      <c r="F753" s="26">
        <f>[2]S1!F754</f>
        <v>0</v>
      </c>
      <c r="G753" s="22">
        <f>[2]S1!G754</f>
        <v>500</v>
      </c>
      <c r="H753" s="22">
        <f>[2]S1!H754</f>
        <v>0</v>
      </c>
      <c r="I753" s="22">
        <f>[2]S1!I754</f>
        <v>130</v>
      </c>
      <c r="J753" s="13">
        <f>[2]S1!J754</f>
        <v>0</v>
      </c>
      <c r="K753" s="19">
        <f>[2]S1!K754</f>
        <v>830</v>
      </c>
      <c r="L753" s="52">
        <f>[2]S1!L754</f>
        <v>13000</v>
      </c>
      <c r="M753" s="58">
        <f>[2]S1!M754</f>
        <v>15</v>
      </c>
      <c r="N753" s="49">
        <f>[2]S1!P754</f>
        <v>6367846106</v>
      </c>
      <c r="O753" s="14"/>
    </row>
    <row r="754" spans="1:15" x14ac:dyDescent="0.3">
      <c r="A754" s="11">
        <v>3801</v>
      </c>
      <c r="B754" s="12" t="str">
        <f>[3]Name!E2805</f>
        <v>Om Prakash Khatti</v>
      </c>
      <c r="C754" s="13">
        <f>[2]S1!C755</f>
        <v>500</v>
      </c>
      <c r="D754" s="13">
        <f>[2]S1!D755</f>
        <v>0</v>
      </c>
      <c r="E754" s="26">
        <f>[2]S1!E755</f>
        <v>200</v>
      </c>
      <c r="F754" s="26">
        <f>[2]S1!F755</f>
        <v>0</v>
      </c>
      <c r="G754" s="22">
        <f>[2]S1!G755</f>
        <v>500</v>
      </c>
      <c r="H754" s="22">
        <f>[2]S1!H755</f>
        <v>0</v>
      </c>
      <c r="I754" s="22">
        <f>[2]S1!I755</f>
        <v>130</v>
      </c>
      <c r="J754" s="13">
        <f>[2]S1!J755</f>
        <v>0</v>
      </c>
      <c r="K754" s="19">
        <f>[2]S1!K755</f>
        <v>830</v>
      </c>
      <c r="L754" s="52">
        <f>[2]S1!L755</f>
        <v>13000</v>
      </c>
      <c r="M754" s="58">
        <f>[2]S1!M755</f>
        <v>15</v>
      </c>
      <c r="N754" s="49">
        <f>[2]S1!P755</f>
        <v>6367846106</v>
      </c>
      <c r="O754" s="14"/>
    </row>
    <row r="755" spans="1:15" x14ac:dyDescent="0.3">
      <c r="A755" s="11">
        <v>3802</v>
      </c>
      <c r="B755" s="12" t="str">
        <f>[3]Name!E2806</f>
        <v>Puspa Devi Khatti</v>
      </c>
      <c r="C755" s="13">
        <f>[2]S1!C756</f>
        <v>500</v>
      </c>
      <c r="D755" s="13">
        <f>[2]S1!D756</f>
        <v>0</v>
      </c>
      <c r="E755" s="26">
        <f>[2]S1!E756</f>
        <v>200</v>
      </c>
      <c r="F755" s="26">
        <f>[2]S1!F756</f>
        <v>0</v>
      </c>
      <c r="G755" s="22">
        <f>[2]S1!G756</f>
        <v>500</v>
      </c>
      <c r="H755" s="22">
        <f>[2]S1!H756</f>
        <v>0</v>
      </c>
      <c r="I755" s="22">
        <f>[2]S1!I756</f>
        <v>130</v>
      </c>
      <c r="J755" s="13">
        <f>[2]S1!J756</f>
        <v>0</v>
      </c>
      <c r="K755" s="19">
        <f>[2]S1!K756</f>
        <v>830</v>
      </c>
      <c r="L755" s="52">
        <f>[2]S1!L756</f>
        <v>13000</v>
      </c>
      <c r="M755" s="58">
        <f>[2]S1!M756</f>
        <v>15</v>
      </c>
      <c r="N755" s="49">
        <f>[2]S1!P756</f>
        <v>6367846106</v>
      </c>
      <c r="O755" s="14"/>
    </row>
    <row r="756" spans="1:15" x14ac:dyDescent="0.3">
      <c r="A756" s="11">
        <v>3803</v>
      </c>
      <c r="B756" s="12" t="str">
        <f>[3]Name!E2807</f>
        <v>Surendr Khatti</v>
      </c>
      <c r="C756" s="13">
        <f>[2]S1!C757</f>
        <v>500</v>
      </c>
      <c r="D756" s="13">
        <f>[2]S1!D757</f>
        <v>0</v>
      </c>
      <c r="E756" s="26">
        <f>[2]S1!E757</f>
        <v>200</v>
      </c>
      <c r="F756" s="26">
        <f>[2]S1!F757</f>
        <v>0</v>
      </c>
      <c r="G756" s="22">
        <f>[2]S1!G757</f>
        <v>500</v>
      </c>
      <c r="H756" s="22">
        <f>[2]S1!H757</f>
        <v>0</v>
      </c>
      <c r="I756" s="22">
        <f>[2]S1!I757</f>
        <v>130</v>
      </c>
      <c r="J756" s="13">
        <f>[2]S1!J757</f>
        <v>0</v>
      </c>
      <c r="K756" s="19">
        <f>[2]S1!K757</f>
        <v>830</v>
      </c>
      <c r="L756" s="52">
        <f>[2]S1!L757</f>
        <v>13000</v>
      </c>
      <c r="M756" s="58">
        <f>[2]S1!M757</f>
        <v>15</v>
      </c>
      <c r="N756" s="49">
        <f>[2]S1!P757</f>
        <v>6367846106</v>
      </c>
      <c r="O756" s="14"/>
    </row>
    <row r="757" spans="1:15" x14ac:dyDescent="0.3">
      <c r="A757" s="11">
        <v>3804</v>
      </c>
      <c r="B757" s="12" t="str">
        <f>[3]Name!E2808</f>
        <v>Rahul Khatti</v>
      </c>
      <c r="C757" s="13">
        <f>[2]S1!C758</f>
        <v>500</v>
      </c>
      <c r="D757" s="13">
        <f>[2]S1!D758</f>
        <v>0</v>
      </c>
      <c r="E757" s="26">
        <f>[2]S1!E758</f>
        <v>200</v>
      </c>
      <c r="F757" s="26">
        <f>[2]S1!F758</f>
        <v>0</v>
      </c>
      <c r="G757" s="22">
        <f>[2]S1!G758</f>
        <v>0</v>
      </c>
      <c r="H757" s="22">
        <f>[2]S1!H758</f>
        <v>0</v>
      </c>
      <c r="I757" s="22">
        <f>[2]S1!I758</f>
        <v>95</v>
      </c>
      <c r="J757" s="13">
        <f>[2]S1!J758</f>
        <v>0</v>
      </c>
      <c r="K757" s="19">
        <f>[2]S1!K758</f>
        <v>295</v>
      </c>
      <c r="L757" s="52">
        <f>[2]S1!L758</f>
        <v>9545</v>
      </c>
      <c r="M757" s="58">
        <f>[2]S1!M758</f>
        <v>15</v>
      </c>
      <c r="N757" s="49">
        <f>[2]S1!P758</f>
        <v>6367846106</v>
      </c>
      <c r="O757" s="14"/>
    </row>
    <row r="758" spans="1:15" x14ac:dyDescent="0.3">
      <c r="A758" s="11">
        <v>3805</v>
      </c>
      <c r="B758" s="12" t="str">
        <f>[3]Name!E2809</f>
        <v>Mali Ram Varma</v>
      </c>
      <c r="C758" s="13">
        <f>[2]S1!C759</f>
        <v>0</v>
      </c>
      <c r="D758" s="13">
        <f>[2]S1!D759</f>
        <v>0</v>
      </c>
      <c r="E758" s="26">
        <f>[2]S1!E759</f>
        <v>200</v>
      </c>
      <c r="F758" s="26">
        <f>[2]S1!F759</f>
        <v>0</v>
      </c>
      <c r="G758" s="22">
        <f>[2]S1!G759</f>
        <v>0</v>
      </c>
      <c r="H758" s="22">
        <f>[2]S1!H759</f>
        <v>0</v>
      </c>
      <c r="I758" s="22">
        <f>[2]S1!I759</f>
        <v>0</v>
      </c>
      <c r="J758" s="13">
        <f>[2]S1!J759</f>
        <v>0</v>
      </c>
      <c r="K758" s="19">
        <f>[2]S1!K759</f>
        <v>200</v>
      </c>
      <c r="L758" s="52">
        <f>[2]S1!L759</f>
        <v>0</v>
      </c>
      <c r="M758" s="58">
        <f>[2]S1!M759</f>
        <v>0</v>
      </c>
      <c r="N758" s="49">
        <f>[2]S1!P759</f>
        <v>8741978113</v>
      </c>
      <c r="O758" s="14"/>
    </row>
    <row r="759" spans="1:15" x14ac:dyDescent="0.3">
      <c r="A759" s="11">
        <v>3806</v>
      </c>
      <c r="B759" s="12" t="str">
        <f>[3]Name!E2810</f>
        <v>Mali Ram Varma</v>
      </c>
      <c r="C759" s="13">
        <f>[2]S1!C760</f>
        <v>0</v>
      </c>
      <c r="D759" s="13">
        <f>[2]S1!D760</f>
        <v>0</v>
      </c>
      <c r="E759" s="26">
        <f>[2]S1!E760</f>
        <v>200</v>
      </c>
      <c r="F759" s="26">
        <f>[2]S1!F760</f>
        <v>0</v>
      </c>
      <c r="G759" s="22">
        <f>[2]S1!G760</f>
        <v>0</v>
      </c>
      <c r="H759" s="22">
        <f>[2]S1!H760</f>
        <v>0</v>
      </c>
      <c r="I759" s="22">
        <f>[2]S1!I760</f>
        <v>0</v>
      </c>
      <c r="J759" s="13">
        <f>[2]S1!J760</f>
        <v>0</v>
      </c>
      <c r="K759" s="19">
        <f>[2]S1!K760</f>
        <v>200</v>
      </c>
      <c r="L759" s="52">
        <f>[2]S1!L760</f>
        <v>0</v>
      </c>
      <c r="M759" s="58">
        <f>[2]S1!M760</f>
        <v>0</v>
      </c>
      <c r="N759" s="49">
        <f>[2]S1!P760</f>
        <v>8741978113</v>
      </c>
      <c r="O759" s="14"/>
    </row>
    <row r="760" spans="1:15" x14ac:dyDescent="0.3">
      <c r="A760" s="11">
        <v>3807</v>
      </c>
      <c r="B760" s="12" t="str">
        <f>[3]Name!E2811</f>
        <v>Roshan Pachariya</v>
      </c>
      <c r="C760" s="13">
        <f>[2]S1!C761</f>
        <v>100</v>
      </c>
      <c r="D760" s="13">
        <f>[2]S1!D761</f>
        <v>0</v>
      </c>
      <c r="E760" s="26">
        <f>[2]S1!E761</f>
        <v>200</v>
      </c>
      <c r="F760" s="26">
        <f>[2]S1!F761</f>
        <v>0</v>
      </c>
      <c r="G760" s="22">
        <f>[2]S1!G761</f>
        <v>0</v>
      </c>
      <c r="H760" s="22">
        <f>[2]S1!H761</f>
        <v>0</v>
      </c>
      <c r="I760" s="22">
        <f>[2]S1!I761</f>
        <v>5</v>
      </c>
      <c r="J760" s="13">
        <f>[2]S1!J761</f>
        <v>0</v>
      </c>
      <c r="K760" s="19">
        <f>[2]S1!K761</f>
        <v>205</v>
      </c>
      <c r="L760" s="52">
        <f>[2]S1!L761</f>
        <v>487</v>
      </c>
      <c r="M760" s="58">
        <f>[2]S1!M761</f>
        <v>4</v>
      </c>
      <c r="N760" s="49">
        <f>[2]S1!P761</f>
        <v>9829533676</v>
      </c>
      <c r="O760" s="14"/>
    </row>
    <row r="761" spans="1:15" x14ac:dyDescent="0.3">
      <c r="A761" s="11">
        <v>3808</v>
      </c>
      <c r="B761" s="12" t="str">
        <f>[3]Name!E2812</f>
        <v>Bhagavati Devi Pachariya</v>
      </c>
      <c r="C761" s="13">
        <f>[2]S1!C762</f>
        <v>400</v>
      </c>
      <c r="D761" s="13">
        <f>[2]S1!D762</f>
        <v>0</v>
      </c>
      <c r="E761" s="26">
        <f>[2]S1!E762</f>
        <v>200</v>
      </c>
      <c r="F761" s="26">
        <f>[2]S1!F762</f>
        <v>0</v>
      </c>
      <c r="G761" s="22">
        <f>[2]S1!G762</f>
        <v>0</v>
      </c>
      <c r="H761" s="22">
        <f>[2]S1!H762</f>
        <v>0</v>
      </c>
      <c r="I761" s="22">
        <f>[2]S1!I762</f>
        <v>40</v>
      </c>
      <c r="J761" s="13">
        <f>[2]S1!J762</f>
        <v>0</v>
      </c>
      <c r="K761" s="19">
        <f>[2]S1!K762</f>
        <v>240</v>
      </c>
      <c r="L761" s="52">
        <f>[2]S1!L762</f>
        <v>4000</v>
      </c>
      <c r="M761" s="58">
        <f>[2]S1!M762</f>
        <v>4</v>
      </c>
      <c r="N761" s="49">
        <f>[2]S1!P762</f>
        <v>9829533676</v>
      </c>
      <c r="O761" s="14"/>
    </row>
    <row r="762" spans="1:15" x14ac:dyDescent="0.3">
      <c r="A762" s="11">
        <v>3809</v>
      </c>
      <c r="B762" s="12" t="str">
        <f>[3]Name!E2813</f>
        <v>Pachu Ram Khohal</v>
      </c>
      <c r="C762" s="13">
        <f>[2]S1!C763</f>
        <v>1000</v>
      </c>
      <c r="D762" s="13">
        <f>[2]S1!D763</f>
        <v>0</v>
      </c>
      <c r="E762" s="26">
        <f>[2]S1!E763</f>
        <v>0</v>
      </c>
      <c r="F762" s="26">
        <f>[2]S1!F763</f>
        <v>0</v>
      </c>
      <c r="G762" s="22">
        <f>[2]S1!G763</f>
        <v>1000</v>
      </c>
      <c r="H762" s="22">
        <f>[2]S1!H763</f>
        <v>0</v>
      </c>
      <c r="I762" s="22">
        <f>[2]S1!I763</f>
        <v>190</v>
      </c>
      <c r="J762" s="13">
        <f>[2]S1!J763</f>
        <v>0</v>
      </c>
      <c r="K762" s="19">
        <f>[2]S1!K763</f>
        <v>1190</v>
      </c>
      <c r="L762" s="52">
        <f>[2]S1!L763</f>
        <v>20000</v>
      </c>
      <c r="M762" s="58">
        <f>[2]S1!M763</f>
        <v>1</v>
      </c>
      <c r="N762" s="49">
        <f>[2]S1!P763</f>
        <v>8952868259</v>
      </c>
      <c r="O762" s="14"/>
    </row>
    <row r="763" spans="1:15" x14ac:dyDescent="0.3">
      <c r="A763" s="11">
        <v>3810</v>
      </c>
      <c r="B763" s="12" t="str">
        <f>[3]Name!E2814</f>
        <v>Gulab Devi Khohal</v>
      </c>
      <c r="C763" s="13">
        <f>[2]S1!C764</f>
        <v>1000</v>
      </c>
      <c r="D763" s="13">
        <f>[2]S1!D764</f>
        <v>0</v>
      </c>
      <c r="E763" s="26">
        <f>[2]S1!E764</f>
        <v>37</v>
      </c>
      <c r="F763" s="26">
        <f>[2]S1!F764</f>
        <v>0</v>
      </c>
      <c r="G763" s="22">
        <f>[2]S1!G764</f>
        <v>1000</v>
      </c>
      <c r="H763" s="22">
        <f>[2]S1!H764</f>
        <v>0</v>
      </c>
      <c r="I763" s="22">
        <f>[2]S1!I764</f>
        <v>200</v>
      </c>
      <c r="J763" s="13">
        <f>[2]S1!J764</f>
        <v>0</v>
      </c>
      <c r="K763" s="19">
        <f>[2]S1!K764</f>
        <v>1237</v>
      </c>
      <c r="L763" s="52">
        <f>[2]S1!L764</f>
        <v>20000</v>
      </c>
      <c r="M763" s="58">
        <f>[2]S1!M764</f>
        <v>1</v>
      </c>
      <c r="N763" s="49">
        <f>[2]S1!P764</f>
        <v>8952868259</v>
      </c>
      <c r="O763" s="14"/>
    </row>
    <row r="764" spans="1:15" x14ac:dyDescent="0.3">
      <c r="A764" s="11">
        <v>3811</v>
      </c>
      <c r="B764" s="12" t="str">
        <f>[3]Name!E2815</f>
        <v>Kishn Lal Khandelwal</v>
      </c>
      <c r="C764" s="13">
        <f>[2]S1!C765</f>
        <v>0</v>
      </c>
      <c r="D764" s="13">
        <f>[2]S1!D765</f>
        <v>0</v>
      </c>
      <c r="E764" s="26">
        <f>[2]S1!E765</f>
        <v>1000</v>
      </c>
      <c r="F764" s="26">
        <f>[2]S1!F765</f>
        <v>106</v>
      </c>
      <c r="G764" s="22">
        <f>[2]S1!G765</f>
        <v>0</v>
      </c>
      <c r="H764" s="22">
        <f>[2]S1!H765</f>
        <v>0</v>
      </c>
      <c r="I764" s="22">
        <f>[2]S1!I765</f>
        <v>0</v>
      </c>
      <c r="J764" s="13">
        <f>[2]S1!J765</f>
        <v>0</v>
      </c>
      <c r="K764" s="19">
        <f>[2]S1!K765</f>
        <v>1106</v>
      </c>
      <c r="L764" s="52">
        <f>[2]S1!L765</f>
        <v>0</v>
      </c>
      <c r="M764" s="58">
        <f>[2]S1!M765</f>
        <v>0</v>
      </c>
      <c r="N764" s="49">
        <f>[2]S1!P765</f>
        <v>7742331956</v>
      </c>
      <c r="O764" s="14"/>
    </row>
    <row r="765" spans="1:15" x14ac:dyDescent="0.3">
      <c r="A765" s="11">
        <v>3812</v>
      </c>
      <c r="B765" s="12" t="str">
        <f>[3]Name!E2816</f>
        <v>Mamata Devi  Khandelwal</v>
      </c>
      <c r="C765" s="13">
        <f>[2]S1!C766</f>
        <v>0</v>
      </c>
      <c r="D765" s="13">
        <f>[2]S1!D766</f>
        <v>227</v>
      </c>
      <c r="E765" s="26">
        <f>[2]S1!E766</f>
        <v>1000</v>
      </c>
      <c r="F765" s="26">
        <f>[2]S1!F766</f>
        <v>106</v>
      </c>
      <c r="G765" s="22">
        <f>[2]S1!G766</f>
        <v>15300</v>
      </c>
      <c r="H765" s="22">
        <f>[2]S1!H766</f>
        <v>801</v>
      </c>
      <c r="I765" s="22">
        <f>[2]S1!I766</f>
        <v>306</v>
      </c>
      <c r="J765" s="13">
        <f>[2]S1!J766</f>
        <v>0</v>
      </c>
      <c r="K765" s="19">
        <f>[2]S1!K766</f>
        <v>17513</v>
      </c>
      <c r="L765" s="52">
        <f>[2]S1!L766</f>
        <v>15300</v>
      </c>
      <c r="M765" s="58">
        <f>[2]S1!M766</f>
        <v>7</v>
      </c>
      <c r="N765" s="49">
        <f>[2]S1!P766</f>
        <v>7742331956</v>
      </c>
      <c r="O765" s="14"/>
    </row>
    <row r="766" spans="1:15" x14ac:dyDescent="0.3">
      <c r="A766" s="11">
        <v>3813</v>
      </c>
      <c r="B766" s="12" t="str">
        <f>[3]Name!E2817</f>
        <v>Rahul Varma</v>
      </c>
      <c r="C766" s="13">
        <f>[2]S1!C767</f>
        <v>1000</v>
      </c>
      <c r="D766" s="13">
        <f>[2]S1!D767</f>
        <v>0</v>
      </c>
      <c r="E766" s="26">
        <f>[2]S1!E767</f>
        <v>1000</v>
      </c>
      <c r="F766" s="26">
        <f>[2]S1!F767</f>
        <v>106</v>
      </c>
      <c r="G766" s="22">
        <f>[2]S1!G767</f>
        <v>3468</v>
      </c>
      <c r="H766" s="22">
        <f>[2]S1!H767</f>
        <v>0</v>
      </c>
      <c r="I766" s="22">
        <f>[2]S1!I767</f>
        <v>210</v>
      </c>
      <c r="J766" s="13">
        <f>[2]S1!J767</f>
        <v>0</v>
      </c>
      <c r="K766" s="19">
        <f>[2]S1!K767</f>
        <v>4784</v>
      </c>
      <c r="L766" s="52">
        <f>[2]S1!L767</f>
        <v>10468</v>
      </c>
      <c r="M766" s="58">
        <f>[2]S1!M767</f>
        <v>13</v>
      </c>
      <c r="N766" s="49">
        <f>[2]S1!P767</f>
        <v>8000301053</v>
      </c>
      <c r="O766" s="14"/>
    </row>
    <row r="767" spans="1:15" x14ac:dyDescent="0.3">
      <c r="A767" s="11">
        <v>3814</v>
      </c>
      <c r="B767" s="12" t="str">
        <f>[3]Name!E2818</f>
        <v>Rae Kumar Chiraniya</v>
      </c>
      <c r="C767" s="13">
        <f>[2]S1!C768</f>
        <v>0</v>
      </c>
      <c r="D767" s="13">
        <f>[2]S1!D768</f>
        <v>0</v>
      </c>
      <c r="E767" s="26">
        <f>[2]S1!E768</f>
        <v>174</v>
      </c>
      <c r="F767" s="26">
        <f>[2]S1!F768</f>
        <v>0</v>
      </c>
      <c r="G767" s="22">
        <f>[2]S1!G768</f>
        <v>0</v>
      </c>
      <c r="H767" s="22">
        <f>[2]S1!H768</f>
        <v>0</v>
      </c>
      <c r="I767" s="22">
        <f>[2]S1!I768</f>
        <v>0</v>
      </c>
      <c r="J767" s="13">
        <f>[2]S1!J768</f>
        <v>0</v>
      </c>
      <c r="K767" s="19">
        <f>[2]S1!K768</f>
        <v>174</v>
      </c>
      <c r="L767" s="52">
        <f>[2]S1!L768</f>
        <v>0</v>
      </c>
      <c r="M767" s="58">
        <f>[2]S1!M768</f>
        <v>0</v>
      </c>
      <c r="N767" s="49">
        <f>[2]S1!P768</f>
        <v>9783081834</v>
      </c>
      <c r="O767" s="14"/>
    </row>
    <row r="768" spans="1:15" x14ac:dyDescent="0.3">
      <c r="A768" s="11">
        <v>3815</v>
      </c>
      <c r="B768" s="12" t="str">
        <f>[3]Name!E2819</f>
        <v>Utkrsh Chiraniya</v>
      </c>
      <c r="C768" s="13">
        <f>[2]S1!C769</f>
        <v>0</v>
      </c>
      <c r="D768" s="13">
        <f>[2]S1!D769</f>
        <v>0</v>
      </c>
      <c r="E768" s="26">
        <f>[2]S1!E769</f>
        <v>200</v>
      </c>
      <c r="F768" s="26">
        <f>[2]S1!F769</f>
        <v>0</v>
      </c>
      <c r="G768" s="22">
        <f>[2]S1!G769</f>
        <v>0</v>
      </c>
      <c r="H768" s="22">
        <f>[2]S1!H769</f>
        <v>0</v>
      </c>
      <c r="I768" s="22">
        <f>[2]S1!I769</f>
        <v>0</v>
      </c>
      <c r="J768" s="13">
        <f>[2]S1!J769</f>
        <v>0</v>
      </c>
      <c r="K768" s="19">
        <f>[2]S1!K769</f>
        <v>200</v>
      </c>
      <c r="L768" s="52">
        <f>[2]S1!L769</f>
        <v>0</v>
      </c>
      <c r="M768" s="58">
        <f>[2]S1!M769</f>
        <v>0</v>
      </c>
      <c r="N768" s="49">
        <f>[2]S1!P769</f>
        <v>9783081834</v>
      </c>
      <c r="O768" s="14"/>
    </row>
    <row r="769" spans="1:15" x14ac:dyDescent="0.3">
      <c r="A769" s="11">
        <v>3816</v>
      </c>
      <c r="B769" s="12" t="str">
        <f>[3]Name!E2820</f>
        <v>Raju Lal Chiraniya</v>
      </c>
      <c r="C769" s="13">
        <f>[2]S1!C770</f>
        <v>0</v>
      </c>
      <c r="D769" s="13">
        <f>[2]S1!D770</f>
        <v>0</v>
      </c>
      <c r="E769" s="26">
        <f>[2]S1!E770</f>
        <v>0</v>
      </c>
      <c r="F769" s="26">
        <f>[2]S1!F770</f>
        <v>0</v>
      </c>
      <c r="G769" s="22">
        <f>[2]S1!G770</f>
        <v>0</v>
      </c>
      <c r="H769" s="22">
        <f>[2]S1!H770</f>
        <v>0</v>
      </c>
      <c r="I769" s="22">
        <f>[2]S1!I770</f>
        <v>0</v>
      </c>
      <c r="J769" s="13">
        <f>[2]S1!J770</f>
        <v>0</v>
      </c>
      <c r="K769" s="19">
        <f>[2]S1!K770</f>
        <v>0</v>
      </c>
      <c r="L769" s="52">
        <f>[2]S1!L770</f>
        <v>0</v>
      </c>
      <c r="M769" s="58">
        <f>[2]S1!M770</f>
        <v>0</v>
      </c>
      <c r="N769" s="49">
        <f>[2]S1!P770</f>
        <v>9588828274</v>
      </c>
      <c r="O769" s="14"/>
    </row>
    <row r="770" spans="1:15" x14ac:dyDescent="0.3">
      <c r="A770" s="11">
        <v>3817</v>
      </c>
      <c r="B770" s="12" t="str">
        <f>[3]Name!E2821</f>
        <v>Navin kumar Chiraniya</v>
      </c>
      <c r="C770" s="13">
        <f>[2]S1!C771</f>
        <v>0</v>
      </c>
      <c r="D770" s="13">
        <f>[2]S1!D771</f>
        <v>0</v>
      </c>
      <c r="E770" s="26">
        <f>[2]S1!E771</f>
        <v>200</v>
      </c>
      <c r="F770" s="26">
        <f>[2]S1!F771</f>
        <v>0</v>
      </c>
      <c r="G770" s="22">
        <f>[2]S1!G771</f>
        <v>0</v>
      </c>
      <c r="H770" s="22">
        <f>[2]S1!H771</f>
        <v>0</v>
      </c>
      <c r="I770" s="22">
        <f>[2]S1!I771</f>
        <v>0</v>
      </c>
      <c r="J770" s="13">
        <f>[2]S1!J771</f>
        <v>0</v>
      </c>
      <c r="K770" s="19">
        <f>[2]S1!K771</f>
        <v>200</v>
      </c>
      <c r="L770" s="52">
        <f>[2]S1!L771</f>
        <v>0</v>
      </c>
      <c r="M770" s="58">
        <f>[2]S1!M771</f>
        <v>0</v>
      </c>
      <c r="N770" s="49">
        <f>[2]S1!P771</f>
        <v>9588828274</v>
      </c>
      <c r="O770" s="14"/>
    </row>
    <row r="771" spans="1:15" x14ac:dyDescent="0.3">
      <c r="A771" s="11">
        <v>3818</v>
      </c>
      <c r="B771" s="12" t="str">
        <f>[3]Name!E2822</f>
        <v>Manjhu Devi Chiraniya</v>
      </c>
      <c r="C771" s="13">
        <f>[2]S1!C772</f>
        <v>0</v>
      </c>
      <c r="D771" s="13">
        <f>[2]S1!D772</f>
        <v>0</v>
      </c>
      <c r="E771" s="26">
        <f>[2]S1!E772</f>
        <v>400</v>
      </c>
      <c r="F771" s="26">
        <f>[2]S1!F772</f>
        <v>10</v>
      </c>
      <c r="G771" s="22">
        <f>[2]S1!G772</f>
        <v>0</v>
      </c>
      <c r="H771" s="22">
        <f>[2]S1!H772</f>
        <v>0</v>
      </c>
      <c r="I771" s="22">
        <f>[2]S1!I772</f>
        <v>0</v>
      </c>
      <c r="J771" s="13">
        <f>[2]S1!J772</f>
        <v>0</v>
      </c>
      <c r="K771" s="19">
        <f>[2]S1!K772</f>
        <v>410</v>
      </c>
      <c r="L771" s="52">
        <f>[2]S1!L772</f>
        <v>0</v>
      </c>
      <c r="M771" s="58">
        <f>[2]S1!M772</f>
        <v>0</v>
      </c>
      <c r="N771" s="49">
        <f>[2]S1!P772</f>
        <v>9588828274</v>
      </c>
      <c r="O771" s="14"/>
    </row>
    <row r="772" spans="1:15" x14ac:dyDescent="0.3">
      <c r="A772" s="11">
        <v>3819</v>
      </c>
      <c r="B772" s="12" t="str">
        <f>[3]Name!E2823</f>
        <v>Satynarayan Varma</v>
      </c>
      <c r="C772" s="13">
        <f>[2]S1!C773</f>
        <v>700</v>
      </c>
      <c r="D772" s="13">
        <f>[2]S1!D773</f>
        <v>0</v>
      </c>
      <c r="E772" s="26">
        <f>[2]S1!E773</f>
        <v>600</v>
      </c>
      <c r="F772" s="26">
        <f>[2]S1!F773</f>
        <v>31</v>
      </c>
      <c r="G772" s="22">
        <f>[2]S1!G773</f>
        <v>2100</v>
      </c>
      <c r="H772" s="22">
        <f>[2]S1!H773</f>
        <v>115</v>
      </c>
      <c r="I772" s="22">
        <f>[2]S1!I773</f>
        <v>316</v>
      </c>
      <c r="J772" s="13">
        <f>[2]S1!J773</f>
        <v>0</v>
      </c>
      <c r="K772" s="19">
        <f>[2]S1!K773</f>
        <v>3162</v>
      </c>
      <c r="L772" s="52">
        <f>[2]S1!L773</f>
        <v>15800</v>
      </c>
      <c r="M772" s="58">
        <f>[2]S1!M773</f>
        <v>9</v>
      </c>
      <c r="N772" s="49">
        <f>[2]S1!P773</f>
        <v>9784800461</v>
      </c>
      <c r="O772" s="14"/>
    </row>
    <row r="773" spans="1:15" x14ac:dyDescent="0.3">
      <c r="A773" s="11">
        <v>3820</v>
      </c>
      <c r="B773" s="12" t="str">
        <f>[3]Name!E2824</f>
        <v>Nito Devi Varma</v>
      </c>
      <c r="C773" s="13">
        <f>[2]S1!C774</f>
        <v>700</v>
      </c>
      <c r="D773" s="13">
        <f>[2]S1!D774</f>
        <v>0</v>
      </c>
      <c r="E773" s="26">
        <f>[2]S1!E774</f>
        <v>600</v>
      </c>
      <c r="F773" s="26">
        <f>[2]S1!F774</f>
        <v>31</v>
      </c>
      <c r="G773" s="22">
        <f>[2]S1!G774</f>
        <v>2100</v>
      </c>
      <c r="H773" s="22">
        <f>[2]S1!H774</f>
        <v>115</v>
      </c>
      <c r="I773" s="22">
        <f>[2]S1!I774</f>
        <v>316</v>
      </c>
      <c r="J773" s="13">
        <f>[2]S1!J774</f>
        <v>0</v>
      </c>
      <c r="K773" s="19">
        <f>[2]S1!K774</f>
        <v>3162</v>
      </c>
      <c r="L773" s="52">
        <f>[2]S1!L774</f>
        <v>15800</v>
      </c>
      <c r="M773" s="58">
        <f>[2]S1!M774</f>
        <v>9</v>
      </c>
      <c r="N773" s="49">
        <f>[2]S1!P774</f>
        <v>9784800461</v>
      </c>
      <c r="O773" s="14"/>
    </row>
    <row r="774" spans="1:15" x14ac:dyDescent="0.3">
      <c r="A774" s="11">
        <v>3821</v>
      </c>
      <c r="B774" s="12" t="str">
        <f>[3]Name!E2825</f>
        <v>Suraj Varma</v>
      </c>
      <c r="C774" s="13">
        <f>[2]S1!C775</f>
        <v>1000</v>
      </c>
      <c r="D774" s="13">
        <f>[2]S1!D775</f>
        <v>12</v>
      </c>
      <c r="E774" s="26">
        <f>[2]S1!E775</f>
        <v>600</v>
      </c>
      <c r="F774" s="26">
        <f>[2]S1!F775</f>
        <v>31</v>
      </c>
      <c r="G774" s="22">
        <f>[2]S1!G775</f>
        <v>4933</v>
      </c>
      <c r="H774" s="22">
        <f>[2]S1!H775</f>
        <v>356</v>
      </c>
      <c r="I774" s="22">
        <f>[2]S1!I775</f>
        <v>198</v>
      </c>
      <c r="J774" s="13">
        <f>[2]S1!J775</f>
        <v>0</v>
      </c>
      <c r="K774" s="19">
        <f>[2]S1!K775</f>
        <v>6118</v>
      </c>
      <c r="L774" s="52">
        <f>[2]S1!L775</f>
        <v>9933</v>
      </c>
      <c r="M774" s="58">
        <f>[2]S1!M775</f>
        <v>15</v>
      </c>
      <c r="N774" s="49">
        <f>[2]S1!P775</f>
        <v>9784800461</v>
      </c>
      <c r="O774" s="14"/>
    </row>
    <row r="775" spans="1:15" x14ac:dyDescent="0.3">
      <c r="A775" s="11">
        <v>3822</v>
      </c>
      <c r="B775" s="12" t="str">
        <f>[3]Name!E2826</f>
        <v>Kajal Varma</v>
      </c>
      <c r="C775" s="13">
        <f>[2]S1!C776</f>
        <v>1000</v>
      </c>
      <c r="D775" s="13">
        <f>[2]S1!D776</f>
        <v>0</v>
      </c>
      <c r="E775" s="26">
        <f>[2]S1!E776</f>
        <v>1200</v>
      </c>
      <c r="F775" s="26">
        <f>[2]S1!F776</f>
        <v>92</v>
      </c>
      <c r="G775" s="22">
        <f>[2]S1!G776</f>
        <v>2000</v>
      </c>
      <c r="H775" s="22">
        <f>[2]S1!H776</f>
        <v>54</v>
      </c>
      <c r="I775" s="22">
        <f>[2]S1!I776</f>
        <v>140</v>
      </c>
      <c r="J775" s="13">
        <f>[2]S1!J776</f>
        <v>0</v>
      </c>
      <c r="K775" s="19">
        <f>[2]S1!K776</f>
        <v>3486</v>
      </c>
      <c r="L775" s="52">
        <f>[2]S1!L776</f>
        <v>7000</v>
      </c>
      <c r="M775" s="58">
        <f>[2]S1!M776</f>
        <v>15</v>
      </c>
      <c r="N775" s="49">
        <f>[2]S1!P776</f>
        <v>9784800461</v>
      </c>
      <c r="O775" s="14"/>
    </row>
    <row r="776" spans="1:15" x14ac:dyDescent="0.3">
      <c r="A776" s="11">
        <v>3823</v>
      </c>
      <c r="B776" s="12" t="str">
        <f>[3]Name!E2827</f>
        <v>Ajay Kumar Bacher</v>
      </c>
      <c r="C776" s="13">
        <f>[2]S1!C777</f>
        <v>250</v>
      </c>
      <c r="D776" s="13">
        <f>[2]S1!D777</f>
        <v>0</v>
      </c>
      <c r="E776" s="26">
        <f>[2]S1!E777</f>
        <v>200</v>
      </c>
      <c r="F776" s="26">
        <f>[2]S1!F777</f>
        <v>0</v>
      </c>
      <c r="G776" s="22">
        <f>[2]S1!G777</f>
        <v>0</v>
      </c>
      <c r="H776" s="22">
        <f>[2]S1!H777</f>
        <v>0</v>
      </c>
      <c r="I776" s="22">
        <f>[2]S1!I777</f>
        <v>143</v>
      </c>
      <c r="J776" s="13">
        <f>[2]S1!J777</f>
        <v>0</v>
      </c>
      <c r="K776" s="19">
        <f>[2]S1!K777</f>
        <v>343</v>
      </c>
      <c r="L776" s="52">
        <f>[2]S1!L777</f>
        <v>14328</v>
      </c>
      <c r="M776" s="58">
        <f>[2]S1!M777</f>
        <v>16</v>
      </c>
      <c r="N776" s="49">
        <f>[2]S1!P777</f>
        <v>9983675956</v>
      </c>
      <c r="O776" s="14"/>
    </row>
    <row r="777" spans="1:15" x14ac:dyDescent="0.3">
      <c r="A777" s="11">
        <v>3824</v>
      </c>
      <c r="B777" s="12" t="str">
        <f>[3]Name!E2828</f>
        <v>Lali Devi Bacher</v>
      </c>
      <c r="C777" s="13">
        <f>[2]S1!C778</f>
        <v>250</v>
      </c>
      <c r="D777" s="13">
        <f>[2]S1!D778</f>
        <v>0</v>
      </c>
      <c r="E777" s="26">
        <f>[2]S1!E778</f>
        <v>200</v>
      </c>
      <c r="F777" s="26">
        <f>[2]S1!F778</f>
        <v>0</v>
      </c>
      <c r="G777" s="22">
        <f>[2]S1!G778</f>
        <v>0</v>
      </c>
      <c r="H777" s="22">
        <f>[2]S1!H778</f>
        <v>0</v>
      </c>
      <c r="I777" s="22">
        <f>[2]S1!I778</f>
        <v>143</v>
      </c>
      <c r="J777" s="13">
        <f>[2]S1!J778</f>
        <v>0</v>
      </c>
      <c r="K777" s="19">
        <f>[2]S1!K778</f>
        <v>343</v>
      </c>
      <c r="L777" s="52">
        <f>[2]S1!L778</f>
        <v>14272</v>
      </c>
      <c r="M777" s="58">
        <f>[2]S1!M778</f>
        <v>16</v>
      </c>
      <c r="N777" s="49">
        <f>[2]S1!P778</f>
        <v>9983675956</v>
      </c>
      <c r="O777" s="14"/>
    </row>
    <row r="778" spans="1:15" x14ac:dyDescent="0.3">
      <c r="A778" s="11">
        <v>3825</v>
      </c>
      <c r="B778" s="12" t="str">
        <f>[3]Name!E2829</f>
        <v>Visnu Kumar Bacher</v>
      </c>
      <c r="C778" s="13">
        <f>[2]S1!C779</f>
        <v>250</v>
      </c>
      <c r="D778" s="13">
        <f>[2]S1!D779</f>
        <v>0</v>
      </c>
      <c r="E778" s="26">
        <f>[2]S1!E779</f>
        <v>200</v>
      </c>
      <c r="F778" s="26">
        <f>[2]S1!F779</f>
        <v>0</v>
      </c>
      <c r="G778" s="22">
        <f>[2]S1!G779</f>
        <v>0</v>
      </c>
      <c r="H778" s="22">
        <f>[2]S1!H779</f>
        <v>0</v>
      </c>
      <c r="I778" s="22">
        <f>[2]S1!I779</f>
        <v>145</v>
      </c>
      <c r="J778" s="13">
        <f>[2]S1!J779</f>
        <v>0</v>
      </c>
      <c r="K778" s="19">
        <f>[2]S1!K779</f>
        <v>345</v>
      </c>
      <c r="L778" s="52">
        <f>[2]S1!L779</f>
        <v>14530</v>
      </c>
      <c r="M778" s="58">
        <f>[2]S1!M779</f>
        <v>16</v>
      </c>
      <c r="N778" s="49">
        <f>[2]S1!P779</f>
        <v>9983675956</v>
      </c>
      <c r="O778" s="14"/>
    </row>
    <row r="779" spans="1:15" x14ac:dyDescent="0.3">
      <c r="A779" s="11">
        <v>3826</v>
      </c>
      <c r="B779" s="12" t="str">
        <f>[3]Name!E2830</f>
        <v>Ajay Kumar Bacher</v>
      </c>
      <c r="C779" s="13">
        <f>[2]S1!C780</f>
        <v>250</v>
      </c>
      <c r="D779" s="13">
        <f>[2]S1!D780</f>
        <v>0</v>
      </c>
      <c r="E779" s="26">
        <f>[2]S1!E780</f>
        <v>200</v>
      </c>
      <c r="F779" s="26">
        <f>[2]S1!F780</f>
        <v>0</v>
      </c>
      <c r="G779" s="22">
        <f>[2]S1!G780</f>
        <v>0</v>
      </c>
      <c r="H779" s="22">
        <f>[2]S1!H780</f>
        <v>0</v>
      </c>
      <c r="I779" s="22">
        <f>[2]S1!I780</f>
        <v>146</v>
      </c>
      <c r="J779" s="13">
        <f>[2]S1!J780</f>
        <v>0</v>
      </c>
      <c r="K779" s="19">
        <f>[2]S1!K780</f>
        <v>346</v>
      </c>
      <c r="L779" s="52">
        <f>[2]S1!L780</f>
        <v>14552</v>
      </c>
      <c r="M779" s="58">
        <f>[2]S1!M780</f>
        <v>16</v>
      </c>
      <c r="N779" s="49">
        <f>[2]S1!P780</f>
        <v>9983675956</v>
      </c>
      <c r="O779" s="14"/>
    </row>
    <row r="780" spans="1:15" x14ac:dyDescent="0.3">
      <c r="A780" s="11">
        <v>3827</v>
      </c>
      <c r="B780" s="12" t="str">
        <f>[3]Name!E2831</f>
        <v>Ramnivash Bunkar</v>
      </c>
      <c r="C780" s="13">
        <f>[2]S1!C781</f>
        <v>0</v>
      </c>
      <c r="D780" s="13">
        <f>[2]S1!D781</f>
        <v>0</v>
      </c>
      <c r="E780" s="26">
        <f>[2]S1!E781</f>
        <v>200</v>
      </c>
      <c r="F780" s="26">
        <f>[2]S1!F781</f>
        <v>0</v>
      </c>
      <c r="G780" s="22">
        <f>[2]S1!G781</f>
        <v>0</v>
      </c>
      <c r="H780" s="22">
        <f>[2]S1!H781</f>
        <v>0</v>
      </c>
      <c r="I780" s="22">
        <f>[2]S1!I781</f>
        <v>0</v>
      </c>
      <c r="J780" s="13">
        <f>[2]S1!J781</f>
        <v>0</v>
      </c>
      <c r="K780" s="19">
        <f>[2]S1!K781</f>
        <v>200</v>
      </c>
      <c r="L780" s="52">
        <f>[2]S1!L781</f>
        <v>0</v>
      </c>
      <c r="M780" s="58">
        <f>[2]S1!M781</f>
        <v>0</v>
      </c>
      <c r="N780" s="49">
        <f>[2]S1!P781</f>
        <v>8947800094</v>
      </c>
      <c r="O780" s="14"/>
    </row>
    <row r="781" spans="1:15" x14ac:dyDescent="0.3">
      <c r="A781" s="11">
        <v>3828</v>
      </c>
      <c r="B781" s="12" t="str">
        <f>[3]Name!E2832</f>
        <v>Kailash Bunkar</v>
      </c>
      <c r="C781" s="13">
        <f>[2]S1!C782</f>
        <v>0</v>
      </c>
      <c r="D781" s="13">
        <f>[2]S1!D782</f>
        <v>0</v>
      </c>
      <c r="E781" s="26">
        <f>[2]S1!E782</f>
        <v>200</v>
      </c>
      <c r="F781" s="26">
        <f>[2]S1!F782</f>
        <v>0</v>
      </c>
      <c r="G781" s="22">
        <f>[2]S1!G782</f>
        <v>0</v>
      </c>
      <c r="H781" s="22">
        <f>[2]S1!H782</f>
        <v>0</v>
      </c>
      <c r="I781" s="22">
        <f>[2]S1!I782</f>
        <v>0</v>
      </c>
      <c r="J781" s="13">
        <f>[2]S1!J782</f>
        <v>0</v>
      </c>
      <c r="K781" s="19">
        <f>[2]S1!K782</f>
        <v>200</v>
      </c>
      <c r="L781" s="52">
        <f>[2]S1!L782</f>
        <v>0</v>
      </c>
      <c r="M781" s="58">
        <f>[2]S1!M782</f>
        <v>0</v>
      </c>
      <c r="N781" s="49">
        <f>[2]S1!P782</f>
        <v>8947800094</v>
      </c>
      <c r="O781" s="14"/>
    </row>
    <row r="782" spans="1:15" x14ac:dyDescent="0.3">
      <c r="A782" s="11">
        <v>3829</v>
      </c>
      <c r="B782" s="12" t="str">
        <f>[3]Name!E2833</f>
        <v>Archana kumari Bunkar</v>
      </c>
      <c r="C782" s="13">
        <f>[2]S1!C783</f>
        <v>0</v>
      </c>
      <c r="D782" s="13">
        <f>[2]S1!D783</f>
        <v>0</v>
      </c>
      <c r="E782" s="26">
        <f>[2]S1!E783</f>
        <v>200</v>
      </c>
      <c r="F782" s="26">
        <f>[2]S1!F783</f>
        <v>0</v>
      </c>
      <c r="G782" s="22">
        <f>[2]S1!G783</f>
        <v>0</v>
      </c>
      <c r="H782" s="22">
        <f>[2]S1!H783</f>
        <v>0</v>
      </c>
      <c r="I782" s="22">
        <f>[2]S1!I783</f>
        <v>0</v>
      </c>
      <c r="J782" s="13">
        <f>[2]S1!J783</f>
        <v>0</v>
      </c>
      <c r="K782" s="19">
        <f>[2]S1!K783</f>
        <v>200</v>
      </c>
      <c r="L782" s="52">
        <f>[2]S1!L783</f>
        <v>0</v>
      </c>
      <c r="M782" s="58">
        <f>[2]S1!M783</f>
        <v>0</v>
      </c>
      <c r="N782" s="49">
        <f>[2]S1!P783</f>
        <v>8947800094</v>
      </c>
      <c r="O782" s="14"/>
    </row>
    <row r="783" spans="1:15" x14ac:dyDescent="0.3">
      <c r="A783" s="11">
        <v>3830</v>
      </c>
      <c r="B783" s="12" t="str">
        <f>[3]Name!E2834</f>
        <v>Hanuman Sahay Ghuvariya</v>
      </c>
      <c r="C783" s="13">
        <f>[2]S1!C784</f>
        <v>0</v>
      </c>
      <c r="D783" s="13">
        <f>[2]S1!D784</f>
        <v>0</v>
      </c>
      <c r="E783" s="26">
        <f>[2]S1!E784</f>
        <v>198</v>
      </c>
      <c r="F783" s="26">
        <f>[2]S1!F784</f>
        <v>0</v>
      </c>
      <c r="G783" s="22">
        <f>[2]S1!G784</f>
        <v>0</v>
      </c>
      <c r="H783" s="22">
        <f>[2]S1!H784</f>
        <v>0</v>
      </c>
      <c r="I783" s="22">
        <f>[2]S1!I784</f>
        <v>0</v>
      </c>
      <c r="J783" s="13">
        <f>[2]S1!J784</f>
        <v>0</v>
      </c>
      <c r="K783" s="19">
        <f>[2]S1!K784</f>
        <v>198</v>
      </c>
      <c r="L783" s="52">
        <f>[2]S1!L784</f>
        <v>0</v>
      </c>
      <c r="M783" s="58">
        <f>[2]S1!M784</f>
        <v>0</v>
      </c>
      <c r="N783" s="49">
        <f>[2]S1!P784</f>
        <v>8947800094</v>
      </c>
      <c r="O783" s="14"/>
    </row>
    <row r="784" spans="1:15" x14ac:dyDescent="0.3">
      <c r="A784" s="11">
        <v>3831</v>
      </c>
      <c r="B784" s="12" t="str">
        <f>[3]Name!E2835</f>
        <v>Ramji Lal Ghuvariya</v>
      </c>
      <c r="C784" s="13">
        <f>[2]S1!C785</f>
        <v>0</v>
      </c>
      <c r="D784" s="13">
        <f>[2]S1!D785</f>
        <v>0</v>
      </c>
      <c r="E784" s="26">
        <f>[2]S1!E785</f>
        <v>200</v>
      </c>
      <c r="F784" s="26">
        <f>[2]S1!F785</f>
        <v>0</v>
      </c>
      <c r="G784" s="22">
        <f>[2]S1!G785</f>
        <v>0</v>
      </c>
      <c r="H784" s="22">
        <f>[2]S1!H785</f>
        <v>0</v>
      </c>
      <c r="I784" s="22">
        <f>[2]S1!I785</f>
        <v>0</v>
      </c>
      <c r="J784" s="13">
        <f>[2]S1!J785</f>
        <v>0</v>
      </c>
      <c r="K784" s="19">
        <f>[2]S1!K785</f>
        <v>200</v>
      </c>
      <c r="L784" s="52">
        <f>[2]S1!L785</f>
        <v>0</v>
      </c>
      <c r="M784" s="58">
        <f>[2]S1!M785</f>
        <v>0</v>
      </c>
      <c r="N784" s="49">
        <f>[2]S1!P785</f>
        <v>8947800094</v>
      </c>
      <c r="O784" s="14"/>
    </row>
    <row r="785" spans="1:15" x14ac:dyDescent="0.3">
      <c r="A785" s="11">
        <v>3832</v>
      </c>
      <c r="B785" s="12" t="str">
        <f>[3]Name!E2836</f>
        <v>Kesav Bagadi</v>
      </c>
      <c r="C785" s="13">
        <f>[2]S1!C786</f>
        <v>1000</v>
      </c>
      <c r="D785" s="13">
        <f>[2]S1!D786</f>
        <v>0</v>
      </c>
      <c r="E785" s="26">
        <f>[2]S1!E786</f>
        <v>200</v>
      </c>
      <c r="F785" s="26">
        <f>[2]S1!F786</f>
        <v>0</v>
      </c>
      <c r="G785" s="22">
        <f>[2]S1!G786</f>
        <v>1000</v>
      </c>
      <c r="H785" s="22">
        <f>[2]S1!H786</f>
        <v>0</v>
      </c>
      <c r="I785" s="22">
        <f>[2]S1!I786</f>
        <v>120</v>
      </c>
      <c r="J785" s="13">
        <f>[2]S1!J786</f>
        <v>0</v>
      </c>
      <c r="K785" s="19">
        <f>[2]S1!K786</f>
        <v>1320</v>
      </c>
      <c r="L785" s="52">
        <f>[2]S1!L786</f>
        <v>12000</v>
      </c>
      <c r="M785" s="58">
        <f>[2]S1!M786</f>
        <v>9</v>
      </c>
      <c r="N785" s="49">
        <f>[2]S1!P786</f>
        <v>9602489968</v>
      </c>
      <c r="O785" s="14"/>
    </row>
    <row r="786" spans="1:15" x14ac:dyDescent="0.3">
      <c r="A786" s="11">
        <v>3833</v>
      </c>
      <c r="B786" s="12" t="str">
        <f>[3]Name!E2837</f>
        <v>Chitar Mal Bagadi</v>
      </c>
      <c r="C786" s="13">
        <f>[2]S1!C787</f>
        <v>1000</v>
      </c>
      <c r="D786" s="13">
        <f>[2]S1!D787</f>
        <v>0</v>
      </c>
      <c r="E786" s="26">
        <f>[2]S1!E787</f>
        <v>200</v>
      </c>
      <c r="F786" s="26">
        <f>[2]S1!F787</f>
        <v>0</v>
      </c>
      <c r="G786" s="22">
        <f>[2]S1!G787</f>
        <v>1000</v>
      </c>
      <c r="H786" s="22">
        <f>[2]S1!H787</f>
        <v>0</v>
      </c>
      <c r="I786" s="22">
        <f>[2]S1!I787</f>
        <v>120</v>
      </c>
      <c r="J786" s="13">
        <f>[2]S1!J787</f>
        <v>0</v>
      </c>
      <c r="K786" s="19">
        <f>[2]S1!K787</f>
        <v>1320</v>
      </c>
      <c r="L786" s="52">
        <f>[2]S1!L787</f>
        <v>12000</v>
      </c>
      <c r="M786" s="58">
        <f>[2]S1!M787</f>
        <v>9</v>
      </c>
      <c r="N786" s="49">
        <f>[2]S1!P787</f>
        <v>9602489968</v>
      </c>
      <c r="O786" s="14"/>
    </row>
    <row r="787" spans="1:15" x14ac:dyDescent="0.3">
      <c r="A787" s="11">
        <v>3834</v>
      </c>
      <c r="B787" s="12" t="str">
        <f>[3]Name!E2838</f>
        <v>Surgyani Devi Balai</v>
      </c>
      <c r="C787" s="13">
        <f>[2]S1!C788</f>
        <v>670</v>
      </c>
      <c r="D787" s="13">
        <f>[2]S1!D788</f>
        <v>0</v>
      </c>
      <c r="E787" s="26">
        <f>[2]S1!E788</f>
        <v>200</v>
      </c>
      <c r="F787" s="26">
        <f>[2]S1!F788</f>
        <v>0</v>
      </c>
      <c r="G787" s="22">
        <f>[2]S1!G788</f>
        <v>670</v>
      </c>
      <c r="H787" s="22">
        <f>[2]S1!H788</f>
        <v>0</v>
      </c>
      <c r="I787" s="22">
        <f>[2]S1!I788</f>
        <v>153</v>
      </c>
      <c r="J787" s="13">
        <f>[2]S1!J788</f>
        <v>0</v>
      </c>
      <c r="K787" s="19">
        <f>[2]S1!K788</f>
        <v>1023</v>
      </c>
      <c r="L787" s="52">
        <f>[2]S1!L788</f>
        <v>15310</v>
      </c>
      <c r="M787" s="58">
        <f>[2]S1!M788</f>
        <v>8</v>
      </c>
      <c r="N787" s="49">
        <f>[2]S1!P788</f>
        <v>9950082891</v>
      </c>
      <c r="O787" s="14"/>
    </row>
    <row r="788" spans="1:15" x14ac:dyDescent="0.3">
      <c r="A788" s="11">
        <v>3835</v>
      </c>
      <c r="B788" s="12" t="str">
        <f>[3]Name!E2839</f>
        <v>Puja Devi Balai</v>
      </c>
      <c r="C788" s="13">
        <f>[2]S1!C789</f>
        <v>670</v>
      </c>
      <c r="D788" s="13">
        <f>[2]S1!D789</f>
        <v>0</v>
      </c>
      <c r="E788" s="26">
        <f>[2]S1!E789</f>
        <v>200</v>
      </c>
      <c r="F788" s="26">
        <f>[2]S1!F789</f>
        <v>0</v>
      </c>
      <c r="G788" s="22">
        <f>[2]S1!G789</f>
        <v>670</v>
      </c>
      <c r="H788" s="22">
        <f>[2]S1!H789</f>
        <v>0</v>
      </c>
      <c r="I788" s="22">
        <f>[2]S1!I789</f>
        <v>153</v>
      </c>
      <c r="J788" s="13">
        <f>[2]S1!J789</f>
        <v>0</v>
      </c>
      <c r="K788" s="19">
        <f>[2]S1!K789</f>
        <v>1023</v>
      </c>
      <c r="L788" s="52">
        <f>[2]S1!L789</f>
        <v>15310</v>
      </c>
      <c r="M788" s="58">
        <f>[2]S1!M789</f>
        <v>8</v>
      </c>
      <c r="N788" s="49">
        <f>[2]S1!P789</f>
        <v>9950082891</v>
      </c>
      <c r="O788" s="14"/>
    </row>
    <row r="789" spans="1:15" x14ac:dyDescent="0.3">
      <c r="A789" s="11">
        <v>3836</v>
      </c>
      <c r="B789" s="12" t="str">
        <f>[3]Name!E2840</f>
        <v>Ramotar Balai</v>
      </c>
      <c r="C789" s="13">
        <f>[2]S1!C790</f>
        <v>670</v>
      </c>
      <c r="D789" s="13">
        <f>[2]S1!D790</f>
        <v>0</v>
      </c>
      <c r="E789" s="26">
        <f>[2]S1!E790</f>
        <v>200</v>
      </c>
      <c r="F789" s="26">
        <f>[2]S1!F790</f>
        <v>0</v>
      </c>
      <c r="G789" s="22">
        <f>[2]S1!G790</f>
        <v>670</v>
      </c>
      <c r="H789" s="22">
        <f>[2]S1!H790</f>
        <v>0</v>
      </c>
      <c r="I789" s="22">
        <f>[2]S1!I790</f>
        <v>153</v>
      </c>
      <c r="J789" s="13">
        <f>[2]S1!J790</f>
        <v>0</v>
      </c>
      <c r="K789" s="19">
        <f>[2]S1!K790</f>
        <v>1023</v>
      </c>
      <c r="L789" s="52">
        <f>[2]S1!L790</f>
        <v>15310</v>
      </c>
      <c r="M789" s="58">
        <f>[2]S1!M790</f>
        <v>8</v>
      </c>
      <c r="N789" s="49">
        <f>[2]S1!P790</f>
        <v>9950082891</v>
      </c>
      <c r="O789" s="14"/>
    </row>
    <row r="790" spans="1:15" x14ac:dyDescent="0.3">
      <c r="A790" s="11">
        <v>3837</v>
      </c>
      <c r="B790" s="12" t="str">
        <f>[3]Name!E2841</f>
        <v>SapanBalai</v>
      </c>
      <c r="C790" s="13">
        <f>[2]S1!C791</f>
        <v>670</v>
      </c>
      <c r="D790" s="13">
        <f>[2]S1!D791</f>
        <v>0</v>
      </c>
      <c r="E790" s="26">
        <f>[2]S1!E791</f>
        <v>200</v>
      </c>
      <c r="F790" s="26">
        <f>[2]S1!F791</f>
        <v>0</v>
      </c>
      <c r="G790" s="22">
        <f>[2]S1!G791</f>
        <v>670</v>
      </c>
      <c r="H790" s="22">
        <f>[2]S1!H791</f>
        <v>0</v>
      </c>
      <c r="I790" s="22">
        <f>[2]S1!I791</f>
        <v>153</v>
      </c>
      <c r="J790" s="13">
        <f>[2]S1!J791</f>
        <v>0</v>
      </c>
      <c r="K790" s="19">
        <f>[2]S1!K791</f>
        <v>1023</v>
      </c>
      <c r="L790" s="52">
        <f>[2]S1!L791</f>
        <v>15310</v>
      </c>
      <c r="M790" s="58">
        <f>[2]S1!M791</f>
        <v>8</v>
      </c>
      <c r="N790" s="49">
        <f>[2]S1!P791</f>
        <v>9950082891</v>
      </c>
      <c r="O790" s="14"/>
    </row>
    <row r="791" spans="1:15" x14ac:dyDescent="0.3">
      <c r="A791" s="11">
        <v>3838</v>
      </c>
      <c r="B791" s="12" t="str">
        <f>[3]Name!E2842</f>
        <v>Ramotar Balai</v>
      </c>
      <c r="C791" s="13">
        <f>[2]S1!C792</f>
        <v>670</v>
      </c>
      <c r="D791" s="13">
        <f>[2]S1!D792</f>
        <v>0</v>
      </c>
      <c r="E791" s="26">
        <f>[2]S1!E792</f>
        <v>200</v>
      </c>
      <c r="F791" s="26">
        <f>[2]S1!F792</f>
        <v>0</v>
      </c>
      <c r="G791" s="22">
        <f>[2]S1!G792</f>
        <v>670</v>
      </c>
      <c r="H791" s="22">
        <f>[2]S1!H792</f>
        <v>0</v>
      </c>
      <c r="I791" s="22">
        <f>[2]S1!I792</f>
        <v>153</v>
      </c>
      <c r="J791" s="13">
        <f>[2]S1!J792</f>
        <v>0</v>
      </c>
      <c r="K791" s="19">
        <f>[2]S1!K792</f>
        <v>1023</v>
      </c>
      <c r="L791" s="52">
        <f>[2]S1!L792</f>
        <v>15310</v>
      </c>
      <c r="M791" s="58">
        <f>[2]S1!M792</f>
        <v>8</v>
      </c>
      <c r="N791" s="49">
        <f>[2]S1!P792</f>
        <v>9950082891</v>
      </c>
      <c r="O791" s="14"/>
    </row>
    <row r="792" spans="1:15" x14ac:dyDescent="0.3">
      <c r="A792" s="11">
        <v>3839</v>
      </c>
      <c r="B792" s="12" t="str">
        <f>[3]Name!E2843</f>
        <v>Kailash Chand Singala</v>
      </c>
      <c r="C792" s="13">
        <f>[2]S1!C793</f>
        <v>500</v>
      </c>
      <c r="D792" s="13">
        <f>[2]S1!D793</f>
        <v>0</v>
      </c>
      <c r="E792" s="26">
        <f>[2]S1!E793</f>
        <v>200</v>
      </c>
      <c r="F792" s="26">
        <f>[2]S1!F793</f>
        <v>0</v>
      </c>
      <c r="G792" s="22">
        <f>[2]S1!G793</f>
        <v>382</v>
      </c>
      <c r="H792" s="22">
        <f>[2]S1!H793</f>
        <v>0</v>
      </c>
      <c r="I792" s="22">
        <f>[2]S1!I793</f>
        <v>134</v>
      </c>
      <c r="J792" s="13">
        <f>[2]S1!J793</f>
        <v>0</v>
      </c>
      <c r="K792" s="19">
        <f>[2]S1!K793</f>
        <v>716</v>
      </c>
      <c r="L792" s="52">
        <f>[2]S1!L793</f>
        <v>13382</v>
      </c>
      <c r="M792" s="58">
        <f>[2]S1!M793</f>
        <v>14</v>
      </c>
      <c r="N792" s="49">
        <f>[2]S1!P793</f>
        <v>9772268631</v>
      </c>
      <c r="O792" s="14"/>
    </row>
    <row r="793" spans="1:15" x14ac:dyDescent="0.3">
      <c r="A793" s="11">
        <v>3840</v>
      </c>
      <c r="B793" s="12" t="str">
        <f>[3]Name!E2844</f>
        <v>Sita Devi Singala</v>
      </c>
      <c r="C793" s="13">
        <f>[2]S1!C794</f>
        <v>500</v>
      </c>
      <c r="D793" s="13">
        <f>[2]S1!D794</f>
        <v>0</v>
      </c>
      <c r="E793" s="26">
        <f>[2]S1!E794</f>
        <v>200</v>
      </c>
      <c r="F793" s="26">
        <f>[2]S1!F794</f>
        <v>0</v>
      </c>
      <c r="G793" s="22">
        <f>[2]S1!G794</f>
        <v>500</v>
      </c>
      <c r="H793" s="22">
        <f>[2]S1!H794</f>
        <v>0</v>
      </c>
      <c r="I793" s="22">
        <f>[2]S1!I794</f>
        <v>135</v>
      </c>
      <c r="J793" s="13">
        <f>[2]S1!J794</f>
        <v>0</v>
      </c>
      <c r="K793" s="19">
        <f>[2]S1!K794</f>
        <v>835</v>
      </c>
      <c r="L793" s="52">
        <f>[2]S1!L794</f>
        <v>13500</v>
      </c>
      <c r="M793" s="58">
        <f>[2]S1!M794</f>
        <v>14</v>
      </c>
      <c r="N793" s="49">
        <f>[2]S1!P794</f>
        <v>9772268631</v>
      </c>
      <c r="O793" s="14"/>
    </row>
    <row r="794" spans="1:15" x14ac:dyDescent="0.3">
      <c r="A794" s="11">
        <v>3841</v>
      </c>
      <c r="B794" s="12" t="str">
        <f>[3]Name!E2845</f>
        <v>Rinku Kumari Singala</v>
      </c>
      <c r="C794" s="13">
        <f>[2]S1!C795</f>
        <v>500</v>
      </c>
      <c r="D794" s="13">
        <f>[2]S1!D795</f>
        <v>0</v>
      </c>
      <c r="E794" s="26">
        <f>[2]S1!E795</f>
        <v>200</v>
      </c>
      <c r="F794" s="26">
        <f>[2]S1!F795</f>
        <v>0</v>
      </c>
      <c r="G794" s="22">
        <f>[2]S1!G795</f>
        <v>500</v>
      </c>
      <c r="H794" s="22">
        <f>[2]S1!H795</f>
        <v>0</v>
      </c>
      <c r="I794" s="22">
        <f>[2]S1!I795</f>
        <v>135</v>
      </c>
      <c r="J794" s="13">
        <f>[2]S1!J795</f>
        <v>0</v>
      </c>
      <c r="K794" s="19">
        <f>[2]S1!K795</f>
        <v>835</v>
      </c>
      <c r="L794" s="52">
        <f>[2]S1!L795</f>
        <v>13500</v>
      </c>
      <c r="M794" s="58">
        <f>[2]S1!M795</f>
        <v>14</v>
      </c>
      <c r="N794" s="49">
        <f>[2]S1!P795</f>
        <v>9772268631</v>
      </c>
      <c r="O794" s="14"/>
    </row>
    <row r="795" spans="1:15" x14ac:dyDescent="0.3">
      <c r="A795" s="11">
        <v>3842</v>
      </c>
      <c r="B795" s="12" t="str">
        <f>[3]Name!E2846</f>
        <v>Visal Kumar Singala</v>
      </c>
      <c r="C795" s="13">
        <f>[2]S1!C796</f>
        <v>500</v>
      </c>
      <c r="D795" s="13">
        <f>[2]S1!D796</f>
        <v>0</v>
      </c>
      <c r="E795" s="26">
        <f>[2]S1!E796</f>
        <v>200</v>
      </c>
      <c r="F795" s="26">
        <f>[2]S1!F796</f>
        <v>0</v>
      </c>
      <c r="G795" s="22">
        <f>[2]S1!G796</f>
        <v>500</v>
      </c>
      <c r="H795" s="22">
        <f>[2]S1!H796</f>
        <v>0</v>
      </c>
      <c r="I795" s="22">
        <f>[2]S1!I796</f>
        <v>135</v>
      </c>
      <c r="J795" s="13">
        <f>[2]S1!J796</f>
        <v>0</v>
      </c>
      <c r="K795" s="19">
        <f>[2]S1!K796</f>
        <v>835</v>
      </c>
      <c r="L795" s="52">
        <f>[2]S1!L796</f>
        <v>13500</v>
      </c>
      <c r="M795" s="58">
        <f>[2]S1!M796</f>
        <v>14</v>
      </c>
      <c r="N795" s="49">
        <f>[2]S1!P796</f>
        <v>9772268631</v>
      </c>
      <c r="O795" s="14"/>
    </row>
    <row r="796" spans="1:15" x14ac:dyDescent="0.3">
      <c r="A796" s="11">
        <v>3843</v>
      </c>
      <c r="B796" s="12" t="str">
        <f>[3]Name!E2847</f>
        <v>Samir Kumar Singala</v>
      </c>
      <c r="C796" s="13">
        <f>[2]S1!C797</f>
        <v>500</v>
      </c>
      <c r="D796" s="13">
        <f>[2]S1!D797</f>
        <v>0</v>
      </c>
      <c r="E796" s="26">
        <f>[2]S1!E797</f>
        <v>200</v>
      </c>
      <c r="F796" s="26">
        <f>[2]S1!F797</f>
        <v>0</v>
      </c>
      <c r="G796" s="22">
        <f>[2]S1!G797</f>
        <v>500</v>
      </c>
      <c r="H796" s="22">
        <f>[2]S1!H797</f>
        <v>0</v>
      </c>
      <c r="I796" s="22">
        <f>[2]S1!I797</f>
        <v>135</v>
      </c>
      <c r="J796" s="13">
        <f>[2]S1!J797</f>
        <v>0</v>
      </c>
      <c r="K796" s="19">
        <f>[2]S1!K797</f>
        <v>835</v>
      </c>
      <c r="L796" s="52">
        <f>[2]S1!L797</f>
        <v>13500</v>
      </c>
      <c r="M796" s="58">
        <f>[2]S1!M797</f>
        <v>14</v>
      </c>
      <c r="N796" s="49">
        <f>[2]S1!P797</f>
        <v>9772268631</v>
      </c>
      <c r="O796" s="14"/>
    </row>
    <row r="797" spans="1:15" x14ac:dyDescent="0.3">
      <c r="A797" s="11">
        <v>3844</v>
      </c>
      <c r="B797" s="12" t="str">
        <f>[3]Name!E2848</f>
        <v>Gorv Kumar Singala</v>
      </c>
      <c r="C797" s="13">
        <f>[2]S1!C798</f>
        <v>500</v>
      </c>
      <c r="D797" s="13">
        <f>[2]S1!D798</f>
        <v>0</v>
      </c>
      <c r="E797" s="26">
        <f>[2]S1!E798</f>
        <v>200</v>
      </c>
      <c r="F797" s="26">
        <f>[2]S1!F798</f>
        <v>0</v>
      </c>
      <c r="G797" s="22">
        <f>[2]S1!G798</f>
        <v>500</v>
      </c>
      <c r="H797" s="22">
        <f>[2]S1!H798</f>
        <v>0</v>
      </c>
      <c r="I797" s="22">
        <f>[2]S1!I798</f>
        <v>135</v>
      </c>
      <c r="J797" s="13">
        <f>[2]S1!J798</f>
        <v>0</v>
      </c>
      <c r="K797" s="19">
        <f>[2]S1!K798</f>
        <v>835</v>
      </c>
      <c r="L797" s="52">
        <f>[2]S1!L798</f>
        <v>13500</v>
      </c>
      <c r="M797" s="58">
        <f>[2]S1!M798</f>
        <v>14</v>
      </c>
      <c r="N797" s="49">
        <f>[2]S1!P798</f>
        <v>9772268631</v>
      </c>
      <c r="O797" s="14"/>
    </row>
    <row r="798" spans="1:15" x14ac:dyDescent="0.3">
      <c r="A798" s="11">
        <v>3845</v>
      </c>
      <c r="B798" s="12" t="str">
        <f>[3]Name!E2849</f>
        <v>Gopal Lal Khatti</v>
      </c>
      <c r="C798" s="13">
        <f>[2]S1!C799</f>
        <v>500</v>
      </c>
      <c r="D798" s="13">
        <f>[2]S1!D799</f>
        <v>0</v>
      </c>
      <c r="E798" s="26">
        <f>[2]S1!E799</f>
        <v>1600</v>
      </c>
      <c r="F798" s="26">
        <f>[2]S1!F799</f>
        <v>310</v>
      </c>
      <c r="G798" s="22">
        <f>[2]S1!G799</f>
        <v>5500</v>
      </c>
      <c r="H798" s="22">
        <f>[2]S1!H799</f>
        <v>0</v>
      </c>
      <c r="I798" s="22">
        <f>[2]S1!I799</f>
        <v>1600</v>
      </c>
      <c r="J798" s="13">
        <f>[2]S1!J799</f>
        <v>0</v>
      </c>
      <c r="K798" s="19">
        <f>[2]S1!K799</f>
        <v>9010</v>
      </c>
      <c r="L798" s="52">
        <f>[2]S1!L799</f>
        <v>20000</v>
      </c>
      <c r="M798" s="58">
        <f>[2]S1!M799</f>
        <v>8</v>
      </c>
      <c r="N798" s="49">
        <f>[2]S1!P799</f>
        <v>9928304255</v>
      </c>
      <c r="O798" s="14"/>
    </row>
    <row r="799" spans="1:15" x14ac:dyDescent="0.3">
      <c r="A799" s="11">
        <v>3846</v>
      </c>
      <c r="B799" s="12" t="str">
        <f>[3]Name!E2850</f>
        <v>Rajani Kumari Khatti</v>
      </c>
      <c r="C799" s="13">
        <f>[2]S1!C800</f>
        <v>1000</v>
      </c>
      <c r="D799" s="13">
        <f>[2]S1!D800</f>
        <v>0</v>
      </c>
      <c r="E799" s="26">
        <f>[2]S1!E800</f>
        <v>1600</v>
      </c>
      <c r="F799" s="26">
        <f>[2]S1!F800</f>
        <v>310</v>
      </c>
      <c r="G799" s="22">
        <f>[2]S1!G800</f>
        <v>11000</v>
      </c>
      <c r="H799" s="22">
        <f>[2]S1!H800</f>
        <v>0</v>
      </c>
      <c r="I799" s="22">
        <f>[2]S1!I800</f>
        <v>1200</v>
      </c>
      <c r="J799" s="13">
        <f>[2]S1!J800</f>
        <v>0</v>
      </c>
      <c r="K799" s="19">
        <f>[2]S1!K800</f>
        <v>14110</v>
      </c>
      <c r="L799" s="52">
        <f>[2]S1!L800</f>
        <v>15000</v>
      </c>
      <c r="M799" s="58">
        <f>[2]S1!M800</f>
        <v>8</v>
      </c>
      <c r="N799" s="49">
        <f>[2]S1!P800</f>
        <v>9928304255</v>
      </c>
      <c r="O799" s="14"/>
    </row>
    <row r="800" spans="1:15" x14ac:dyDescent="0.3">
      <c r="A800" s="11">
        <v>3847</v>
      </c>
      <c r="B800" s="12" t="str">
        <f>[3]Name!E2851</f>
        <v>Puja Kumari Khatti</v>
      </c>
      <c r="C800" s="13">
        <f>[2]S1!C801</f>
        <v>1000</v>
      </c>
      <c r="D800" s="13">
        <f>[2]S1!D801</f>
        <v>0</v>
      </c>
      <c r="E800" s="26">
        <f>[2]S1!E801</f>
        <v>1600</v>
      </c>
      <c r="F800" s="26">
        <f>[2]S1!F801</f>
        <v>310</v>
      </c>
      <c r="G800" s="22">
        <f>[2]S1!G801</f>
        <v>11000</v>
      </c>
      <c r="H800" s="22">
        <f>[2]S1!H801</f>
        <v>0</v>
      </c>
      <c r="I800" s="22">
        <f>[2]S1!I801</f>
        <v>1200</v>
      </c>
      <c r="J800" s="13">
        <f>[2]S1!J801</f>
        <v>0</v>
      </c>
      <c r="K800" s="19">
        <f>[2]S1!K801</f>
        <v>14110</v>
      </c>
      <c r="L800" s="52">
        <f>[2]S1!L801</f>
        <v>15000</v>
      </c>
      <c r="M800" s="58">
        <f>[2]S1!M801</f>
        <v>8</v>
      </c>
      <c r="N800" s="49">
        <f>[2]S1!P801</f>
        <v>9928304255</v>
      </c>
      <c r="O800" s="14"/>
    </row>
    <row r="801" spans="1:15" x14ac:dyDescent="0.3">
      <c r="A801" s="11">
        <v>3848</v>
      </c>
      <c r="B801" s="12" t="str">
        <f>[3]Name!E2852</f>
        <v>Sundari Devi Khatti</v>
      </c>
      <c r="C801" s="13">
        <f>[2]S1!C802</f>
        <v>1000</v>
      </c>
      <c r="D801" s="13">
        <f>[2]S1!D802</f>
        <v>0</v>
      </c>
      <c r="E801" s="26">
        <f>[2]S1!E802</f>
        <v>1600</v>
      </c>
      <c r="F801" s="26">
        <f>[2]S1!F802</f>
        <v>310</v>
      </c>
      <c r="G801" s="22">
        <f>[2]S1!G802</f>
        <v>11000</v>
      </c>
      <c r="H801" s="22">
        <f>[2]S1!H802</f>
        <v>0</v>
      </c>
      <c r="I801" s="22">
        <f>[2]S1!I802</f>
        <v>1200</v>
      </c>
      <c r="J801" s="13">
        <f>[2]S1!J802</f>
        <v>0</v>
      </c>
      <c r="K801" s="19">
        <f>[2]S1!K802</f>
        <v>14110</v>
      </c>
      <c r="L801" s="52">
        <f>[2]S1!L802</f>
        <v>15000</v>
      </c>
      <c r="M801" s="58">
        <f>[2]S1!M802</f>
        <v>8</v>
      </c>
      <c r="N801" s="49">
        <f>[2]S1!P802</f>
        <v>9928304255</v>
      </c>
      <c r="O801" s="14"/>
    </row>
    <row r="802" spans="1:15" x14ac:dyDescent="0.3">
      <c r="A802" s="11">
        <v>3849</v>
      </c>
      <c r="B802" s="12" t="str">
        <f>[3]Name!E2853</f>
        <v>Gita Devi Khatti</v>
      </c>
      <c r="C802" s="13">
        <f>[2]S1!C803</f>
        <v>1000</v>
      </c>
      <c r="D802" s="13">
        <f>[2]S1!D803</f>
        <v>0</v>
      </c>
      <c r="E802" s="26">
        <f>[2]S1!E803</f>
        <v>1600</v>
      </c>
      <c r="F802" s="26">
        <f>[2]S1!F803</f>
        <v>310</v>
      </c>
      <c r="G802" s="22">
        <f>[2]S1!G803</f>
        <v>11000</v>
      </c>
      <c r="H802" s="22">
        <f>[2]S1!H803</f>
        <v>0</v>
      </c>
      <c r="I802" s="22">
        <f>[2]S1!I803</f>
        <v>1200</v>
      </c>
      <c r="J802" s="13">
        <f>[2]S1!J803</f>
        <v>0</v>
      </c>
      <c r="K802" s="19">
        <f>[2]S1!K803</f>
        <v>14110</v>
      </c>
      <c r="L802" s="52">
        <f>[2]S1!L803</f>
        <v>15000</v>
      </c>
      <c r="M802" s="58">
        <f>[2]S1!M803</f>
        <v>8</v>
      </c>
      <c r="N802" s="49">
        <f>[2]S1!P803</f>
        <v>9928304255</v>
      </c>
      <c r="O802" s="14"/>
    </row>
    <row r="803" spans="1:15" x14ac:dyDescent="0.3">
      <c r="A803" s="11">
        <v>3850</v>
      </c>
      <c r="B803" s="12" t="str">
        <f>[3]Name!E2854</f>
        <v>Gopal Khatti</v>
      </c>
      <c r="C803" s="13">
        <f>[2]S1!C804</f>
        <v>1000</v>
      </c>
      <c r="D803" s="13">
        <f>[2]S1!D804</f>
        <v>0</v>
      </c>
      <c r="E803" s="26">
        <f>[2]S1!E804</f>
        <v>1600</v>
      </c>
      <c r="F803" s="26">
        <f>[2]S1!F804</f>
        <v>310</v>
      </c>
      <c r="G803" s="22">
        <f>[2]S1!G804</f>
        <v>11000</v>
      </c>
      <c r="H803" s="22">
        <f>[2]S1!H804</f>
        <v>0</v>
      </c>
      <c r="I803" s="22">
        <f>[2]S1!I804</f>
        <v>1200</v>
      </c>
      <c r="J803" s="13">
        <f>[2]S1!J804</f>
        <v>0</v>
      </c>
      <c r="K803" s="19">
        <f>[2]S1!K804</f>
        <v>14110</v>
      </c>
      <c r="L803" s="52">
        <f>[2]S1!L804</f>
        <v>15000</v>
      </c>
      <c r="M803" s="58">
        <f>[2]S1!M804</f>
        <v>8</v>
      </c>
      <c r="N803" s="49">
        <f>[2]S1!P804</f>
        <v>9928304255</v>
      </c>
      <c r="O803" s="14"/>
    </row>
    <row r="804" spans="1:15" x14ac:dyDescent="0.3">
      <c r="A804" s="11">
        <v>3851</v>
      </c>
      <c r="B804" s="12" t="str">
        <f>[3]Name!E2855</f>
        <v>Gayatri Devi Meharda</v>
      </c>
      <c r="C804" s="13">
        <f>[2]S1!C805</f>
        <v>0</v>
      </c>
      <c r="D804" s="13">
        <f>[2]S1!D805</f>
        <v>0</v>
      </c>
      <c r="E804" s="26">
        <f>[2]S1!E805</f>
        <v>200</v>
      </c>
      <c r="F804" s="26">
        <f>[2]S1!F805</f>
        <v>0</v>
      </c>
      <c r="G804" s="22">
        <f>[2]S1!G805</f>
        <v>0</v>
      </c>
      <c r="H804" s="22">
        <f>[2]S1!H805</f>
        <v>0</v>
      </c>
      <c r="I804" s="22">
        <f>[2]S1!I805</f>
        <v>0</v>
      </c>
      <c r="J804" s="13">
        <f>[2]S1!J805</f>
        <v>0</v>
      </c>
      <c r="K804" s="19">
        <f>[2]S1!K805</f>
        <v>200</v>
      </c>
      <c r="L804" s="52">
        <f>[2]S1!L805</f>
        <v>0</v>
      </c>
      <c r="M804" s="58">
        <f>[2]S1!M805</f>
        <v>0</v>
      </c>
      <c r="N804" s="49">
        <f>[2]S1!P805</f>
        <v>8949159299</v>
      </c>
      <c r="O804" s="14"/>
    </row>
    <row r="805" spans="1:15" x14ac:dyDescent="0.3">
      <c r="A805" s="11">
        <v>3852</v>
      </c>
      <c r="B805" s="12" t="str">
        <f>[3]Name!E2856</f>
        <v>Mahi Meharda</v>
      </c>
      <c r="C805" s="13">
        <f>[2]S1!C806</f>
        <v>0</v>
      </c>
      <c r="D805" s="13">
        <f>[2]S1!D806</f>
        <v>0</v>
      </c>
      <c r="E805" s="26">
        <f>[2]S1!E806</f>
        <v>200</v>
      </c>
      <c r="F805" s="26">
        <f>[2]S1!F806</f>
        <v>0</v>
      </c>
      <c r="G805" s="22">
        <f>[2]S1!G806</f>
        <v>0</v>
      </c>
      <c r="H805" s="22">
        <f>[2]S1!H806</f>
        <v>0</v>
      </c>
      <c r="I805" s="22">
        <f>[2]S1!I806</f>
        <v>0</v>
      </c>
      <c r="J805" s="13">
        <f>[2]S1!J806</f>
        <v>0</v>
      </c>
      <c r="K805" s="19">
        <f>[2]S1!K806</f>
        <v>200</v>
      </c>
      <c r="L805" s="52">
        <f>[2]S1!L806</f>
        <v>0</v>
      </c>
      <c r="M805" s="58">
        <f>[2]S1!M806</f>
        <v>0</v>
      </c>
      <c r="N805" s="49">
        <f>[2]S1!P806</f>
        <v>8949159299</v>
      </c>
      <c r="O805" s="14"/>
    </row>
    <row r="806" spans="1:15" x14ac:dyDescent="0.3">
      <c r="A806" s="11">
        <v>3853</v>
      </c>
      <c r="B806" s="12" t="str">
        <f>[3]Name!E2857</f>
        <v>Harinarayan Khatti</v>
      </c>
      <c r="C806" s="13">
        <f>[2]S1!C807</f>
        <v>500</v>
      </c>
      <c r="D806" s="13">
        <f>[2]S1!D807</f>
        <v>0</v>
      </c>
      <c r="E806" s="26">
        <f>[2]S1!E807</f>
        <v>166</v>
      </c>
      <c r="F806" s="26">
        <f>[2]S1!F807</f>
        <v>0</v>
      </c>
      <c r="G806" s="22">
        <f>[2]S1!G807</f>
        <v>500</v>
      </c>
      <c r="H806" s="22">
        <f>[2]S1!H807</f>
        <v>0</v>
      </c>
      <c r="I806" s="22">
        <f>[2]S1!I807</f>
        <v>130</v>
      </c>
      <c r="J806" s="13">
        <f>[2]S1!J807</f>
        <v>0</v>
      </c>
      <c r="K806" s="19">
        <f>[2]S1!K807</f>
        <v>796</v>
      </c>
      <c r="L806" s="52">
        <f>[2]S1!L807</f>
        <v>13000</v>
      </c>
      <c r="M806" s="58">
        <f>[2]S1!M807</f>
        <v>15</v>
      </c>
      <c r="N806" s="49">
        <f>[2]S1!P807</f>
        <v>91667880643</v>
      </c>
      <c r="O806" s="14"/>
    </row>
    <row r="807" spans="1:15" x14ac:dyDescent="0.3">
      <c r="A807" s="11">
        <v>3854</v>
      </c>
      <c r="B807" s="12" t="str">
        <f>[3]Name!E2858</f>
        <v>Ratan Lal Khatti</v>
      </c>
      <c r="C807" s="13">
        <f>[2]S1!C808</f>
        <v>1500</v>
      </c>
      <c r="D807" s="13">
        <f>[2]S1!D808</f>
        <v>0</v>
      </c>
      <c r="E807" s="26">
        <f>[2]S1!E808</f>
        <v>0</v>
      </c>
      <c r="F807" s="26">
        <f>[2]S1!F808</f>
        <v>0</v>
      </c>
      <c r="G807" s="22">
        <f>[2]S1!G808</f>
        <v>1500</v>
      </c>
      <c r="H807" s="22">
        <f>[2]S1!H808</f>
        <v>0</v>
      </c>
      <c r="I807" s="22">
        <f>[2]S1!I808</f>
        <v>270</v>
      </c>
      <c r="J807" s="13">
        <f>[2]S1!J808</f>
        <v>0</v>
      </c>
      <c r="K807" s="19">
        <f>[2]S1!K808</f>
        <v>1770</v>
      </c>
      <c r="L807" s="52">
        <f>[2]S1!L808</f>
        <v>27000</v>
      </c>
      <c r="M807" s="58">
        <f>[2]S1!M808</f>
        <v>3</v>
      </c>
      <c r="N807" s="49">
        <f>[2]S1!P808</f>
        <v>91667880643</v>
      </c>
      <c r="O807" s="14"/>
    </row>
    <row r="808" spans="1:15" x14ac:dyDescent="0.3">
      <c r="A808" s="11">
        <v>3855</v>
      </c>
      <c r="B808" s="12" t="str">
        <f>[3]Name!E2859</f>
        <v>Maya Devi Khatti</v>
      </c>
      <c r="C808" s="13">
        <f>[2]S1!C809</f>
        <v>1500</v>
      </c>
      <c r="D808" s="13">
        <f>[2]S1!D809</f>
        <v>0</v>
      </c>
      <c r="E808" s="26">
        <f>[2]S1!E809</f>
        <v>0</v>
      </c>
      <c r="F808" s="26">
        <f>[2]S1!F809</f>
        <v>0</v>
      </c>
      <c r="G808" s="22">
        <f>[2]S1!G809</f>
        <v>1500</v>
      </c>
      <c r="H808" s="22">
        <f>[2]S1!H809</f>
        <v>0</v>
      </c>
      <c r="I808" s="22">
        <f>[2]S1!I809</f>
        <v>270</v>
      </c>
      <c r="J808" s="13">
        <f>[2]S1!J809</f>
        <v>0</v>
      </c>
      <c r="K808" s="19">
        <f>[2]S1!K809</f>
        <v>1770</v>
      </c>
      <c r="L808" s="52">
        <f>[2]S1!L809</f>
        <v>27000</v>
      </c>
      <c r="M808" s="58">
        <f>[2]S1!M809</f>
        <v>3</v>
      </c>
      <c r="N808" s="49">
        <f>[2]S1!P809</f>
        <v>91667880643</v>
      </c>
      <c r="O808" s="14"/>
    </row>
    <row r="809" spans="1:15" x14ac:dyDescent="0.3">
      <c r="A809" s="11">
        <v>3856</v>
      </c>
      <c r="B809" s="12" t="str">
        <f>[3]Name!E2860</f>
        <v>Rukama Devi Khatti</v>
      </c>
      <c r="C809" s="13">
        <f>[2]S1!C810</f>
        <v>1500</v>
      </c>
      <c r="D809" s="13">
        <f>[2]S1!D810</f>
        <v>0</v>
      </c>
      <c r="E809" s="26">
        <f>[2]S1!E810</f>
        <v>0</v>
      </c>
      <c r="F809" s="26">
        <f>[2]S1!F810</f>
        <v>0</v>
      </c>
      <c r="G809" s="22">
        <f>[2]S1!G810</f>
        <v>1500</v>
      </c>
      <c r="H809" s="22">
        <f>[2]S1!H810</f>
        <v>0</v>
      </c>
      <c r="I809" s="22">
        <f>[2]S1!I810</f>
        <v>270</v>
      </c>
      <c r="J809" s="13">
        <f>[2]S1!J810</f>
        <v>0</v>
      </c>
      <c r="K809" s="19">
        <f>[2]S1!K810</f>
        <v>1770</v>
      </c>
      <c r="L809" s="52">
        <f>[2]S1!L810</f>
        <v>27000</v>
      </c>
      <c r="M809" s="58">
        <f>[2]S1!M810</f>
        <v>3</v>
      </c>
      <c r="N809" s="49">
        <f>[2]S1!P810</f>
        <v>91667880643</v>
      </c>
      <c r="O809" s="14"/>
    </row>
    <row r="810" spans="1:15" x14ac:dyDescent="0.3">
      <c r="A810" s="11">
        <v>3857</v>
      </c>
      <c r="B810" s="12" t="str">
        <f>[3]Name!E2861</f>
        <v>Rajendr Khatti</v>
      </c>
      <c r="C810" s="13">
        <f>[2]S1!C811</f>
        <v>1500</v>
      </c>
      <c r="D810" s="13">
        <f>[2]S1!D811</f>
        <v>0</v>
      </c>
      <c r="E810" s="26">
        <f>[2]S1!E811</f>
        <v>0</v>
      </c>
      <c r="F810" s="26">
        <f>[2]S1!F811</f>
        <v>0</v>
      </c>
      <c r="G810" s="22">
        <f>[2]S1!G811</f>
        <v>1500</v>
      </c>
      <c r="H810" s="22">
        <f>[2]S1!H811</f>
        <v>0</v>
      </c>
      <c r="I810" s="22">
        <f>[2]S1!I811</f>
        <v>270</v>
      </c>
      <c r="J810" s="13">
        <f>[2]S1!J811</f>
        <v>0</v>
      </c>
      <c r="K810" s="19">
        <f>[2]S1!K811</f>
        <v>1770</v>
      </c>
      <c r="L810" s="52">
        <f>[2]S1!L811</f>
        <v>27000</v>
      </c>
      <c r="M810" s="58">
        <f>[2]S1!M811</f>
        <v>3</v>
      </c>
      <c r="N810" s="49">
        <f>[2]S1!P811</f>
        <v>91667880643</v>
      </c>
      <c r="O810" s="14"/>
    </row>
    <row r="811" spans="1:15" x14ac:dyDescent="0.3">
      <c r="A811" s="11">
        <v>3858</v>
      </c>
      <c r="B811" s="12" t="str">
        <f>[3]Name!E2862</f>
        <v>Shanker Lal Bagmar</v>
      </c>
      <c r="C811" s="13">
        <f>[2]S1!C812</f>
        <v>0</v>
      </c>
      <c r="D811" s="13">
        <f>[2]S1!D812</f>
        <v>0</v>
      </c>
      <c r="E811" s="26">
        <f>[2]S1!E812</f>
        <v>200</v>
      </c>
      <c r="F811" s="26">
        <f>[2]S1!F812</f>
        <v>0</v>
      </c>
      <c r="G811" s="22">
        <f>[2]S1!G812</f>
        <v>0</v>
      </c>
      <c r="H811" s="22">
        <f>[2]S1!H812</f>
        <v>0</v>
      </c>
      <c r="I811" s="22">
        <f>[2]S1!I812</f>
        <v>0</v>
      </c>
      <c r="J811" s="13">
        <f>[2]S1!J812</f>
        <v>0</v>
      </c>
      <c r="K811" s="19">
        <f>[2]S1!K812</f>
        <v>200</v>
      </c>
      <c r="L811" s="52">
        <f>[2]S1!L812</f>
        <v>0</v>
      </c>
      <c r="M811" s="58">
        <f>[2]S1!M812</f>
        <v>0</v>
      </c>
      <c r="N811" s="49">
        <f>[2]S1!P812</f>
        <v>9982361246</v>
      </c>
      <c r="O811" s="14"/>
    </row>
    <row r="812" spans="1:15" x14ac:dyDescent="0.3">
      <c r="A812" s="11">
        <v>3859</v>
      </c>
      <c r="B812" s="12" t="str">
        <f>[3]Name!E2863</f>
        <v>Puja Kumari Bagamar</v>
      </c>
      <c r="C812" s="13">
        <f>[2]S1!C813</f>
        <v>0</v>
      </c>
      <c r="D812" s="13">
        <f>[2]S1!D813</f>
        <v>0</v>
      </c>
      <c r="E812" s="26">
        <f>[2]S1!E813</f>
        <v>200</v>
      </c>
      <c r="F812" s="26">
        <f>[2]S1!F813</f>
        <v>0</v>
      </c>
      <c r="G812" s="22">
        <f>[2]S1!G813</f>
        <v>0</v>
      </c>
      <c r="H812" s="22">
        <f>[2]S1!H813</f>
        <v>0</v>
      </c>
      <c r="I812" s="22">
        <f>[2]S1!I813</f>
        <v>0</v>
      </c>
      <c r="J812" s="13">
        <f>[2]S1!J813</f>
        <v>0</v>
      </c>
      <c r="K812" s="19">
        <f>[2]S1!K813</f>
        <v>200</v>
      </c>
      <c r="L812" s="52">
        <f>[2]S1!L813</f>
        <v>0</v>
      </c>
      <c r="M812" s="58">
        <f>[2]S1!M813</f>
        <v>0</v>
      </c>
      <c r="N812" s="49">
        <f>[2]S1!P813</f>
        <v>9982361246</v>
      </c>
      <c r="O812" s="14"/>
    </row>
    <row r="813" spans="1:15" x14ac:dyDescent="0.3">
      <c r="A813" s="11">
        <v>3860</v>
      </c>
      <c r="B813" s="12" t="str">
        <f>[3]Name!E2864</f>
        <v>Soniya Kumari Bagamar</v>
      </c>
      <c r="C813" s="13">
        <f>[2]S1!C814</f>
        <v>0</v>
      </c>
      <c r="D813" s="13">
        <f>[2]S1!D814</f>
        <v>0</v>
      </c>
      <c r="E813" s="26">
        <f>[2]S1!E814</f>
        <v>200</v>
      </c>
      <c r="F813" s="26">
        <f>[2]S1!F814</f>
        <v>0</v>
      </c>
      <c r="G813" s="22">
        <f>[2]S1!G814</f>
        <v>0</v>
      </c>
      <c r="H813" s="22">
        <f>[2]S1!H814</f>
        <v>0</v>
      </c>
      <c r="I813" s="22">
        <f>[2]S1!I814</f>
        <v>0</v>
      </c>
      <c r="J813" s="13">
        <f>[2]S1!J814</f>
        <v>0</v>
      </c>
      <c r="K813" s="19">
        <f>[2]S1!K814</f>
        <v>200</v>
      </c>
      <c r="L813" s="52">
        <f>[2]S1!L814</f>
        <v>0</v>
      </c>
      <c r="M813" s="58">
        <f>[2]S1!M814</f>
        <v>0</v>
      </c>
      <c r="N813" s="49">
        <f>[2]S1!P814</f>
        <v>9982361246</v>
      </c>
      <c r="O813" s="14"/>
    </row>
    <row r="814" spans="1:15" x14ac:dyDescent="0.3">
      <c r="A814" s="11">
        <v>3861</v>
      </c>
      <c r="B814" s="12" t="str">
        <f>[3]Name!E2865</f>
        <v>Priya Kumari Bagmar</v>
      </c>
      <c r="C814" s="13">
        <f>[2]S1!C815</f>
        <v>0</v>
      </c>
      <c r="D814" s="13">
        <f>[2]S1!D815</f>
        <v>0</v>
      </c>
      <c r="E814" s="26">
        <f>[2]S1!E815</f>
        <v>200</v>
      </c>
      <c r="F814" s="26">
        <f>[2]S1!F815</f>
        <v>0</v>
      </c>
      <c r="G814" s="22">
        <f>[2]S1!G815</f>
        <v>0</v>
      </c>
      <c r="H814" s="22">
        <f>[2]S1!H815</f>
        <v>0</v>
      </c>
      <c r="I814" s="22">
        <f>[2]S1!I815</f>
        <v>0</v>
      </c>
      <c r="J814" s="13">
        <f>[2]S1!J815</f>
        <v>0</v>
      </c>
      <c r="K814" s="19">
        <f>[2]S1!K815</f>
        <v>200</v>
      </c>
      <c r="L814" s="52">
        <f>[2]S1!L815</f>
        <v>0</v>
      </c>
      <c r="M814" s="58">
        <f>[2]S1!M815</f>
        <v>0</v>
      </c>
      <c r="N814" s="49">
        <f>[2]S1!P815</f>
        <v>9982361246</v>
      </c>
      <c r="O814" s="14"/>
    </row>
    <row r="815" spans="1:15" x14ac:dyDescent="0.3">
      <c r="A815" s="11">
        <v>3862</v>
      </c>
      <c r="B815" s="12" t="str">
        <f>[3]Name!E2866</f>
        <v>Jay Kumar Bagamar</v>
      </c>
      <c r="C815" s="13">
        <f>[2]S1!C816</f>
        <v>0</v>
      </c>
      <c r="D815" s="13">
        <f>[2]S1!D816</f>
        <v>0</v>
      </c>
      <c r="E815" s="26">
        <f>[2]S1!E816</f>
        <v>200</v>
      </c>
      <c r="F815" s="26">
        <f>[2]S1!F816</f>
        <v>0</v>
      </c>
      <c r="G815" s="22">
        <f>[2]S1!G816</f>
        <v>0</v>
      </c>
      <c r="H815" s="22">
        <f>[2]S1!H816</f>
        <v>0</v>
      </c>
      <c r="I815" s="22">
        <f>[2]S1!I816</f>
        <v>0</v>
      </c>
      <c r="J815" s="13">
        <f>[2]S1!J816</f>
        <v>0</v>
      </c>
      <c r="K815" s="19">
        <f>[2]S1!K816</f>
        <v>200</v>
      </c>
      <c r="L815" s="52">
        <f>[2]S1!L816</f>
        <v>0</v>
      </c>
      <c r="M815" s="58">
        <f>[2]S1!M816</f>
        <v>0</v>
      </c>
      <c r="N815" s="49">
        <f>[2]S1!P816</f>
        <v>9982361246</v>
      </c>
      <c r="O815" s="14"/>
    </row>
    <row r="816" spans="1:15" x14ac:dyDescent="0.3">
      <c r="A816" s="11">
        <v>3863</v>
      </c>
      <c r="B816" s="12" t="str">
        <f>[3]Name!E2867</f>
        <v>Jitesh Bunkar</v>
      </c>
      <c r="C816" s="13">
        <f>[2]S1!C817</f>
        <v>1000</v>
      </c>
      <c r="D816" s="13">
        <f>[2]S1!D817</f>
        <v>0</v>
      </c>
      <c r="E816" s="26">
        <f>[2]S1!E817</f>
        <v>200</v>
      </c>
      <c r="F816" s="26">
        <f>[2]S1!F817</f>
        <v>0</v>
      </c>
      <c r="G816" s="22">
        <f>[2]S1!G817</f>
        <v>0</v>
      </c>
      <c r="H816" s="22">
        <f>[2]S1!H817</f>
        <v>0</v>
      </c>
      <c r="I816" s="22">
        <f>[2]S1!I817</f>
        <v>7</v>
      </c>
      <c r="J816" s="13">
        <f>[2]S1!J817</f>
        <v>0</v>
      </c>
      <c r="K816" s="19">
        <f>[2]S1!K817</f>
        <v>207</v>
      </c>
      <c r="L816" s="52">
        <f>[2]S1!L817</f>
        <v>741</v>
      </c>
      <c r="M816" s="58">
        <f>[2]S1!M817</f>
        <v>12</v>
      </c>
      <c r="N816" s="49">
        <f>[2]S1!P817</f>
        <v>9887287886</v>
      </c>
      <c r="O816" s="14"/>
    </row>
    <row r="817" spans="1:15" x14ac:dyDescent="0.3">
      <c r="A817" s="11">
        <v>3864</v>
      </c>
      <c r="B817" s="12" t="str">
        <f>[3]Name!E2868</f>
        <v>Manoj Kumar Dokhoriya</v>
      </c>
      <c r="C817" s="13">
        <f>[2]S1!C818</f>
        <v>2000</v>
      </c>
      <c r="D817" s="13">
        <f>[2]S1!D818</f>
        <v>0</v>
      </c>
      <c r="E817" s="26">
        <f>[2]S1!E818</f>
        <v>200</v>
      </c>
      <c r="F817" s="26">
        <f>[2]S1!F818</f>
        <v>0</v>
      </c>
      <c r="G817" s="22">
        <f>[2]S1!G818</f>
        <v>0</v>
      </c>
      <c r="H817" s="22">
        <f>[2]S1!H818</f>
        <v>0</v>
      </c>
      <c r="I817" s="22">
        <f>[2]S1!I818</f>
        <v>36</v>
      </c>
      <c r="J817" s="13">
        <f>[2]S1!J818</f>
        <v>0</v>
      </c>
      <c r="K817" s="19">
        <f>[2]S1!K818</f>
        <v>236</v>
      </c>
      <c r="L817" s="52">
        <f>[2]S1!L818</f>
        <v>3643</v>
      </c>
      <c r="M817" s="58">
        <f>[2]S1!M818</f>
        <v>8</v>
      </c>
      <c r="N817" s="49">
        <f>[2]S1!P818</f>
        <v>9352711697</v>
      </c>
      <c r="O817" s="14"/>
    </row>
    <row r="818" spans="1:15" x14ac:dyDescent="0.3">
      <c r="A818" s="11">
        <v>3865</v>
      </c>
      <c r="B818" s="12" t="str">
        <f>[3]Name!E2869</f>
        <v>Roshan Devi Dokhoriya</v>
      </c>
      <c r="C818" s="13">
        <f>[2]S1!C819</f>
        <v>2000</v>
      </c>
      <c r="D818" s="13">
        <f>[2]S1!D819</f>
        <v>0</v>
      </c>
      <c r="E818" s="26">
        <f>[2]S1!E819</f>
        <v>200</v>
      </c>
      <c r="F818" s="26">
        <f>[2]S1!F819</f>
        <v>0</v>
      </c>
      <c r="G818" s="22">
        <f>[2]S1!G819</f>
        <v>2000</v>
      </c>
      <c r="H818" s="22">
        <f>[2]S1!H819</f>
        <v>0</v>
      </c>
      <c r="I818" s="22">
        <f>[2]S1!I819</f>
        <v>60</v>
      </c>
      <c r="J818" s="13">
        <f>[2]S1!J819</f>
        <v>0</v>
      </c>
      <c r="K818" s="19">
        <f>[2]S1!K819</f>
        <v>2260</v>
      </c>
      <c r="L818" s="52">
        <f>[2]S1!L819</f>
        <v>6000</v>
      </c>
      <c r="M818" s="58">
        <f>[2]S1!M819</f>
        <v>8</v>
      </c>
      <c r="N818" s="49">
        <f>[2]S1!P819</f>
        <v>9352711697</v>
      </c>
      <c r="O818" s="14"/>
    </row>
    <row r="819" spans="1:15" x14ac:dyDescent="0.3">
      <c r="A819" s="11">
        <v>3866</v>
      </c>
      <c r="B819" s="12" t="str">
        <f>[3]Name!E2870</f>
        <v>Papu Lal Ladana</v>
      </c>
      <c r="C819" s="13">
        <f>[2]S1!C820</f>
        <v>0</v>
      </c>
      <c r="D819" s="13">
        <f>[2]S1!D820</f>
        <v>0</v>
      </c>
      <c r="E819" s="26">
        <f>[2]S1!E820</f>
        <v>200</v>
      </c>
      <c r="F819" s="26">
        <f>[2]S1!F820</f>
        <v>26</v>
      </c>
      <c r="G819" s="22">
        <f>[2]S1!G820</f>
        <v>0</v>
      </c>
      <c r="H819" s="22">
        <f>[2]S1!H820</f>
        <v>0</v>
      </c>
      <c r="I819" s="22">
        <f>[2]S1!I820</f>
        <v>0</v>
      </c>
      <c r="J819" s="13">
        <f>[2]S1!J820</f>
        <v>0</v>
      </c>
      <c r="K819" s="19">
        <f>[2]S1!K820</f>
        <v>226</v>
      </c>
      <c r="L819" s="52">
        <f>[2]S1!L820</f>
        <v>0</v>
      </c>
      <c r="M819" s="58">
        <f>[2]S1!M820</f>
        <v>0</v>
      </c>
      <c r="N819" s="49">
        <f>[2]S1!P820</f>
        <v>9079864822</v>
      </c>
      <c r="O819" s="14"/>
    </row>
    <row r="820" spans="1:15" x14ac:dyDescent="0.3">
      <c r="A820" s="11">
        <v>3867</v>
      </c>
      <c r="B820" s="12" t="str">
        <f>[3]Name!E2871</f>
        <v>Kishan Lal Ladana</v>
      </c>
      <c r="C820" s="13">
        <f>[2]S1!C821</f>
        <v>0</v>
      </c>
      <c r="D820" s="13">
        <f>[2]S1!D821</f>
        <v>0</v>
      </c>
      <c r="E820" s="26">
        <f>[2]S1!E821</f>
        <v>200</v>
      </c>
      <c r="F820" s="26">
        <f>[2]S1!F821</f>
        <v>0</v>
      </c>
      <c r="G820" s="22">
        <f>[2]S1!G821</f>
        <v>0</v>
      </c>
      <c r="H820" s="22">
        <f>[2]S1!H821</f>
        <v>0</v>
      </c>
      <c r="I820" s="22">
        <f>[2]S1!I821</f>
        <v>0</v>
      </c>
      <c r="J820" s="13">
        <f>[2]S1!J821</f>
        <v>0</v>
      </c>
      <c r="K820" s="19">
        <f>[2]S1!K821</f>
        <v>200</v>
      </c>
      <c r="L820" s="52">
        <f>[2]S1!L821</f>
        <v>0</v>
      </c>
      <c r="M820" s="58">
        <f>[2]S1!M821</f>
        <v>0</v>
      </c>
      <c r="N820" s="49">
        <f>[2]S1!P821</f>
        <v>9079864822</v>
      </c>
      <c r="O820" s="14"/>
    </row>
    <row r="821" spans="1:15" x14ac:dyDescent="0.3">
      <c r="A821" s="11">
        <v>3868</v>
      </c>
      <c r="B821" s="12" t="str">
        <f>[3]Name!E2872</f>
        <v>Gorv Ladana</v>
      </c>
      <c r="C821" s="13">
        <f>[2]S1!C822</f>
        <v>0</v>
      </c>
      <c r="D821" s="13">
        <f>[2]S1!D822</f>
        <v>0</v>
      </c>
      <c r="E821" s="26">
        <f>[2]S1!E822</f>
        <v>200</v>
      </c>
      <c r="F821" s="26">
        <f>[2]S1!F822</f>
        <v>0</v>
      </c>
      <c r="G821" s="22">
        <f>[2]S1!G822</f>
        <v>0</v>
      </c>
      <c r="H821" s="22">
        <f>[2]S1!H822</f>
        <v>0</v>
      </c>
      <c r="I821" s="22">
        <f>[2]S1!I822</f>
        <v>0</v>
      </c>
      <c r="J821" s="13">
        <f>[2]S1!J822</f>
        <v>0</v>
      </c>
      <c r="K821" s="19">
        <f>[2]S1!K822</f>
        <v>200</v>
      </c>
      <c r="L821" s="52">
        <f>[2]S1!L822</f>
        <v>0</v>
      </c>
      <c r="M821" s="58">
        <f>[2]S1!M822</f>
        <v>0</v>
      </c>
      <c r="N821" s="49">
        <f>[2]S1!P822</f>
        <v>9079864822</v>
      </c>
      <c r="O821" s="14"/>
    </row>
    <row r="822" spans="1:15" x14ac:dyDescent="0.3">
      <c r="A822" s="11">
        <v>3869</v>
      </c>
      <c r="B822" s="12" t="str">
        <f>[3]Name!E2873</f>
        <v>Rinku Ladana</v>
      </c>
      <c r="C822" s="13">
        <f>[2]S1!C823</f>
        <v>0</v>
      </c>
      <c r="D822" s="13">
        <f>[2]S1!D823</f>
        <v>0</v>
      </c>
      <c r="E822" s="26">
        <f>[2]S1!E823</f>
        <v>200</v>
      </c>
      <c r="F822" s="26">
        <f>[2]S1!F823</f>
        <v>0</v>
      </c>
      <c r="G822" s="22">
        <f>[2]S1!G823</f>
        <v>0</v>
      </c>
      <c r="H822" s="22">
        <f>[2]S1!H823</f>
        <v>0</v>
      </c>
      <c r="I822" s="22">
        <f>[2]S1!I823</f>
        <v>0</v>
      </c>
      <c r="J822" s="13">
        <f>[2]S1!J823</f>
        <v>0</v>
      </c>
      <c r="K822" s="19">
        <f>[2]S1!K823</f>
        <v>200</v>
      </c>
      <c r="L822" s="52">
        <f>[2]S1!L823</f>
        <v>0</v>
      </c>
      <c r="M822" s="58">
        <f>[2]S1!M823</f>
        <v>0</v>
      </c>
      <c r="N822" s="49">
        <f>[2]S1!P823</f>
        <v>9079864822</v>
      </c>
      <c r="O822" s="14"/>
    </row>
    <row r="823" spans="1:15" x14ac:dyDescent="0.3">
      <c r="A823" s="11">
        <v>3870</v>
      </c>
      <c r="B823" s="12" t="str">
        <f>[3]Name!E2874</f>
        <v>Badari Ladana</v>
      </c>
      <c r="C823" s="13">
        <f>[2]S1!C824</f>
        <v>0</v>
      </c>
      <c r="D823" s="13">
        <f>[2]S1!D824</f>
        <v>0</v>
      </c>
      <c r="E823" s="26">
        <f>[2]S1!E824</f>
        <v>200</v>
      </c>
      <c r="F823" s="26">
        <f>[2]S1!F824</f>
        <v>0</v>
      </c>
      <c r="G823" s="22">
        <f>[2]S1!G824</f>
        <v>0</v>
      </c>
      <c r="H823" s="22">
        <f>[2]S1!H824</f>
        <v>0</v>
      </c>
      <c r="I823" s="22">
        <f>[2]S1!I824</f>
        <v>0</v>
      </c>
      <c r="J823" s="13">
        <f>[2]S1!J824</f>
        <v>0</v>
      </c>
      <c r="K823" s="19">
        <f>[2]S1!K824</f>
        <v>200</v>
      </c>
      <c r="L823" s="52">
        <f>[2]S1!L824</f>
        <v>0</v>
      </c>
      <c r="M823" s="58">
        <f>[2]S1!M824</f>
        <v>0</v>
      </c>
      <c r="N823" s="49">
        <f>[2]S1!P824</f>
        <v>9079864822</v>
      </c>
      <c r="O823" s="14"/>
    </row>
    <row r="824" spans="1:15" x14ac:dyDescent="0.3">
      <c r="A824" s="11">
        <v>3871</v>
      </c>
      <c r="B824" s="12" t="str">
        <f>[3]Name!E2875</f>
        <v>Kishan Lal Ladana</v>
      </c>
      <c r="C824" s="13">
        <f>[2]S1!C825</f>
        <v>0</v>
      </c>
      <c r="D824" s="13">
        <f>[2]S1!D825</f>
        <v>0</v>
      </c>
      <c r="E824" s="26">
        <f>[2]S1!E825</f>
        <v>200</v>
      </c>
      <c r="F824" s="26">
        <f>[2]S1!F825</f>
        <v>0</v>
      </c>
      <c r="G824" s="22">
        <f>[2]S1!G825</f>
        <v>0</v>
      </c>
      <c r="H824" s="22">
        <f>[2]S1!H825</f>
        <v>0</v>
      </c>
      <c r="I824" s="22">
        <f>[2]S1!I825</f>
        <v>0</v>
      </c>
      <c r="J824" s="13">
        <f>[2]S1!J825</f>
        <v>0</v>
      </c>
      <c r="K824" s="19">
        <f>[2]S1!K825</f>
        <v>200</v>
      </c>
      <c r="L824" s="52">
        <f>[2]S1!L825</f>
        <v>0</v>
      </c>
      <c r="M824" s="58">
        <f>[2]S1!M825</f>
        <v>0</v>
      </c>
      <c r="N824" s="49">
        <f>[2]S1!P825</f>
        <v>9079864822</v>
      </c>
      <c r="O824" s="14"/>
    </row>
    <row r="825" spans="1:15" x14ac:dyDescent="0.3">
      <c r="A825" s="11">
        <v>3872</v>
      </c>
      <c r="B825" s="12" t="str">
        <f>[3]Name!E2876</f>
        <v>Gorv Ladana</v>
      </c>
      <c r="C825" s="13">
        <f>[2]S1!C826</f>
        <v>0</v>
      </c>
      <c r="D825" s="13">
        <f>[2]S1!D826</f>
        <v>0</v>
      </c>
      <c r="E825" s="26">
        <f>[2]S1!E826</f>
        <v>200</v>
      </c>
      <c r="F825" s="26">
        <f>[2]S1!F826</f>
        <v>0</v>
      </c>
      <c r="G825" s="22">
        <f>[2]S1!G826</f>
        <v>0</v>
      </c>
      <c r="H825" s="22">
        <f>[2]S1!H826</f>
        <v>0</v>
      </c>
      <c r="I825" s="22">
        <f>[2]S1!I826</f>
        <v>0</v>
      </c>
      <c r="J825" s="13">
        <f>[2]S1!J826</f>
        <v>0</v>
      </c>
      <c r="K825" s="19">
        <f>[2]S1!K826</f>
        <v>200</v>
      </c>
      <c r="L825" s="52">
        <f>[2]S1!L826</f>
        <v>0</v>
      </c>
      <c r="M825" s="58">
        <f>[2]S1!M826</f>
        <v>0</v>
      </c>
      <c r="N825" s="49">
        <f>[2]S1!P826</f>
        <v>9079864822</v>
      </c>
      <c r="O825" s="14"/>
    </row>
    <row r="826" spans="1:15" x14ac:dyDescent="0.3">
      <c r="A826" s="11">
        <v>3873</v>
      </c>
      <c r="B826" s="12" t="str">
        <f>[3]Name!E2877</f>
        <v>Rinku Ladana</v>
      </c>
      <c r="C826" s="13">
        <f>[2]S1!C827</f>
        <v>0</v>
      </c>
      <c r="D826" s="13">
        <f>[2]S1!D827</f>
        <v>0</v>
      </c>
      <c r="E826" s="26">
        <f>[2]S1!E827</f>
        <v>200</v>
      </c>
      <c r="F826" s="26">
        <f>[2]S1!F827</f>
        <v>0</v>
      </c>
      <c r="G826" s="22">
        <f>[2]S1!G827</f>
        <v>0</v>
      </c>
      <c r="H826" s="22">
        <f>[2]S1!H827</f>
        <v>0</v>
      </c>
      <c r="I826" s="22">
        <f>[2]S1!I827</f>
        <v>0</v>
      </c>
      <c r="J826" s="13">
        <f>[2]S1!J827</f>
        <v>0</v>
      </c>
      <c r="K826" s="19">
        <f>[2]S1!K827</f>
        <v>200</v>
      </c>
      <c r="L826" s="52">
        <f>[2]S1!L827</f>
        <v>0</v>
      </c>
      <c r="M826" s="58">
        <f>[2]S1!M827</f>
        <v>0</v>
      </c>
      <c r="N826" s="49">
        <f>[2]S1!P827</f>
        <v>9079864822</v>
      </c>
      <c r="O826" s="14"/>
    </row>
    <row r="827" spans="1:15" x14ac:dyDescent="0.3">
      <c r="A827" s="11">
        <v>3874</v>
      </c>
      <c r="B827" s="12" t="str">
        <f>[3]Name!E2878</f>
        <v>Badari Ladana</v>
      </c>
      <c r="C827" s="13">
        <f>[2]S1!C828</f>
        <v>0</v>
      </c>
      <c r="D827" s="13">
        <f>[2]S1!D828</f>
        <v>0</v>
      </c>
      <c r="E827" s="26">
        <f>[2]S1!E828</f>
        <v>200</v>
      </c>
      <c r="F827" s="26">
        <f>[2]S1!F828</f>
        <v>0</v>
      </c>
      <c r="G827" s="22">
        <f>[2]S1!G828</f>
        <v>0</v>
      </c>
      <c r="H827" s="22">
        <f>[2]S1!H828</f>
        <v>0</v>
      </c>
      <c r="I827" s="22">
        <f>[2]S1!I828</f>
        <v>0</v>
      </c>
      <c r="J827" s="13">
        <f>[2]S1!J828</f>
        <v>0</v>
      </c>
      <c r="K827" s="19">
        <f>[2]S1!K828</f>
        <v>200</v>
      </c>
      <c r="L827" s="52">
        <f>[2]S1!L828</f>
        <v>0</v>
      </c>
      <c r="M827" s="58">
        <f>[2]S1!M828</f>
        <v>0</v>
      </c>
      <c r="N827" s="49">
        <f>[2]S1!P828</f>
        <v>9079864822</v>
      </c>
      <c r="O827" s="14"/>
    </row>
    <row r="828" spans="1:15" x14ac:dyDescent="0.3">
      <c r="A828" s="11">
        <v>3875</v>
      </c>
      <c r="B828" s="12" t="str">
        <f>[3]Name!E2879</f>
        <v>Papu Lal Ladana</v>
      </c>
      <c r="C828" s="13">
        <f>[2]S1!C829</f>
        <v>0</v>
      </c>
      <c r="D828" s="13">
        <f>[2]S1!D829</f>
        <v>0</v>
      </c>
      <c r="E828" s="26">
        <f>[2]S1!E829</f>
        <v>200</v>
      </c>
      <c r="F828" s="26">
        <f>[2]S1!F829</f>
        <v>0</v>
      </c>
      <c r="G828" s="22">
        <f>[2]S1!G829</f>
        <v>0</v>
      </c>
      <c r="H828" s="22">
        <f>[2]S1!H829</f>
        <v>0</v>
      </c>
      <c r="I828" s="22">
        <f>[2]S1!I829</f>
        <v>0</v>
      </c>
      <c r="J828" s="13">
        <f>[2]S1!J829</f>
        <v>0</v>
      </c>
      <c r="K828" s="19">
        <f>[2]S1!K829</f>
        <v>200</v>
      </c>
      <c r="L828" s="52">
        <f>[2]S1!L829</f>
        <v>0</v>
      </c>
      <c r="M828" s="58">
        <f>[2]S1!M829</f>
        <v>0</v>
      </c>
      <c r="N828" s="49">
        <f>[2]S1!P829</f>
        <v>9079864822</v>
      </c>
      <c r="O828" s="14"/>
    </row>
    <row r="829" spans="1:15" x14ac:dyDescent="0.3">
      <c r="A829" s="11">
        <v>3876</v>
      </c>
      <c r="B829" s="12" t="str">
        <f>[3]Name!E2880</f>
        <v>Raju Bhamniya</v>
      </c>
      <c r="C829" s="13">
        <f>[2]S1!C830</f>
        <v>0</v>
      </c>
      <c r="D829" s="13">
        <f>[2]S1!D830</f>
        <v>0</v>
      </c>
      <c r="E829" s="26">
        <f>[2]S1!E830</f>
        <v>200</v>
      </c>
      <c r="F829" s="26">
        <f>[2]S1!F830</f>
        <v>0</v>
      </c>
      <c r="G829" s="22">
        <f>[2]S1!G830</f>
        <v>0</v>
      </c>
      <c r="H829" s="22">
        <f>[2]S1!H830</f>
        <v>0</v>
      </c>
      <c r="I829" s="22">
        <f>[2]S1!I830</f>
        <v>0</v>
      </c>
      <c r="J829" s="13">
        <f>[2]S1!J830</f>
        <v>0</v>
      </c>
      <c r="K829" s="19">
        <f>[2]S1!K830</f>
        <v>200</v>
      </c>
      <c r="L829" s="52">
        <f>[2]S1!L830</f>
        <v>0</v>
      </c>
      <c r="M829" s="58">
        <f>[2]S1!M830</f>
        <v>0</v>
      </c>
      <c r="N829" s="49">
        <f>[2]S1!P830</f>
        <v>8306989133</v>
      </c>
      <c r="O829" s="14"/>
    </row>
    <row r="830" spans="1:15" x14ac:dyDescent="0.3">
      <c r="A830" s="11">
        <v>3877</v>
      </c>
      <c r="B830" s="12" t="str">
        <f>[3]Name!E2881</f>
        <v>Manju Bhamniya</v>
      </c>
      <c r="C830" s="13">
        <f>[2]S1!C831</f>
        <v>3000</v>
      </c>
      <c r="D830" s="13">
        <f>[2]S1!D831</f>
        <v>0</v>
      </c>
      <c r="E830" s="26">
        <f>[2]S1!E831</f>
        <v>0</v>
      </c>
      <c r="F830" s="26">
        <f>[2]S1!F831</f>
        <v>0</v>
      </c>
      <c r="G830" s="22">
        <f>[2]S1!G831</f>
        <v>3000</v>
      </c>
      <c r="H830" s="22">
        <f>[2]S1!H831</f>
        <v>0</v>
      </c>
      <c r="I830" s="22">
        <f>[2]S1!I831</f>
        <v>210</v>
      </c>
      <c r="J830" s="13">
        <f>[2]S1!J831</f>
        <v>0</v>
      </c>
      <c r="K830" s="19">
        <f>[2]S1!K831</f>
        <v>3210</v>
      </c>
      <c r="L830" s="52">
        <f>[2]S1!L831</f>
        <v>21000</v>
      </c>
      <c r="M830" s="58">
        <f>[2]S1!M831</f>
        <v>4</v>
      </c>
      <c r="N830" s="49">
        <f>[2]S1!P831</f>
        <v>8306989133</v>
      </c>
      <c r="O830" s="14"/>
    </row>
    <row r="831" spans="1:15" x14ac:dyDescent="0.3">
      <c r="A831" s="11">
        <v>3878</v>
      </c>
      <c r="B831" s="12" t="str">
        <f>[3]Name!E2882</f>
        <v>Aakash Kumar Badela</v>
      </c>
      <c r="C831" s="13">
        <f>[2]S1!C832</f>
        <v>2000</v>
      </c>
      <c r="D831" s="13">
        <f>[2]S1!D832</f>
        <v>0</v>
      </c>
      <c r="E831" s="26">
        <f>[2]S1!E832</f>
        <v>200</v>
      </c>
      <c r="F831" s="26">
        <f>[2]S1!F832</f>
        <v>0</v>
      </c>
      <c r="G831" s="22">
        <f>[2]S1!G832</f>
        <v>2000</v>
      </c>
      <c r="H831" s="22">
        <f>[2]S1!H832</f>
        <v>0</v>
      </c>
      <c r="I831" s="22">
        <f>[2]S1!I832</f>
        <v>80</v>
      </c>
      <c r="J831" s="13">
        <f>[2]S1!J832</f>
        <v>0</v>
      </c>
      <c r="K831" s="19">
        <f>[2]S1!K832</f>
        <v>2280</v>
      </c>
      <c r="L831" s="52">
        <f>[2]S1!L832</f>
        <v>8000</v>
      </c>
      <c r="M831" s="58">
        <f>[2]S1!M832</f>
        <v>7</v>
      </c>
      <c r="N831" s="49">
        <f>[2]S1!P832</f>
        <v>8107212427</v>
      </c>
      <c r="O831" s="14"/>
    </row>
    <row r="832" spans="1:15" x14ac:dyDescent="0.3">
      <c r="A832" s="11">
        <v>3879</v>
      </c>
      <c r="B832" s="12" t="str">
        <f>[3]Name!E2883</f>
        <v>Sima Kumari Badela</v>
      </c>
      <c r="C832" s="13">
        <f>[2]S1!C833</f>
        <v>2000</v>
      </c>
      <c r="D832" s="13">
        <f>[2]S1!D833</f>
        <v>0</v>
      </c>
      <c r="E832" s="26">
        <f>[2]S1!E833</f>
        <v>200</v>
      </c>
      <c r="F832" s="26">
        <f>[2]S1!F833</f>
        <v>0</v>
      </c>
      <c r="G832" s="22">
        <f>[2]S1!G833</f>
        <v>2000</v>
      </c>
      <c r="H832" s="22">
        <f>[2]S1!H833</f>
        <v>0</v>
      </c>
      <c r="I832" s="22">
        <f>[2]S1!I833</f>
        <v>80</v>
      </c>
      <c r="J832" s="13">
        <f>[2]S1!J833</f>
        <v>0</v>
      </c>
      <c r="K832" s="19">
        <f>[2]S1!K833</f>
        <v>2280</v>
      </c>
      <c r="L832" s="52">
        <f>[2]S1!L833</f>
        <v>8000</v>
      </c>
      <c r="M832" s="58">
        <f>[2]S1!M833</f>
        <v>7</v>
      </c>
      <c r="N832" s="49">
        <f>[2]S1!P833</f>
        <v>8107212427</v>
      </c>
      <c r="O832" s="14"/>
    </row>
    <row r="833" spans="1:15" x14ac:dyDescent="0.3">
      <c r="A833" s="11">
        <v>3880</v>
      </c>
      <c r="B833" s="12" t="str">
        <f>[3]Name!E2884</f>
        <v>Aman Kumar Badela</v>
      </c>
      <c r="C833" s="13">
        <f>[2]S1!C834</f>
        <v>2000</v>
      </c>
      <c r="D833" s="13">
        <f>[2]S1!D834</f>
        <v>0</v>
      </c>
      <c r="E833" s="26">
        <f>[2]S1!E834</f>
        <v>200</v>
      </c>
      <c r="F833" s="26">
        <f>[2]S1!F834</f>
        <v>0</v>
      </c>
      <c r="G833" s="22">
        <f>[2]S1!G834</f>
        <v>2000</v>
      </c>
      <c r="H833" s="22">
        <f>[2]S1!H834</f>
        <v>0</v>
      </c>
      <c r="I833" s="22">
        <f>[2]S1!I834</f>
        <v>80</v>
      </c>
      <c r="J833" s="13">
        <f>[2]S1!J834</f>
        <v>0</v>
      </c>
      <c r="K833" s="19">
        <f>[2]S1!K834</f>
        <v>2280</v>
      </c>
      <c r="L833" s="52">
        <f>[2]S1!L834</f>
        <v>8000</v>
      </c>
      <c r="M833" s="58">
        <f>[2]S1!M834</f>
        <v>7</v>
      </c>
      <c r="N833" s="49">
        <f>[2]S1!P834</f>
        <v>8107212427</v>
      </c>
      <c r="O833" s="14"/>
    </row>
    <row r="834" spans="1:15" x14ac:dyDescent="0.3">
      <c r="A834" s="11">
        <v>3881</v>
      </c>
      <c r="B834" s="12" t="str">
        <f>[3]Name!E2885</f>
        <v>Pappu Kumar Badela</v>
      </c>
      <c r="C834" s="13">
        <f>[2]S1!C835</f>
        <v>2000</v>
      </c>
      <c r="D834" s="13">
        <f>[2]S1!D835</f>
        <v>0</v>
      </c>
      <c r="E834" s="26">
        <f>[2]S1!E835</f>
        <v>200</v>
      </c>
      <c r="F834" s="26">
        <f>[2]S1!F835</f>
        <v>0</v>
      </c>
      <c r="G834" s="22">
        <f>[2]S1!G835</f>
        <v>2000</v>
      </c>
      <c r="H834" s="22">
        <f>[2]S1!H835</f>
        <v>0</v>
      </c>
      <c r="I834" s="22">
        <f>[2]S1!I835</f>
        <v>80</v>
      </c>
      <c r="J834" s="13">
        <f>[2]S1!J835</f>
        <v>0</v>
      </c>
      <c r="K834" s="19">
        <f>[2]S1!K835</f>
        <v>2280</v>
      </c>
      <c r="L834" s="52">
        <f>[2]S1!L835</f>
        <v>8000</v>
      </c>
      <c r="M834" s="58">
        <f>[2]S1!M835</f>
        <v>7</v>
      </c>
      <c r="N834" s="49">
        <f>[2]S1!P835</f>
        <v>8107212427</v>
      </c>
      <c r="O834" s="14"/>
    </row>
    <row r="835" spans="1:15" x14ac:dyDescent="0.3">
      <c r="A835" s="11">
        <v>3882</v>
      </c>
      <c r="B835" s="12" t="str">
        <f>[3]Name!E2886</f>
        <v>Nitu Devi Badela</v>
      </c>
      <c r="C835" s="13">
        <f>[2]S1!C836</f>
        <v>2000</v>
      </c>
      <c r="D835" s="13">
        <f>[2]S1!D836</f>
        <v>0</v>
      </c>
      <c r="E835" s="26">
        <f>[2]S1!E836</f>
        <v>200</v>
      </c>
      <c r="F835" s="26">
        <f>[2]S1!F836</f>
        <v>0</v>
      </c>
      <c r="G835" s="22">
        <f>[2]S1!G836</f>
        <v>2000</v>
      </c>
      <c r="H835" s="22">
        <f>[2]S1!H836</f>
        <v>0</v>
      </c>
      <c r="I835" s="22">
        <f>[2]S1!I836</f>
        <v>80</v>
      </c>
      <c r="J835" s="13">
        <f>[2]S1!J836</f>
        <v>0</v>
      </c>
      <c r="K835" s="19">
        <f>[2]S1!K836</f>
        <v>2280</v>
      </c>
      <c r="L835" s="52">
        <f>[2]S1!L836</f>
        <v>8000</v>
      </c>
      <c r="M835" s="58">
        <f>[2]S1!M836</f>
        <v>7</v>
      </c>
      <c r="N835" s="49">
        <f>[2]S1!P836</f>
        <v>8107212427</v>
      </c>
      <c r="O835" s="14"/>
    </row>
    <row r="836" spans="1:15" x14ac:dyDescent="0.3">
      <c r="A836" s="11">
        <v>3883</v>
      </c>
      <c r="B836" s="12" t="str">
        <f>[3]Name!E2887</f>
        <v>Dindayal Balai</v>
      </c>
      <c r="C836" s="13">
        <f>[2]S1!C837</f>
        <v>1000</v>
      </c>
      <c r="D836" s="13">
        <f>[2]S1!D837</f>
        <v>0</v>
      </c>
      <c r="E836" s="26">
        <f>[2]S1!E837</f>
        <v>200</v>
      </c>
      <c r="F836" s="26">
        <f>[2]S1!F837</f>
        <v>0</v>
      </c>
      <c r="G836" s="22">
        <f>[2]S1!G837</f>
        <v>1000</v>
      </c>
      <c r="H836" s="22">
        <f>[2]S1!H837</f>
        <v>0</v>
      </c>
      <c r="I836" s="22">
        <f>[2]S1!I837</f>
        <v>200</v>
      </c>
      <c r="J836" s="13">
        <f>[2]S1!J837</f>
        <v>0</v>
      </c>
      <c r="K836" s="19">
        <f>[2]S1!K837</f>
        <v>1400</v>
      </c>
      <c r="L836" s="52">
        <f>[2]S1!L837</f>
        <v>20000</v>
      </c>
      <c r="M836" s="58">
        <f>[2]S1!M837</f>
        <v>1</v>
      </c>
      <c r="N836" s="49">
        <f>[2]S1!P837</f>
        <v>7742016348</v>
      </c>
      <c r="O836" s="14"/>
    </row>
    <row r="837" spans="1:15" x14ac:dyDescent="0.3">
      <c r="A837" s="11">
        <v>3884</v>
      </c>
      <c r="B837" s="12" t="str">
        <f>[3]Name!E2888</f>
        <v>Mohit Balai</v>
      </c>
      <c r="C837" s="13">
        <f>[2]S1!C838</f>
        <v>1000</v>
      </c>
      <c r="D837" s="13">
        <f>[2]S1!D838</f>
        <v>0</v>
      </c>
      <c r="E837" s="26">
        <f>[2]S1!E838</f>
        <v>200</v>
      </c>
      <c r="F837" s="26">
        <f>[2]S1!F838</f>
        <v>0</v>
      </c>
      <c r="G837" s="22">
        <f>[2]S1!G838</f>
        <v>0</v>
      </c>
      <c r="H837" s="22">
        <f>[2]S1!H838</f>
        <v>0</v>
      </c>
      <c r="I837" s="22">
        <f>[2]S1!I838</f>
        <v>0</v>
      </c>
      <c r="J837" s="13">
        <f>[2]S1!J838</f>
        <v>0</v>
      </c>
      <c r="K837" s="19">
        <f>[2]S1!K838</f>
        <v>200</v>
      </c>
      <c r="L837" s="52">
        <f>[2]S1!L838</f>
        <v>0</v>
      </c>
      <c r="M837" s="58">
        <f>[2]S1!M838</f>
        <v>0</v>
      </c>
      <c r="N837" s="49">
        <f>[2]S1!P838</f>
        <v>7742016348</v>
      </c>
      <c r="O837" s="14"/>
    </row>
    <row r="838" spans="1:15" x14ac:dyDescent="0.3">
      <c r="A838" s="11">
        <v>3885</v>
      </c>
      <c r="B838" s="12" t="str">
        <f>[3]Name!E2889</f>
        <v>purn Chand Bunkar</v>
      </c>
      <c r="C838" s="13">
        <f>[2]S1!C839</f>
        <v>1000</v>
      </c>
      <c r="D838" s="13">
        <f>[2]S1!D839</f>
        <v>0</v>
      </c>
      <c r="E838" s="26">
        <f>[2]S1!E839</f>
        <v>200</v>
      </c>
      <c r="F838" s="26">
        <f>[2]S1!F839</f>
        <v>0</v>
      </c>
      <c r="G838" s="22">
        <f>[2]S1!G839</f>
        <v>0</v>
      </c>
      <c r="H838" s="22">
        <f>[2]S1!H839</f>
        <v>0</v>
      </c>
      <c r="I838" s="22">
        <f>[2]S1!I839</f>
        <v>155</v>
      </c>
      <c r="J838" s="13">
        <f>[2]S1!J839</f>
        <v>0</v>
      </c>
      <c r="K838" s="19">
        <f>[2]S1!K839</f>
        <v>355</v>
      </c>
      <c r="L838" s="52">
        <f>[2]S1!L839</f>
        <v>15500</v>
      </c>
      <c r="M838" s="58">
        <f>[2]S1!M839</f>
        <v>4</v>
      </c>
      <c r="N838" s="49">
        <f>[2]S1!P839</f>
        <v>9829966338</v>
      </c>
      <c r="O838" s="14"/>
    </row>
    <row r="839" spans="1:15" x14ac:dyDescent="0.3">
      <c r="A839" s="11">
        <v>3886</v>
      </c>
      <c r="B839" s="12" t="str">
        <f>[3]Name!E2890</f>
        <v>Manju Devi Bunkar</v>
      </c>
      <c r="C839" s="13">
        <f>[2]S1!C840</f>
        <v>1000</v>
      </c>
      <c r="D839" s="13">
        <f>[2]S1!D840</f>
        <v>0</v>
      </c>
      <c r="E839" s="26">
        <f>[2]S1!E840</f>
        <v>200</v>
      </c>
      <c r="F839" s="26">
        <f>[2]S1!F840</f>
        <v>0</v>
      </c>
      <c r="G839" s="22">
        <f>[2]S1!G840</f>
        <v>0</v>
      </c>
      <c r="H839" s="22">
        <f>[2]S1!H840</f>
        <v>0</v>
      </c>
      <c r="I839" s="22">
        <f>[2]S1!I840</f>
        <v>155</v>
      </c>
      <c r="J839" s="13">
        <f>[2]S1!J840</f>
        <v>0</v>
      </c>
      <c r="K839" s="19">
        <f>[2]S1!K840</f>
        <v>355</v>
      </c>
      <c r="L839" s="52">
        <f>[2]S1!L840</f>
        <v>15500</v>
      </c>
      <c r="M839" s="58">
        <f>[2]S1!M840</f>
        <v>4</v>
      </c>
      <c r="N839" s="49">
        <f>[2]S1!P840</f>
        <v>9829966338</v>
      </c>
      <c r="O839" s="14"/>
    </row>
    <row r="840" spans="1:15" x14ac:dyDescent="0.3">
      <c r="A840" s="11">
        <v>3887</v>
      </c>
      <c r="B840" s="12" t="str">
        <f>[3]Name!E2891</f>
        <v>Manvi Kumari Bunkar</v>
      </c>
      <c r="C840" s="13">
        <f>[2]S1!C841</f>
        <v>1000</v>
      </c>
      <c r="D840" s="13">
        <f>[2]S1!D841</f>
        <v>0</v>
      </c>
      <c r="E840" s="26">
        <f>[2]S1!E841</f>
        <v>200</v>
      </c>
      <c r="F840" s="26">
        <f>[2]S1!F841</f>
        <v>0</v>
      </c>
      <c r="G840" s="22">
        <f>[2]S1!G841</f>
        <v>0</v>
      </c>
      <c r="H840" s="22">
        <f>[2]S1!H841</f>
        <v>0</v>
      </c>
      <c r="I840" s="22">
        <f>[2]S1!I841</f>
        <v>151</v>
      </c>
      <c r="J840" s="13">
        <f>[2]S1!J841</f>
        <v>0</v>
      </c>
      <c r="K840" s="19">
        <f>[2]S1!K841</f>
        <v>351</v>
      </c>
      <c r="L840" s="52">
        <f>[2]S1!L841</f>
        <v>15056</v>
      </c>
      <c r="M840" s="58">
        <f>[2]S1!M841</f>
        <v>4</v>
      </c>
      <c r="N840" s="49">
        <f>[2]S1!P841</f>
        <v>9829966338</v>
      </c>
      <c r="O840" s="14"/>
    </row>
    <row r="841" spans="1:15" x14ac:dyDescent="0.3">
      <c r="A841" s="11">
        <v>3888</v>
      </c>
      <c r="B841" s="12" t="str">
        <f>[3]Name!E2892</f>
        <v>Jaanvi Kumari Bunkar</v>
      </c>
      <c r="C841" s="13">
        <f>[2]S1!C842</f>
        <v>1000</v>
      </c>
      <c r="D841" s="13">
        <f>[2]S1!D842</f>
        <v>0</v>
      </c>
      <c r="E841" s="26">
        <f>[2]S1!E842</f>
        <v>200</v>
      </c>
      <c r="F841" s="26">
        <f>[2]S1!F842</f>
        <v>0</v>
      </c>
      <c r="G841" s="22">
        <f>[2]S1!G842</f>
        <v>0</v>
      </c>
      <c r="H841" s="22">
        <f>[2]S1!H842</f>
        <v>0</v>
      </c>
      <c r="I841" s="22">
        <f>[2]S1!I842</f>
        <v>160</v>
      </c>
      <c r="J841" s="13">
        <f>[2]S1!J842</f>
        <v>0</v>
      </c>
      <c r="K841" s="19">
        <f>[2]S1!K842</f>
        <v>360</v>
      </c>
      <c r="L841" s="52">
        <f>[2]S1!L842</f>
        <v>16000</v>
      </c>
      <c r="M841" s="58">
        <f>[2]S1!M842</f>
        <v>4</v>
      </c>
      <c r="N841" s="49">
        <f>[2]S1!P842</f>
        <v>9829966338</v>
      </c>
      <c r="O841" s="14"/>
    </row>
    <row r="842" spans="1:15" x14ac:dyDescent="0.3">
      <c r="A842" s="11">
        <v>3889</v>
      </c>
      <c r="B842" s="12" t="str">
        <f>[3]Name!E2893</f>
        <v>Tanvi Kumari Bunkar</v>
      </c>
      <c r="C842" s="13">
        <f>[2]S1!C843</f>
        <v>1000</v>
      </c>
      <c r="D842" s="13">
        <f>[2]S1!D843</f>
        <v>0</v>
      </c>
      <c r="E842" s="26">
        <f>[2]S1!E843</f>
        <v>200</v>
      </c>
      <c r="F842" s="26">
        <f>[2]S1!F843</f>
        <v>0</v>
      </c>
      <c r="G842" s="22">
        <f>[2]S1!G843</f>
        <v>0</v>
      </c>
      <c r="H842" s="22">
        <f>[2]S1!H843</f>
        <v>0</v>
      </c>
      <c r="I842" s="22">
        <f>[2]S1!I843</f>
        <v>160</v>
      </c>
      <c r="J842" s="13">
        <f>[2]S1!J843</f>
        <v>0</v>
      </c>
      <c r="K842" s="19">
        <f>[2]S1!K843</f>
        <v>360</v>
      </c>
      <c r="L842" s="52">
        <f>[2]S1!L843</f>
        <v>16000</v>
      </c>
      <c r="M842" s="58">
        <f>[2]S1!M843</f>
        <v>4</v>
      </c>
      <c r="N842" s="49">
        <f>[2]S1!P843</f>
        <v>9829966338</v>
      </c>
      <c r="O842" s="14"/>
    </row>
    <row r="843" spans="1:15" x14ac:dyDescent="0.3">
      <c r="A843" s="11">
        <v>3890</v>
      </c>
      <c r="B843" s="12" t="str">
        <f>[3]Name!E2894</f>
        <v>Ram Kisor Meharda</v>
      </c>
      <c r="C843" s="13">
        <f>[2]S1!C844</f>
        <v>1000</v>
      </c>
      <c r="D843" s="13">
        <f>[2]S1!D844</f>
        <v>172</v>
      </c>
      <c r="E843" s="26">
        <f>[2]S1!E844</f>
        <v>1000</v>
      </c>
      <c r="F843" s="26">
        <f>[2]S1!F844</f>
        <v>93</v>
      </c>
      <c r="G843" s="22">
        <f>[2]S1!G844</f>
        <v>5000</v>
      </c>
      <c r="H843" s="22">
        <f>[2]S1!H844</f>
        <v>595</v>
      </c>
      <c r="I843" s="22">
        <f>[2]S1!I844</f>
        <v>650</v>
      </c>
      <c r="J843" s="13">
        <f>[2]S1!J844</f>
        <v>0</v>
      </c>
      <c r="K843" s="19">
        <f>[2]S1!K844</f>
        <v>7338</v>
      </c>
      <c r="L843" s="52">
        <f>[2]S1!L844</f>
        <v>13000</v>
      </c>
      <c r="M843" s="58">
        <f>[2]S1!M844</f>
        <v>12</v>
      </c>
      <c r="N843" s="49">
        <f>[2]S1!P844</f>
        <v>9829392916</v>
      </c>
      <c r="O843" s="14"/>
    </row>
    <row r="844" spans="1:15" x14ac:dyDescent="0.3">
      <c r="A844" s="11">
        <v>3891</v>
      </c>
      <c r="B844" s="12" t="str">
        <f>[3]Name!E2895</f>
        <v>Esant Kumar Meharda</v>
      </c>
      <c r="C844" s="13">
        <f>[2]S1!C845</f>
        <v>1000</v>
      </c>
      <c r="D844" s="13">
        <f>[2]S1!D845</f>
        <v>172</v>
      </c>
      <c r="E844" s="26">
        <f>[2]S1!E845</f>
        <v>964</v>
      </c>
      <c r="F844" s="26">
        <f>[2]S1!F845</f>
        <v>92</v>
      </c>
      <c r="G844" s="22">
        <f>[2]S1!G845</f>
        <v>5000</v>
      </c>
      <c r="H844" s="22">
        <f>[2]S1!H845</f>
        <v>595</v>
      </c>
      <c r="I844" s="22">
        <f>[2]S1!I845</f>
        <v>650</v>
      </c>
      <c r="J844" s="13">
        <f>[2]S1!J845</f>
        <v>0</v>
      </c>
      <c r="K844" s="19">
        <f>[2]S1!K845</f>
        <v>7301</v>
      </c>
      <c r="L844" s="52">
        <f>[2]S1!L845</f>
        <v>13000</v>
      </c>
      <c r="M844" s="58">
        <f>[2]S1!M845</f>
        <v>12</v>
      </c>
      <c r="N844" s="49">
        <f>[2]S1!P845</f>
        <v>9829392916</v>
      </c>
      <c r="O844" s="14"/>
    </row>
    <row r="845" spans="1:15" x14ac:dyDescent="0.3">
      <c r="A845" s="11">
        <v>3892</v>
      </c>
      <c r="B845" s="12" t="str">
        <f>[3]Name!E2896</f>
        <v>Sachin Kumar Baravad</v>
      </c>
      <c r="C845" s="13">
        <f>[2]S1!C846</f>
        <v>1000</v>
      </c>
      <c r="D845" s="13">
        <f>[2]S1!D846</f>
        <v>0</v>
      </c>
      <c r="E845" s="26">
        <f>[2]S1!E846</f>
        <v>0</v>
      </c>
      <c r="F845" s="26">
        <f>[2]S1!F846</f>
        <v>0</v>
      </c>
      <c r="G845" s="22">
        <f>[2]S1!G846</f>
        <v>1000</v>
      </c>
      <c r="H845" s="22">
        <f>[2]S1!H846</f>
        <v>0</v>
      </c>
      <c r="I845" s="22">
        <f>[2]S1!I846</f>
        <v>280</v>
      </c>
      <c r="J845" s="13">
        <f>[2]S1!J846</f>
        <v>0</v>
      </c>
      <c r="K845" s="19">
        <f>[2]S1!K846</f>
        <v>1280</v>
      </c>
      <c r="L845" s="52">
        <f>[2]S1!L846</f>
        <v>28000</v>
      </c>
      <c r="M845" s="58">
        <f>[2]S1!M846</f>
        <v>3</v>
      </c>
      <c r="N845" s="49">
        <f>[2]S1!P846</f>
        <v>9784911551</v>
      </c>
      <c r="O845" s="14"/>
    </row>
    <row r="846" spans="1:15" x14ac:dyDescent="0.3">
      <c r="A846" s="11">
        <v>3893</v>
      </c>
      <c r="B846" s="12" t="str">
        <f>[3]Name!E2897</f>
        <v>Ankit Kumar Baravad</v>
      </c>
      <c r="C846" s="13">
        <f>[2]S1!C847</f>
        <v>1000</v>
      </c>
      <c r="D846" s="13">
        <f>[2]S1!D847</f>
        <v>0</v>
      </c>
      <c r="E846" s="26">
        <f>[2]S1!E847</f>
        <v>0</v>
      </c>
      <c r="F846" s="26">
        <f>[2]S1!F847</f>
        <v>0</v>
      </c>
      <c r="G846" s="22">
        <f>[2]S1!G847</f>
        <v>1000</v>
      </c>
      <c r="H846" s="22">
        <f>[2]S1!H847</f>
        <v>0</v>
      </c>
      <c r="I846" s="22">
        <f>[2]S1!I847</f>
        <v>280</v>
      </c>
      <c r="J846" s="13">
        <f>[2]S1!J847</f>
        <v>0</v>
      </c>
      <c r="K846" s="19">
        <f>[2]S1!K847</f>
        <v>1280</v>
      </c>
      <c r="L846" s="52">
        <f>[2]S1!L847</f>
        <v>28000</v>
      </c>
      <c r="M846" s="58">
        <f>[2]S1!M847</f>
        <v>3</v>
      </c>
      <c r="N846" s="49">
        <f>[2]S1!P847</f>
        <v>9784911551</v>
      </c>
      <c r="O846" s="14"/>
    </row>
    <row r="847" spans="1:15" x14ac:dyDescent="0.3">
      <c r="A847" s="11">
        <v>3894</v>
      </c>
      <c r="B847" s="12" t="str">
        <f>[3]Name!E2898</f>
        <v>Kusumlata Baravad</v>
      </c>
      <c r="C847" s="13">
        <f>[2]S1!C848</f>
        <v>1000</v>
      </c>
      <c r="D847" s="13">
        <f>[2]S1!D848</f>
        <v>0</v>
      </c>
      <c r="E847" s="26">
        <f>[2]S1!E848</f>
        <v>0</v>
      </c>
      <c r="F847" s="26">
        <f>[2]S1!F848</f>
        <v>0</v>
      </c>
      <c r="G847" s="22">
        <f>[2]S1!G848</f>
        <v>1000</v>
      </c>
      <c r="H847" s="22">
        <f>[2]S1!H848</f>
        <v>0</v>
      </c>
      <c r="I847" s="22">
        <f>[2]S1!I848</f>
        <v>280</v>
      </c>
      <c r="J847" s="13">
        <f>[2]S1!J848</f>
        <v>0</v>
      </c>
      <c r="K847" s="19">
        <f>[2]S1!K848</f>
        <v>1280</v>
      </c>
      <c r="L847" s="52">
        <f>[2]S1!L848</f>
        <v>28000</v>
      </c>
      <c r="M847" s="58">
        <f>[2]S1!M848</f>
        <v>3</v>
      </c>
      <c r="N847" s="49">
        <f>[2]S1!P848</f>
        <v>9784911551</v>
      </c>
      <c r="O847" s="14"/>
    </row>
    <row r="848" spans="1:15" x14ac:dyDescent="0.3">
      <c r="A848" s="11">
        <v>3895</v>
      </c>
      <c r="B848" s="12" t="str">
        <f>[3]Name!E2899</f>
        <v>Kusumlata Baravad</v>
      </c>
      <c r="C848" s="13">
        <f>[2]S1!C849</f>
        <v>1000</v>
      </c>
      <c r="D848" s="13">
        <f>[2]S1!D849</f>
        <v>0</v>
      </c>
      <c r="E848" s="26">
        <f>[2]S1!E849</f>
        <v>0</v>
      </c>
      <c r="F848" s="26">
        <f>[2]S1!F849</f>
        <v>0</v>
      </c>
      <c r="G848" s="22">
        <f>[2]S1!G849</f>
        <v>1000</v>
      </c>
      <c r="H848" s="22">
        <f>[2]S1!H849</f>
        <v>0</v>
      </c>
      <c r="I848" s="22">
        <f>[2]S1!I849</f>
        <v>280</v>
      </c>
      <c r="J848" s="13">
        <f>[2]S1!J849</f>
        <v>0</v>
      </c>
      <c r="K848" s="19">
        <f>[2]S1!K849</f>
        <v>1280</v>
      </c>
      <c r="L848" s="52">
        <f>[2]S1!L849</f>
        <v>28000</v>
      </c>
      <c r="M848" s="58">
        <f>[2]S1!M849</f>
        <v>3</v>
      </c>
      <c r="N848" s="49">
        <f>[2]S1!P849</f>
        <v>9784911551</v>
      </c>
      <c r="O848" s="14"/>
    </row>
    <row r="849" spans="1:15" x14ac:dyDescent="0.3">
      <c r="A849" s="11">
        <v>3896</v>
      </c>
      <c r="B849" s="12" t="str">
        <f>[3]Name!E2900</f>
        <v>Kusumlata Baravad</v>
      </c>
      <c r="C849" s="13">
        <f>[2]S1!C850</f>
        <v>1000</v>
      </c>
      <c r="D849" s="13">
        <f>[2]S1!D850</f>
        <v>0</v>
      </c>
      <c r="E849" s="26">
        <f>[2]S1!E850</f>
        <v>0</v>
      </c>
      <c r="F849" s="26">
        <f>[2]S1!F850</f>
        <v>0</v>
      </c>
      <c r="G849" s="22">
        <f>[2]S1!G850</f>
        <v>1000</v>
      </c>
      <c r="H849" s="22">
        <f>[2]S1!H850</f>
        <v>0</v>
      </c>
      <c r="I849" s="22">
        <f>[2]S1!I850</f>
        <v>280</v>
      </c>
      <c r="J849" s="13">
        <f>[2]S1!J850</f>
        <v>0</v>
      </c>
      <c r="K849" s="19">
        <f>[2]S1!K850</f>
        <v>1280</v>
      </c>
      <c r="L849" s="52">
        <f>[2]S1!L850</f>
        <v>28000</v>
      </c>
      <c r="M849" s="58">
        <f>[2]S1!M850</f>
        <v>3</v>
      </c>
      <c r="N849" s="49">
        <f>[2]S1!P850</f>
        <v>9784911551</v>
      </c>
      <c r="O849" s="14"/>
    </row>
    <row r="850" spans="1:15" x14ac:dyDescent="0.3">
      <c r="A850" s="11">
        <v>3897</v>
      </c>
      <c r="B850" s="12" t="str">
        <f>[3]Name!E2901</f>
        <v>Gopal Lal Barvad</v>
      </c>
      <c r="C850" s="13">
        <f>[2]S1!C851</f>
        <v>1000</v>
      </c>
      <c r="D850" s="13">
        <f>[2]S1!D851</f>
        <v>0</v>
      </c>
      <c r="E850" s="26">
        <f>[2]S1!E851</f>
        <v>200</v>
      </c>
      <c r="F850" s="26">
        <f>[2]S1!F851</f>
        <v>0</v>
      </c>
      <c r="G850" s="22">
        <f>[2]S1!G851</f>
        <v>0</v>
      </c>
      <c r="H850" s="22">
        <f>[2]S1!H851</f>
        <v>0</v>
      </c>
      <c r="I850" s="22">
        <f>[2]S1!I851</f>
        <v>0</v>
      </c>
      <c r="J850" s="13">
        <f>[2]S1!J851</f>
        <v>0</v>
      </c>
      <c r="K850" s="19">
        <f>[2]S1!K851</f>
        <v>200</v>
      </c>
      <c r="L850" s="52">
        <f>[2]S1!L851</f>
        <v>0</v>
      </c>
      <c r="M850" s="58">
        <f>[2]S1!M851</f>
        <v>0</v>
      </c>
      <c r="N850" s="49">
        <f>[2]S1!P851</f>
        <v>9784911551</v>
      </c>
      <c r="O850" s="14"/>
    </row>
    <row r="851" spans="1:15" x14ac:dyDescent="0.3">
      <c r="A851" s="11">
        <v>3898</v>
      </c>
      <c r="B851" s="12" t="str">
        <f>[3]Name!E2902</f>
        <v>kesar Devi Barvad</v>
      </c>
      <c r="C851" s="13">
        <f>[2]S1!C852</f>
        <v>1000</v>
      </c>
      <c r="D851" s="13">
        <f>[2]S1!D852</f>
        <v>0</v>
      </c>
      <c r="E851" s="26">
        <f>[2]S1!E852</f>
        <v>200</v>
      </c>
      <c r="F851" s="26">
        <f>[2]S1!F852</f>
        <v>0</v>
      </c>
      <c r="G851" s="22">
        <f>[2]S1!G852</f>
        <v>0</v>
      </c>
      <c r="H851" s="22">
        <f>[2]S1!H852</f>
        <v>0</v>
      </c>
      <c r="I851" s="22">
        <f>[2]S1!I852</f>
        <v>0</v>
      </c>
      <c r="J851" s="13">
        <f>[2]S1!J852</f>
        <v>0</v>
      </c>
      <c r="K851" s="19">
        <f>[2]S1!K852</f>
        <v>200</v>
      </c>
      <c r="L851" s="52">
        <f>[2]S1!L852</f>
        <v>0</v>
      </c>
      <c r="M851" s="58">
        <f>[2]S1!M852</f>
        <v>0</v>
      </c>
      <c r="N851" s="49">
        <f>[2]S1!P852</f>
        <v>9784911551</v>
      </c>
      <c r="O851" s="14"/>
    </row>
    <row r="852" spans="1:15" x14ac:dyDescent="0.3">
      <c r="A852" s="11">
        <v>3899</v>
      </c>
      <c r="B852" s="12" t="str">
        <f>[3]Name!E2903</f>
        <v>Birdi Chand Barvad</v>
      </c>
      <c r="C852" s="13">
        <f>[2]S1!C853</f>
        <v>1000</v>
      </c>
      <c r="D852" s="13">
        <f>[2]S1!D853</f>
        <v>0</v>
      </c>
      <c r="E852" s="26">
        <f>[2]S1!E853</f>
        <v>200</v>
      </c>
      <c r="F852" s="26">
        <f>[2]S1!F853</f>
        <v>0</v>
      </c>
      <c r="G852" s="22">
        <f>[2]S1!G853</f>
        <v>0</v>
      </c>
      <c r="H852" s="22">
        <f>[2]S1!H853</f>
        <v>0</v>
      </c>
      <c r="I852" s="22">
        <f>[2]S1!I853</f>
        <v>0</v>
      </c>
      <c r="J852" s="13">
        <f>[2]S1!J853</f>
        <v>0</v>
      </c>
      <c r="K852" s="19">
        <f>[2]S1!K853</f>
        <v>200</v>
      </c>
      <c r="L852" s="52">
        <f>[2]S1!L853</f>
        <v>0</v>
      </c>
      <c r="M852" s="58">
        <f>[2]S1!M853</f>
        <v>0</v>
      </c>
      <c r="N852" s="49">
        <f>[2]S1!P853</f>
        <v>9784911551</v>
      </c>
      <c r="O852" s="14"/>
    </row>
    <row r="853" spans="1:15" x14ac:dyDescent="0.3">
      <c r="A853" s="11">
        <v>3900</v>
      </c>
      <c r="B853" s="12" t="str">
        <f>[3]Name!E2904</f>
        <v>Sachin Kumar Baravad</v>
      </c>
      <c r="C853" s="13">
        <f>[2]S1!C854</f>
        <v>1000</v>
      </c>
      <c r="D853" s="13">
        <f>[2]S1!D854</f>
        <v>0</v>
      </c>
      <c r="E853" s="26">
        <f>[2]S1!E854</f>
        <v>200</v>
      </c>
      <c r="F853" s="26">
        <f>[2]S1!F854</f>
        <v>0</v>
      </c>
      <c r="G853" s="22">
        <f>[2]S1!G854</f>
        <v>0</v>
      </c>
      <c r="H853" s="22">
        <f>[2]S1!H854</f>
        <v>0</v>
      </c>
      <c r="I853" s="22">
        <f>[2]S1!I854</f>
        <v>0</v>
      </c>
      <c r="J853" s="13">
        <f>[2]S1!J854</f>
        <v>0</v>
      </c>
      <c r="K853" s="19">
        <f>[2]S1!K854</f>
        <v>200</v>
      </c>
      <c r="L853" s="52">
        <f>[2]S1!L854</f>
        <v>0</v>
      </c>
      <c r="M853" s="58">
        <f>[2]S1!M854</f>
        <v>0</v>
      </c>
      <c r="N853" s="49">
        <f>[2]S1!P854</f>
        <v>9784575270</v>
      </c>
      <c r="O853" s="14"/>
    </row>
    <row r="854" spans="1:15" x14ac:dyDescent="0.3">
      <c r="A854" s="11">
        <v>3901</v>
      </c>
      <c r="B854" s="12" t="str">
        <f>[3]Name!E2905</f>
        <v>Ankit Kumar Baravad</v>
      </c>
      <c r="C854" s="13">
        <f>[2]S1!C855</f>
        <v>1000</v>
      </c>
      <c r="D854" s="13">
        <f>[2]S1!D855</f>
        <v>0</v>
      </c>
      <c r="E854" s="26">
        <f>[2]S1!E855</f>
        <v>197</v>
      </c>
      <c r="F854" s="26">
        <f>[2]S1!F855</f>
        <v>0</v>
      </c>
      <c r="G854" s="22">
        <f>[2]S1!G855</f>
        <v>0</v>
      </c>
      <c r="H854" s="22">
        <f>[2]S1!H855</f>
        <v>0</v>
      </c>
      <c r="I854" s="22">
        <f>[2]S1!I855</f>
        <v>0</v>
      </c>
      <c r="J854" s="13">
        <f>[2]S1!J855</f>
        <v>0</v>
      </c>
      <c r="K854" s="19">
        <f>[2]S1!K855</f>
        <v>197</v>
      </c>
      <c r="L854" s="52">
        <f>[2]S1!L855</f>
        <v>0</v>
      </c>
      <c r="M854" s="58">
        <f>[2]S1!M855</f>
        <v>0</v>
      </c>
      <c r="N854" s="49">
        <f>[2]S1!P855</f>
        <v>9784575270</v>
      </c>
      <c r="O854" s="14"/>
    </row>
    <row r="855" spans="1:15" x14ac:dyDescent="0.3">
      <c r="A855" s="11">
        <v>3902</v>
      </c>
      <c r="B855" s="12" t="str">
        <f>[3]Name!E2906</f>
        <v>Divyansi Kimari Depan</v>
      </c>
      <c r="C855" s="13">
        <f>[2]S1!C856</f>
        <v>2000</v>
      </c>
      <c r="D855" s="13">
        <f>[2]S1!D856</f>
        <v>0</v>
      </c>
      <c r="E855" s="26">
        <f>[2]S1!E856</f>
        <v>0</v>
      </c>
      <c r="F855" s="26">
        <f>[2]S1!F856</f>
        <v>0</v>
      </c>
      <c r="G855" s="22">
        <f>[2]S1!G856</f>
        <v>2000</v>
      </c>
      <c r="H855" s="22">
        <f>[2]S1!H856</f>
        <v>0</v>
      </c>
      <c r="I855" s="22">
        <f>[2]S1!I856</f>
        <v>300</v>
      </c>
      <c r="J855" s="13">
        <f>[2]S1!J856</f>
        <v>0</v>
      </c>
      <c r="K855" s="19">
        <f>[2]S1!K856</f>
        <v>2300</v>
      </c>
      <c r="L855" s="52">
        <f>[2]S1!L856</f>
        <v>30000</v>
      </c>
      <c r="M855" s="58">
        <f>[2]S1!M856</f>
        <v>1</v>
      </c>
      <c r="N855" s="49">
        <f>[2]S1!P856</f>
        <v>9929832722</v>
      </c>
      <c r="O855" s="14"/>
    </row>
    <row r="856" spans="1:15" x14ac:dyDescent="0.3">
      <c r="A856" s="11">
        <v>3903</v>
      </c>
      <c r="B856" s="12" t="str">
        <f>[3]Name!E2907</f>
        <v>Aaman Kumar Depan</v>
      </c>
      <c r="C856" s="13">
        <f>[2]S1!C857</f>
        <v>1500</v>
      </c>
      <c r="D856" s="13">
        <f>[2]S1!D857</f>
        <v>0</v>
      </c>
      <c r="E856" s="26">
        <f>[2]S1!E857</f>
        <v>0</v>
      </c>
      <c r="F856" s="26">
        <f>[2]S1!F857</f>
        <v>0</v>
      </c>
      <c r="G856" s="22">
        <f>[2]S1!G857</f>
        <v>1500</v>
      </c>
      <c r="H856" s="22">
        <f>[2]S1!H857</f>
        <v>0</v>
      </c>
      <c r="I856" s="22">
        <f>[2]S1!I857</f>
        <v>240</v>
      </c>
      <c r="J856" s="13">
        <f>[2]S1!J857</f>
        <v>0</v>
      </c>
      <c r="K856" s="19">
        <f>[2]S1!K857</f>
        <v>1740</v>
      </c>
      <c r="L856" s="52">
        <f>[2]S1!L857</f>
        <v>24000</v>
      </c>
      <c r="M856" s="58">
        <f>[2]S1!M857</f>
        <v>5</v>
      </c>
      <c r="N856" s="49">
        <f>[2]S1!P857</f>
        <v>9929832722</v>
      </c>
      <c r="O856" s="14"/>
    </row>
    <row r="857" spans="1:15" x14ac:dyDescent="0.3">
      <c r="A857" s="11">
        <v>3904</v>
      </c>
      <c r="B857" s="12" t="str">
        <f>[3]Name!E2908</f>
        <v>Aaman Kumar Depan</v>
      </c>
      <c r="C857" s="13">
        <f>[2]S1!C858</f>
        <v>1500</v>
      </c>
      <c r="D857" s="13">
        <f>[2]S1!D858</f>
        <v>0</v>
      </c>
      <c r="E857" s="26">
        <f>[2]S1!E858</f>
        <v>0</v>
      </c>
      <c r="F857" s="26">
        <f>[2]S1!F858</f>
        <v>0</v>
      </c>
      <c r="G857" s="22">
        <f>[2]S1!G858</f>
        <v>1500</v>
      </c>
      <c r="H857" s="22">
        <f>[2]S1!H858</f>
        <v>0</v>
      </c>
      <c r="I857" s="22">
        <f>[2]S1!I858</f>
        <v>240</v>
      </c>
      <c r="J857" s="13">
        <f>[2]S1!J858</f>
        <v>0</v>
      </c>
      <c r="K857" s="19">
        <f>[2]S1!K858</f>
        <v>1740</v>
      </c>
      <c r="L857" s="52">
        <f>[2]S1!L858</f>
        <v>24000</v>
      </c>
      <c r="M857" s="58">
        <f>[2]S1!M858</f>
        <v>5</v>
      </c>
      <c r="N857" s="49">
        <f>[2]S1!P858</f>
        <v>9929832722</v>
      </c>
      <c r="O857" s="14"/>
    </row>
    <row r="858" spans="1:15" x14ac:dyDescent="0.3">
      <c r="A858" s="11">
        <v>3905</v>
      </c>
      <c r="B858" s="12" t="str">
        <f>[3]Name!E2909</f>
        <v>Suva Lal Ghodeta</v>
      </c>
      <c r="C858" s="13">
        <f>[2]S1!C859</f>
        <v>0</v>
      </c>
      <c r="D858" s="13">
        <f>[2]S1!D859</f>
        <v>0</v>
      </c>
      <c r="E858" s="26">
        <f>[2]S1!E859</f>
        <v>200</v>
      </c>
      <c r="F858" s="26">
        <f>[2]S1!F859</f>
        <v>0</v>
      </c>
      <c r="G858" s="22">
        <f>[2]S1!G859</f>
        <v>15547</v>
      </c>
      <c r="H858" s="22">
        <f>[2]S1!H859</f>
        <v>0</v>
      </c>
      <c r="I858" s="22">
        <f>[2]S1!I859</f>
        <v>155</v>
      </c>
      <c r="J858" s="13">
        <f>[2]S1!J859</f>
        <v>0</v>
      </c>
      <c r="K858" s="19">
        <f>[2]S1!K859</f>
        <v>15902</v>
      </c>
      <c r="L858" s="52">
        <f>[2]S1!L859</f>
        <v>15547</v>
      </c>
      <c r="M858" s="58">
        <f>[2]S1!M859</f>
        <v>6</v>
      </c>
      <c r="N858" s="49">
        <f>[2]S1!P859</f>
        <v>7742288070</v>
      </c>
      <c r="O858" s="14"/>
    </row>
    <row r="859" spans="1:15" x14ac:dyDescent="0.3">
      <c r="A859" s="11">
        <v>3906</v>
      </c>
      <c r="B859" s="12" t="str">
        <f>[3]Name!E2910</f>
        <v>Visal Kumar Ghodeta</v>
      </c>
      <c r="C859" s="13">
        <f>[2]S1!C860</f>
        <v>0</v>
      </c>
      <c r="D859" s="13">
        <f>[2]S1!D860</f>
        <v>0</v>
      </c>
      <c r="E859" s="26">
        <f>[2]S1!E860</f>
        <v>200</v>
      </c>
      <c r="F859" s="26">
        <f>[2]S1!F860</f>
        <v>0</v>
      </c>
      <c r="G859" s="22">
        <f>[2]S1!G860</f>
        <v>0</v>
      </c>
      <c r="H859" s="22">
        <f>[2]S1!H860</f>
        <v>0</v>
      </c>
      <c r="I859" s="22">
        <f>[2]S1!I860</f>
        <v>150</v>
      </c>
      <c r="J859" s="13">
        <f>[2]S1!J860</f>
        <v>0</v>
      </c>
      <c r="K859" s="19">
        <f>[2]S1!K860</f>
        <v>350</v>
      </c>
      <c r="L859" s="52">
        <f>[2]S1!L860</f>
        <v>15000</v>
      </c>
      <c r="M859" s="58">
        <f>[2]S1!M860</f>
        <v>2</v>
      </c>
      <c r="N859" s="49">
        <f>[2]S1!P860</f>
        <v>7742288070</v>
      </c>
      <c r="O859" s="14"/>
    </row>
    <row r="860" spans="1:15" x14ac:dyDescent="0.3">
      <c r="A860" s="11">
        <v>3907</v>
      </c>
      <c r="B860" s="12" t="str">
        <f>[3]Name!E2911</f>
        <v>Puja Devi Ghodeta</v>
      </c>
      <c r="C860" s="13">
        <f>[2]S1!C861</f>
        <v>500</v>
      </c>
      <c r="D860" s="13">
        <f>[2]S1!D861</f>
        <v>0</v>
      </c>
      <c r="E860" s="26">
        <f>[2]S1!E861</f>
        <v>200</v>
      </c>
      <c r="F860" s="26">
        <f>[2]S1!F861</f>
        <v>0</v>
      </c>
      <c r="G860" s="22">
        <f>[2]S1!G861</f>
        <v>500</v>
      </c>
      <c r="H860" s="22">
        <f>[2]S1!H861</f>
        <v>0</v>
      </c>
      <c r="I860" s="22">
        <f>[2]S1!I861</f>
        <v>135</v>
      </c>
      <c r="J860" s="13">
        <f>[2]S1!J861</f>
        <v>0</v>
      </c>
      <c r="K860" s="19">
        <f>[2]S1!K861</f>
        <v>835</v>
      </c>
      <c r="L860" s="52">
        <f>[2]S1!L861</f>
        <v>13500</v>
      </c>
      <c r="M860" s="58">
        <f>[2]S1!M861</f>
        <v>14</v>
      </c>
      <c r="N860" s="49">
        <f>[2]S1!P861</f>
        <v>7742288070</v>
      </c>
      <c r="O860" s="14"/>
    </row>
    <row r="861" spans="1:15" x14ac:dyDescent="0.3">
      <c r="A861" s="11">
        <v>3908</v>
      </c>
      <c r="B861" s="12" t="str">
        <f>[3]Name!E2912</f>
        <v xml:space="preserve">Bhagavan Sahay </v>
      </c>
      <c r="C861" s="13">
        <f>[2]S1!C862</f>
        <v>500</v>
      </c>
      <c r="D861" s="13">
        <f>[2]S1!D862</f>
        <v>0</v>
      </c>
      <c r="E861" s="26">
        <f>[2]S1!E862</f>
        <v>200</v>
      </c>
      <c r="F861" s="26">
        <f>[2]S1!F862</f>
        <v>0</v>
      </c>
      <c r="G861" s="22">
        <f>[2]S1!G862</f>
        <v>500</v>
      </c>
      <c r="H861" s="22">
        <f>[2]S1!H862</f>
        <v>0</v>
      </c>
      <c r="I861" s="22">
        <f>[2]S1!I862</f>
        <v>135</v>
      </c>
      <c r="J861" s="13">
        <f>[2]S1!J862</f>
        <v>0</v>
      </c>
      <c r="K861" s="19">
        <f>[2]S1!K862</f>
        <v>835</v>
      </c>
      <c r="L861" s="52">
        <f>[2]S1!L862</f>
        <v>13500</v>
      </c>
      <c r="M861" s="58">
        <f>[2]S1!M862</f>
        <v>14</v>
      </c>
      <c r="N861" s="49">
        <f>[2]S1!P862</f>
        <v>8949606003</v>
      </c>
      <c r="O861" s="14"/>
    </row>
    <row r="862" spans="1:15" x14ac:dyDescent="0.3">
      <c r="A862" s="11">
        <v>3909</v>
      </c>
      <c r="B862" s="12" t="str">
        <f>[3]Name!E2913</f>
        <v>Aasa</v>
      </c>
      <c r="C862" s="13">
        <f>[2]S1!C863</f>
        <v>500</v>
      </c>
      <c r="D862" s="13">
        <f>[2]S1!D863</f>
        <v>0</v>
      </c>
      <c r="E862" s="26">
        <f>[2]S1!E863</f>
        <v>200</v>
      </c>
      <c r="F862" s="26">
        <f>[2]S1!F863</f>
        <v>0</v>
      </c>
      <c r="G862" s="22">
        <f>[2]S1!G863</f>
        <v>500</v>
      </c>
      <c r="H862" s="22">
        <f>[2]S1!H863</f>
        <v>0</v>
      </c>
      <c r="I862" s="22">
        <f>[2]S1!I863</f>
        <v>135</v>
      </c>
      <c r="J862" s="13">
        <f>[2]S1!J863</f>
        <v>0</v>
      </c>
      <c r="K862" s="19">
        <f>[2]S1!K863</f>
        <v>835</v>
      </c>
      <c r="L862" s="52">
        <f>[2]S1!L863</f>
        <v>13500</v>
      </c>
      <c r="M862" s="58">
        <f>[2]S1!M863</f>
        <v>14</v>
      </c>
      <c r="N862" s="49">
        <f>[2]S1!P863</f>
        <v>8949606003</v>
      </c>
      <c r="O862" s="14"/>
    </row>
    <row r="863" spans="1:15" x14ac:dyDescent="0.3">
      <c r="A863" s="11">
        <v>3910</v>
      </c>
      <c r="B863" s="12" t="str">
        <f>[3]Name!E2914</f>
        <v>Bina Devi Suniya</v>
      </c>
      <c r="C863" s="13">
        <f>[2]S1!C864</f>
        <v>0</v>
      </c>
      <c r="D863" s="13">
        <f>[2]S1!D864</f>
        <v>1715</v>
      </c>
      <c r="E863" s="26">
        <f>[2]S1!E864</f>
        <v>3144</v>
      </c>
      <c r="F863" s="26">
        <f>[2]S1!F864</f>
        <v>1430</v>
      </c>
      <c r="G863" s="22">
        <f>[2]S1!G864</f>
        <v>0</v>
      </c>
      <c r="H863" s="22">
        <f>[2]S1!H864</f>
        <v>2000</v>
      </c>
      <c r="I863" s="22">
        <f>[2]S1!I864</f>
        <v>0</v>
      </c>
      <c r="J863" s="13">
        <f>[2]S1!J864</f>
        <v>0</v>
      </c>
      <c r="K863" s="19">
        <f>[2]S1!K864</f>
        <v>6574</v>
      </c>
      <c r="L863" s="52">
        <f>[2]S1!L864</f>
        <v>0</v>
      </c>
      <c r="M863" s="58">
        <f>[2]S1!M864</f>
        <v>0</v>
      </c>
      <c r="N863" s="49">
        <f>[2]S1!P864</f>
        <v>9782869512</v>
      </c>
      <c r="O863" s="14"/>
    </row>
    <row r="864" spans="1:15" x14ac:dyDescent="0.3">
      <c r="A864" s="11">
        <v>3911</v>
      </c>
      <c r="B864" s="12" t="str">
        <f>[3]Name!E2915</f>
        <v>Monika Kumar Suniya</v>
      </c>
      <c r="C864" s="13">
        <f>[2]S1!C865</f>
        <v>0</v>
      </c>
      <c r="D864" s="13">
        <f>[2]S1!D865</f>
        <v>0</v>
      </c>
      <c r="E864" s="26">
        <f>[2]S1!E865</f>
        <v>0</v>
      </c>
      <c r="F864" s="26">
        <f>[2]S1!F865</f>
        <v>0</v>
      </c>
      <c r="G864" s="22">
        <f>[2]S1!G865</f>
        <v>0</v>
      </c>
      <c r="H864" s="22">
        <f>[2]S1!H865</f>
        <v>0</v>
      </c>
      <c r="I864" s="22">
        <f>[2]S1!I865</f>
        <v>0</v>
      </c>
      <c r="J864" s="13">
        <f>[2]S1!J865</f>
        <v>0</v>
      </c>
      <c r="K864" s="19">
        <f>[2]S1!K865</f>
        <v>0</v>
      </c>
      <c r="L864" s="52">
        <f>[2]S1!L865</f>
        <v>0</v>
      </c>
      <c r="M864" s="58">
        <f>[2]S1!M865</f>
        <v>0</v>
      </c>
      <c r="N864" s="49">
        <f>[2]S1!P865</f>
        <v>9782869512</v>
      </c>
      <c r="O864" s="14"/>
    </row>
    <row r="865" spans="1:15" x14ac:dyDescent="0.3">
      <c r="A865" s="11">
        <v>3912</v>
      </c>
      <c r="B865" s="12" t="str">
        <f>[3]Name!E2916</f>
        <v>Sitaram Labaniya</v>
      </c>
      <c r="C865" s="13">
        <f>[2]S1!C866</f>
        <v>0</v>
      </c>
      <c r="D865" s="13">
        <f>[2]S1!D866</f>
        <v>0</v>
      </c>
      <c r="E865" s="26">
        <f>[2]S1!E866</f>
        <v>200</v>
      </c>
      <c r="F865" s="26">
        <f>[2]S1!F866</f>
        <v>36</v>
      </c>
      <c r="G865" s="22">
        <f>[2]S1!G866</f>
        <v>0</v>
      </c>
      <c r="H865" s="22">
        <f>[2]S1!H866</f>
        <v>298</v>
      </c>
      <c r="I865" s="22">
        <f>[2]S1!I866</f>
        <v>321</v>
      </c>
      <c r="J865" s="13">
        <f>[2]S1!J866</f>
        <v>0</v>
      </c>
      <c r="K865" s="19">
        <f>[2]S1!K866</f>
        <v>855</v>
      </c>
      <c r="L865" s="52">
        <f>[2]S1!L866</f>
        <v>31030</v>
      </c>
      <c r="M865" s="58">
        <f>[2]S1!M866</f>
        <v>1</v>
      </c>
      <c r="N865" s="49">
        <f>[2]S1!P866</f>
        <v>9001507778</v>
      </c>
      <c r="O865" s="14"/>
    </row>
    <row r="866" spans="1:15" x14ac:dyDescent="0.3">
      <c r="A866" s="11">
        <v>3913</v>
      </c>
      <c r="B866" s="12" t="str">
        <f>[3]Name!E2917</f>
        <v>Jitendr Kumar Tandada</v>
      </c>
      <c r="C866" s="13">
        <f>[2]S1!C867</f>
        <v>1000</v>
      </c>
      <c r="D866" s="13">
        <f>[2]S1!D867</f>
        <v>0</v>
      </c>
      <c r="E866" s="26">
        <f>[2]S1!E867</f>
        <v>200</v>
      </c>
      <c r="F866" s="26">
        <f>[2]S1!F867</f>
        <v>0</v>
      </c>
      <c r="G866" s="22">
        <f>[2]S1!G867</f>
        <v>0</v>
      </c>
      <c r="H866" s="22">
        <f>[2]S1!H867</f>
        <v>0</v>
      </c>
      <c r="I866" s="22">
        <f>[2]S1!I867</f>
        <v>0</v>
      </c>
      <c r="J866" s="13">
        <f>[2]S1!J867</f>
        <v>0</v>
      </c>
      <c r="K866" s="19">
        <f>[2]S1!K867</f>
        <v>200</v>
      </c>
      <c r="L866" s="52">
        <f>[2]S1!L867</f>
        <v>0</v>
      </c>
      <c r="M866" s="58">
        <f>[2]S1!M867</f>
        <v>0</v>
      </c>
      <c r="N866" s="49">
        <f>[2]S1!P867</f>
        <v>9928813200</v>
      </c>
      <c r="O866" s="14"/>
    </row>
    <row r="867" spans="1:15" x14ac:dyDescent="0.3">
      <c r="A867" s="11">
        <v>3914</v>
      </c>
      <c r="B867" s="12" t="str">
        <f>[3]Name!E2918</f>
        <v>Tija devi Tandada</v>
      </c>
      <c r="C867" s="13">
        <f>[2]S1!C868</f>
        <v>1000</v>
      </c>
      <c r="D867" s="13">
        <f>[2]S1!D868</f>
        <v>0</v>
      </c>
      <c r="E867" s="26">
        <f>[2]S1!E868</f>
        <v>200</v>
      </c>
      <c r="F867" s="26">
        <f>[2]S1!F868</f>
        <v>0</v>
      </c>
      <c r="G867" s="22">
        <f>[2]S1!G868</f>
        <v>0</v>
      </c>
      <c r="H867" s="22">
        <f>[2]S1!H868</f>
        <v>0</v>
      </c>
      <c r="I867" s="22">
        <f>[2]S1!I868</f>
        <v>0</v>
      </c>
      <c r="J867" s="13">
        <f>[2]S1!J868</f>
        <v>0</v>
      </c>
      <c r="K867" s="19">
        <f>[2]S1!K868</f>
        <v>200</v>
      </c>
      <c r="L867" s="52">
        <f>[2]S1!L868</f>
        <v>0</v>
      </c>
      <c r="M867" s="58">
        <f>[2]S1!M868</f>
        <v>0</v>
      </c>
      <c r="N867" s="49">
        <f>[2]S1!P868</f>
        <v>9928813200</v>
      </c>
      <c r="O867" s="14"/>
    </row>
    <row r="868" spans="1:15" x14ac:dyDescent="0.3">
      <c r="A868" s="11">
        <v>3915</v>
      </c>
      <c r="B868" s="12" t="str">
        <f>[3]Name!E2919</f>
        <v>Suja Ram Tandada</v>
      </c>
      <c r="C868" s="13">
        <f>[2]S1!C869</f>
        <v>0</v>
      </c>
      <c r="D868" s="13">
        <f>[2]S1!D869</f>
        <v>0</v>
      </c>
      <c r="E868" s="26">
        <f>[2]S1!E869</f>
        <v>200</v>
      </c>
      <c r="F868" s="26">
        <f>[2]S1!F869</f>
        <v>0</v>
      </c>
      <c r="G868" s="22">
        <f>[2]S1!G869</f>
        <v>0</v>
      </c>
      <c r="H868" s="22">
        <f>[2]S1!H869</f>
        <v>0</v>
      </c>
      <c r="I868" s="22">
        <f>[2]S1!I869</f>
        <v>120</v>
      </c>
      <c r="J868" s="13">
        <f>[2]S1!J869</f>
        <v>0</v>
      </c>
      <c r="K868" s="19">
        <f>[2]S1!K869</f>
        <v>320</v>
      </c>
      <c r="L868" s="52">
        <f>[2]S1!L869</f>
        <v>12000</v>
      </c>
      <c r="M868" s="58">
        <f>[2]S1!M869</f>
        <v>1</v>
      </c>
      <c r="N868" s="49">
        <f>[2]S1!P869</f>
        <v>9928813200</v>
      </c>
      <c r="O868" s="14"/>
    </row>
    <row r="869" spans="1:15" x14ac:dyDescent="0.3">
      <c r="A869" s="11">
        <v>3916</v>
      </c>
      <c r="B869" s="12" t="str">
        <f>[3]Name!E2920</f>
        <v>Niharika Tandada</v>
      </c>
      <c r="C869" s="13">
        <f>[2]S1!C870</f>
        <v>0</v>
      </c>
      <c r="D869" s="13">
        <f>[2]S1!D870</f>
        <v>0</v>
      </c>
      <c r="E869" s="26">
        <f>[2]S1!E870</f>
        <v>200</v>
      </c>
      <c r="F869" s="26">
        <f>[2]S1!F870</f>
        <v>0</v>
      </c>
      <c r="G869" s="22">
        <f>[2]S1!G870</f>
        <v>0</v>
      </c>
      <c r="H869" s="22">
        <f>[2]S1!H870</f>
        <v>0</v>
      </c>
      <c r="I869" s="22">
        <f>[2]S1!I870</f>
        <v>120</v>
      </c>
      <c r="J869" s="13">
        <f>[2]S1!J870</f>
        <v>0</v>
      </c>
      <c r="K869" s="19">
        <f>[2]S1!K870</f>
        <v>320</v>
      </c>
      <c r="L869" s="52">
        <f>[2]S1!L870</f>
        <v>12000</v>
      </c>
      <c r="M869" s="58">
        <f>[2]S1!M870</f>
        <v>1</v>
      </c>
      <c r="N869" s="49">
        <f>[2]S1!P870</f>
        <v>9928813200</v>
      </c>
      <c r="O869" s="14"/>
    </row>
    <row r="870" spans="1:15" x14ac:dyDescent="0.3">
      <c r="A870" s="11">
        <v>3917</v>
      </c>
      <c r="B870" s="12" t="str">
        <f>[3]Name!E2921</f>
        <v>Jitendr Kumar Tandada</v>
      </c>
      <c r="C870" s="13">
        <f>[2]S1!C871</f>
        <v>0</v>
      </c>
      <c r="D870" s="13">
        <f>[2]S1!D871</f>
        <v>0</v>
      </c>
      <c r="E870" s="26">
        <f>[2]S1!E871</f>
        <v>200</v>
      </c>
      <c r="F870" s="26">
        <f>[2]S1!F871</f>
        <v>0</v>
      </c>
      <c r="G870" s="22">
        <f>[2]S1!G871</f>
        <v>0</v>
      </c>
      <c r="H870" s="22">
        <f>[2]S1!H871</f>
        <v>0</v>
      </c>
      <c r="I870" s="22">
        <f>[2]S1!I871</f>
        <v>130</v>
      </c>
      <c r="J870" s="13">
        <f>[2]S1!J871</f>
        <v>0</v>
      </c>
      <c r="K870" s="19">
        <f>[2]S1!K871</f>
        <v>330</v>
      </c>
      <c r="L870" s="52">
        <f>[2]S1!L871</f>
        <v>13000</v>
      </c>
      <c r="M870" s="58">
        <f>[2]S1!M871</f>
        <v>1</v>
      </c>
      <c r="N870" s="49">
        <f>[2]S1!P871</f>
        <v>9928813200</v>
      </c>
      <c r="O870" s="14"/>
    </row>
    <row r="871" spans="1:15" x14ac:dyDescent="0.3">
      <c r="A871" s="11">
        <v>3918</v>
      </c>
      <c r="B871" s="12" t="str">
        <f>[3]Name!E2922</f>
        <v>Dolat Kumar Dokhoriya</v>
      </c>
      <c r="C871" s="13">
        <f>[2]S1!C872</f>
        <v>0</v>
      </c>
      <c r="D871" s="13">
        <f>[2]S1!D872</f>
        <v>0</v>
      </c>
      <c r="E871" s="26">
        <f>[2]S1!E872</f>
        <v>200</v>
      </c>
      <c r="F871" s="26">
        <f>[2]S1!F872</f>
        <v>0</v>
      </c>
      <c r="G871" s="22">
        <f>[2]S1!G872</f>
        <v>0</v>
      </c>
      <c r="H871" s="22">
        <f>[2]S1!H872</f>
        <v>0</v>
      </c>
      <c r="I871" s="22">
        <f>[2]S1!I872</f>
        <v>0</v>
      </c>
      <c r="J871" s="13">
        <f>[2]S1!J872</f>
        <v>0</v>
      </c>
      <c r="K871" s="19">
        <f>[2]S1!K872</f>
        <v>200</v>
      </c>
      <c r="L871" s="52">
        <f>[2]S1!L872</f>
        <v>0</v>
      </c>
      <c r="M871" s="58">
        <f>[2]S1!M872</f>
        <v>0</v>
      </c>
      <c r="N871" s="49">
        <f>[2]S1!P872</f>
        <v>9950602508</v>
      </c>
      <c r="O871" s="14"/>
    </row>
    <row r="872" spans="1:15" x14ac:dyDescent="0.3">
      <c r="A872" s="11">
        <v>3919</v>
      </c>
      <c r="B872" s="12" t="str">
        <f>[3]Name!E2923</f>
        <v>Aayush Kumar Dokhoriya</v>
      </c>
      <c r="C872" s="13">
        <f>[2]S1!C873</f>
        <v>0</v>
      </c>
      <c r="D872" s="13">
        <f>[2]S1!D873</f>
        <v>0</v>
      </c>
      <c r="E872" s="26">
        <f>[2]S1!E873</f>
        <v>200</v>
      </c>
      <c r="F872" s="26">
        <f>[2]S1!F873</f>
        <v>0</v>
      </c>
      <c r="G872" s="22">
        <f>[2]S1!G873</f>
        <v>0</v>
      </c>
      <c r="H872" s="22">
        <f>[2]S1!H873</f>
        <v>0</v>
      </c>
      <c r="I872" s="22">
        <f>[2]S1!I873</f>
        <v>0</v>
      </c>
      <c r="J872" s="13">
        <f>[2]S1!J873</f>
        <v>0</v>
      </c>
      <c r="K872" s="19">
        <f>[2]S1!K873</f>
        <v>200</v>
      </c>
      <c r="L872" s="52">
        <f>[2]S1!L873</f>
        <v>0</v>
      </c>
      <c r="M872" s="58">
        <f>[2]S1!M873</f>
        <v>0</v>
      </c>
      <c r="N872" s="49">
        <f>[2]S1!P873</f>
        <v>9950602508</v>
      </c>
      <c r="O872" s="14"/>
    </row>
    <row r="873" spans="1:15" x14ac:dyDescent="0.3">
      <c r="A873" s="11">
        <v>3920</v>
      </c>
      <c r="B873" s="12" t="str">
        <f>[3]Name!E2924</f>
        <v>Krasna Kumari Dokhoriya</v>
      </c>
      <c r="C873" s="13">
        <f>[2]S1!C874</f>
        <v>0</v>
      </c>
      <c r="D873" s="13">
        <f>[2]S1!D874</f>
        <v>0</v>
      </c>
      <c r="E873" s="26">
        <f>[2]S1!E874</f>
        <v>200</v>
      </c>
      <c r="F873" s="26">
        <f>[2]S1!F874</f>
        <v>0</v>
      </c>
      <c r="G873" s="22">
        <f>[2]S1!G874</f>
        <v>0</v>
      </c>
      <c r="H873" s="22">
        <f>[2]S1!H874</f>
        <v>0</v>
      </c>
      <c r="I873" s="22">
        <f>[2]S1!I874</f>
        <v>0</v>
      </c>
      <c r="J873" s="13">
        <f>[2]S1!J874</f>
        <v>0</v>
      </c>
      <c r="K873" s="19">
        <f>[2]S1!K874</f>
        <v>200</v>
      </c>
      <c r="L873" s="52">
        <f>[2]S1!L874</f>
        <v>0</v>
      </c>
      <c r="M873" s="58">
        <f>[2]S1!M874</f>
        <v>0</v>
      </c>
      <c r="N873" s="49">
        <f>[2]S1!P874</f>
        <v>9950602508</v>
      </c>
      <c r="O873" s="14"/>
    </row>
    <row r="874" spans="1:15" x14ac:dyDescent="0.3">
      <c r="A874" s="11">
        <v>3921</v>
      </c>
      <c r="B874" s="12" t="str">
        <f>[3]Name!E2925</f>
        <v>Prins Kumar Dokhoriya</v>
      </c>
      <c r="C874" s="13">
        <f>[2]S1!C875</f>
        <v>0</v>
      </c>
      <c r="D874" s="13">
        <f>[2]S1!D875</f>
        <v>0</v>
      </c>
      <c r="E874" s="26">
        <f>[2]S1!E875</f>
        <v>181</v>
      </c>
      <c r="F874" s="26">
        <f>[2]S1!F875</f>
        <v>0</v>
      </c>
      <c r="G874" s="22">
        <f>[2]S1!G875</f>
        <v>0</v>
      </c>
      <c r="H874" s="22">
        <f>[2]S1!H875</f>
        <v>0</v>
      </c>
      <c r="I874" s="22">
        <f>[2]S1!I875</f>
        <v>0</v>
      </c>
      <c r="J874" s="13">
        <f>[2]S1!J875</f>
        <v>0</v>
      </c>
      <c r="K874" s="19">
        <f>[2]S1!K875</f>
        <v>181</v>
      </c>
      <c r="L874" s="52">
        <f>[2]S1!L875</f>
        <v>0</v>
      </c>
      <c r="M874" s="58">
        <f>[2]S1!M875</f>
        <v>0</v>
      </c>
      <c r="N874" s="49">
        <f>[2]S1!P875</f>
        <v>9950602508</v>
      </c>
      <c r="O874" s="14"/>
    </row>
    <row r="875" spans="1:15" x14ac:dyDescent="0.3">
      <c r="A875" s="11">
        <v>3922</v>
      </c>
      <c r="B875" s="12" t="str">
        <f>[3]Name!E2926</f>
        <v xml:space="preserve">Choti Devi </v>
      </c>
      <c r="C875" s="13">
        <f>[2]S1!C876</f>
        <v>1000</v>
      </c>
      <c r="D875" s="13">
        <f>[2]S1!D876</f>
        <v>0</v>
      </c>
      <c r="E875" s="26">
        <f>[2]S1!E876</f>
        <v>0</v>
      </c>
      <c r="F875" s="26">
        <f>[2]S1!F876</f>
        <v>0</v>
      </c>
      <c r="G875" s="22">
        <f>[2]S1!G876</f>
        <v>1000</v>
      </c>
      <c r="H875" s="22">
        <f>[2]S1!H876</f>
        <v>0</v>
      </c>
      <c r="I875" s="22">
        <f>[2]S1!I876</f>
        <v>300</v>
      </c>
      <c r="J875" s="13">
        <f>[2]S1!J876</f>
        <v>0</v>
      </c>
      <c r="K875" s="19">
        <f>[2]S1!K876</f>
        <v>1300</v>
      </c>
      <c r="L875" s="52">
        <f>[2]S1!L876</f>
        <v>30000</v>
      </c>
      <c r="M875" s="58">
        <f>[2]S1!M876</f>
        <v>1</v>
      </c>
      <c r="N875" s="49">
        <f>[2]S1!P876</f>
        <v>8000857197</v>
      </c>
      <c r="O875" s="14"/>
    </row>
    <row r="876" spans="1:15" x14ac:dyDescent="0.3">
      <c r="A876" s="11">
        <v>3923</v>
      </c>
      <c r="B876" s="12" t="str">
        <f>[3]Name!E2927</f>
        <v>Jaypal Bunkar</v>
      </c>
      <c r="C876" s="13">
        <f>[2]S1!C877</f>
        <v>1000</v>
      </c>
      <c r="D876" s="13">
        <f>[2]S1!D877</f>
        <v>0</v>
      </c>
      <c r="E876" s="26">
        <f>[2]S1!E877</f>
        <v>200</v>
      </c>
      <c r="F876" s="26">
        <f>[2]S1!F877</f>
        <v>0</v>
      </c>
      <c r="G876" s="22">
        <f>[2]S1!G877</f>
        <v>0</v>
      </c>
      <c r="H876" s="22">
        <f>[2]S1!H877</f>
        <v>0</v>
      </c>
      <c r="I876" s="22">
        <f>[2]S1!I877</f>
        <v>0</v>
      </c>
      <c r="J876" s="13">
        <f>[2]S1!J877</f>
        <v>0</v>
      </c>
      <c r="K876" s="19">
        <f>[2]S1!K877</f>
        <v>200</v>
      </c>
      <c r="L876" s="52">
        <f>[2]S1!L877</f>
        <v>0</v>
      </c>
      <c r="M876" s="58">
        <f>[2]S1!M877</f>
        <v>0</v>
      </c>
      <c r="N876" s="49">
        <f>[2]S1!P877</f>
        <v>8000857197</v>
      </c>
      <c r="O876" s="14"/>
    </row>
    <row r="877" spans="1:15" x14ac:dyDescent="0.3">
      <c r="A877" s="11">
        <v>3924</v>
      </c>
      <c r="B877" s="12" t="str">
        <f>[3]Name!E2928</f>
        <v>Sonu Bunkar</v>
      </c>
      <c r="C877" s="13">
        <f>[2]S1!C878</f>
        <v>1000</v>
      </c>
      <c r="D877" s="13">
        <f>[2]S1!D878</f>
        <v>0</v>
      </c>
      <c r="E877" s="26">
        <f>[2]S1!E878</f>
        <v>200</v>
      </c>
      <c r="F877" s="26">
        <f>[2]S1!F878</f>
        <v>0</v>
      </c>
      <c r="G877" s="22">
        <f>[2]S1!G878</f>
        <v>0</v>
      </c>
      <c r="H877" s="22">
        <f>[2]S1!H878</f>
        <v>0</v>
      </c>
      <c r="I877" s="22">
        <f>[2]S1!I878</f>
        <v>0</v>
      </c>
      <c r="J877" s="13">
        <f>[2]S1!J878</f>
        <v>0</v>
      </c>
      <c r="K877" s="19">
        <f>[2]S1!K878</f>
        <v>200</v>
      </c>
      <c r="L877" s="52">
        <f>[2]S1!L878</f>
        <v>0</v>
      </c>
      <c r="M877" s="58">
        <f>[2]S1!M878</f>
        <v>0</v>
      </c>
      <c r="N877" s="49">
        <f>[2]S1!P878</f>
        <v>8000857197</v>
      </c>
      <c r="O877" s="14"/>
    </row>
    <row r="878" spans="1:15" x14ac:dyDescent="0.3">
      <c r="A878" s="11">
        <v>3925</v>
      </c>
      <c r="B878" s="12" t="str">
        <f>[3]Name!E2929</f>
        <v>Dinesh Kumar Bunkar</v>
      </c>
      <c r="C878" s="13">
        <f>[2]S1!C879</f>
        <v>0</v>
      </c>
      <c r="D878" s="13">
        <f>[2]S1!D879</f>
        <v>0</v>
      </c>
      <c r="E878" s="26">
        <f>[2]S1!E879</f>
        <v>200</v>
      </c>
      <c r="F878" s="26">
        <f>[2]S1!F879</f>
        <v>0</v>
      </c>
      <c r="G878" s="22">
        <f>[2]S1!G879</f>
        <v>0</v>
      </c>
      <c r="H878" s="22">
        <f>[2]S1!H879</f>
        <v>0</v>
      </c>
      <c r="I878" s="22">
        <f>[2]S1!I879</f>
        <v>100</v>
      </c>
      <c r="J878" s="13">
        <f>[2]S1!J879</f>
        <v>0</v>
      </c>
      <c r="K878" s="19">
        <f>[2]S1!K879</f>
        <v>300</v>
      </c>
      <c r="L878" s="52">
        <f>[2]S1!L879</f>
        <v>10000</v>
      </c>
      <c r="M878" s="58">
        <f>[2]S1!M879</f>
        <v>1</v>
      </c>
      <c r="N878" s="49">
        <f>[2]S1!P879</f>
        <v>9829462955</v>
      </c>
      <c r="O878" s="14"/>
    </row>
    <row r="879" spans="1:15" x14ac:dyDescent="0.3">
      <c r="A879" s="11">
        <v>3926</v>
      </c>
      <c r="B879" s="12" t="str">
        <f>[3]Name!E2930</f>
        <v>Surj Bunkar</v>
      </c>
      <c r="C879" s="13">
        <f>[2]S1!C880</f>
        <v>1000</v>
      </c>
      <c r="D879" s="13">
        <f>[2]S1!D880</f>
        <v>0</v>
      </c>
      <c r="E879" s="26">
        <f>[2]S1!E880</f>
        <v>200</v>
      </c>
      <c r="F879" s="26">
        <f>[2]S1!F880</f>
        <v>0</v>
      </c>
      <c r="G879" s="22">
        <f>[2]S1!G880</f>
        <v>0</v>
      </c>
      <c r="H879" s="22">
        <f>[2]S1!H880</f>
        <v>0</v>
      </c>
      <c r="I879" s="22">
        <f>[2]S1!I880</f>
        <v>2</v>
      </c>
      <c r="J879" s="13">
        <f>[2]S1!J880</f>
        <v>0</v>
      </c>
      <c r="K879" s="19">
        <f>[2]S1!K880</f>
        <v>202</v>
      </c>
      <c r="L879" s="52">
        <f>[2]S1!L880</f>
        <v>247</v>
      </c>
      <c r="M879" s="58">
        <f>[2]S1!M880</f>
        <v>13</v>
      </c>
      <c r="N879" s="49">
        <f>[2]S1!P880</f>
        <v>9829462955</v>
      </c>
      <c r="O879" s="14"/>
    </row>
    <row r="880" spans="1:15" x14ac:dyDescent="0.3">
      <c r="A880" s="11">
        <v>3927</v>
      </c>
      <c r="B880" s="12" t="str">
        <f>[3]Name!E2931</f>
        <v xml:space="preserve">Kishn Lal </v>
      </c>
      <c r="C880" s="13">
        <f>[2]S1!C881</f>
        <v>0</v>
      </c>
      <c r="D880" s="13">
        <f>[2]S1!D881</f>
        <v>0</v>
      </c>
      <c r="E880" s="26">
        <f>[2]S1!E881</f>
        <v>200</v>
      </c>
      <c r="F880" s="26">
        <f>[2]S1!F881</f>
        <v>0</v>
      </c>
      <c r="G880" s="22">
        <f>[2]S1!G881</f>
        <v>0</v>
      </c>
      <c r="H880" s="22">
        <f>[2]S1!H881</f>
        <v>0</v>
      </c>
      <c r="I880" s="22">
        <f>[2]S1!I881</f>
        <v>0</v>
      </c>
      <c r="J880" s="13">
        <f>[2]S1!J881</f>
        <v>0</v>
      </c>
      <c r="K880" s="19">
        <f>[2]S1!K881</f>
        <v>200</v>
      </c>
      <c r="L880" s="52">
        <f>[2]S1!L881</f>
        <v>0</v>
      </c>
      <c r="M880" s="58">
        <f>[2]S1!M881</f>
        <v>0</v>
      </c>
      <c r="N880" s="49">
        <f>[2]S1!P881</f>
        <v>9351427021</v>
      </c>
      <c r="O880" s="14"/>
    </row>
    <row r="881" spans="1:15" x14ac:dyDescent="0.3">
      <c r="A881" s="11">
        <v>3928</v>
      </c>
      <c r="B881" s="12" t="str">
        <f>[3]Name!E2932</f>
        <v>Manjhu Devi</v>
      </c>
      <c r="C881" s="13">
        <f>[2]S1!C882</f>
        <v>0</v>
      </c>
      <c r="D881" s="13">
        <f>[2]S1!D882</f>
        <v>0</v>
      </c>
      <c r="E881" s="26">
        <f>[2]S1!E882</f>
        <v>200</v>
      </c>
      <c r="F881" s="26">
        <f>[2]S1!F882</f>
        <v>0</v>
      </c>
      <c r="G881" s="22">
        <f>[2]S1!G882</f>
        <v>0</v>
      </c>
      <c r="H881" s="22">
        <f>[2]S1!H882</f>
        <v>0</v>
      </c>
      <c r="I881" s="22">
        <f>[2]S1!I882</f>
        <v>0</v>
      </c>
      <c r="J881" s="13">
        <f>[2]S1!J882</f>
        <v>0</v>
      </c>
      <c r="K881" s="19">
        <f>[2]S1!K882</f>
        <v>200</v>
      </c>
      <c r="L881" s="52">
        <f>[2]S1!L882</f>
        <v>0</v>
      </c>
      <c r="M881" s="58">
        <f>[2]S1!M882</f>
        <v>0</v>
      </c>
      <c r="N881" s="49">
        <f>[2]S1!P882</f>
        <v>9351427021</v>
      </c>
      <c r="O881" s="14"/>
    </row>
    <row r="882" spans="1:15" x14ac:dyDescent="0.3">
      <c r="A882" s="11">
        <v>3929</v>
      </c>
      <c r="B882" s="12" t="str">
        <f>[3]Name!E2933</f>
        <v>Ritu Kumari Ladna</v>
      </c>
      <c r="C882" s="13">
        <f>[2]S1!C883</f>
        <v>2000</v>
      </c>
      <c r="D882" s="13">
        <f>[2]S1!D883</f>
        <v>0</v>
      </c>
      <c r="E882" s="26">
        <f>[2]S1!E883</f>
        <v>200</v>
      </c>
      <c r="F882" s="26">
        <f>[2]S1!F883</f>
        <v>0</v>
      </c>
      <c r="G882" s="22">
        <f>[2]S1!G883</f>
        <v>0</v>
      </c>
      <c r="H882" s="22">
        <f>[2]S1!H883</f>
        <v>0</v>
      </c>
      <c r="I882" s="22">
        <f>[2]S1!I883</f>
        <v>0</v>
      </c>
      <c r="J882" s="13">
        <f>[2]S1!J883</f>
        <v>0</v>
      </c>
      <c r="K882" s="19">
        <f>[2]S1!K883</f>
        <v>200</v>
      </c>
      <c r="L882" s="52">
        <f>[2]S1!L883</f>
        <v>0</v>
      </c>
      <c r="M882" s="58">
        <f>[2]S1!M883</f>
        <v>0</v>
      </c>
      <c r="N882" s="49">
        <f>[2]S1!P883</f>
        <v>9352540044</v>
      </c>
      <c r="O882" s="14"/>
    </row>
    <row r="883" spans="1:15" x14ac:dyDescent="0.3">
      <c r="A883" s="11">
        <v>3930</v>
      </c>
      <c r="B883" s="12" t="str">
        <f>[3]Name!E2934</f>
        <v>Urmila Kumari Ladna</v>
      </c>
      <c r="C883" s="13">
        <f>[2]S1!C884</f>
        <v>2000</v>
      </c>
      <c r="D883" s="13">
        <f>[2]S1!D884</f>
        <v>0</v>
      </c>
      <c r="E883" s="26">
        <f>[2]S1!E884</f>
        <v>200</v>
      </c>
      <c r="F883" s="26">
        <f>[2]S1!F884</f>
        <v>0</v>
      </c>
      <c r="G883" s="22">
        <f>[2]S1!G884</f>
        <v>0</v>
      </c>
      <c r="H883" s="22">
        <f>[2]S1!H884</f>
        <v>0</v>
      </c>
      <c r="I883" s="22">
        <f>[2]S1!I884</f>
        <v>0</v>
      </c>
      <c r="J883" s="13">
        <f>[2]S1!J884</f>
        <v>0</v>
      </c>
      <c r="K883" s="19">
        <f>[2]S1!K884</f>
        <v>200</v>
      </c>
      <c r="L883" s="52">
        <f>[2]S1!L884</f>
        <v>0</v>
      </c>
      <c r="M883" s="58">
        <f>[2]S1!M884</f>
        <v>0</v>
      </c>
      <c r="N883" s="49">
        <f>[2]S1!P884</f>
        <v>9352540044</v>
      </c>
      <c r="O883" s="14"/>
    </row>
    <row r="884" spans="1:15" x14ac:dyDescent="0.3">
      <c r="A884" s="11">
        <v>3931</v>
      </c>
      <c r="B884" s="12" t="str">
        <f>[3]Name!E2935</f>
        <v>Sankar Lal Ladna</v>
      </c>
      <c r="C884" s="13">
        <f>[2]S1!C885</f>
        <v>2000</v>
      </c>
      <c r="D884" s="13">
        <f>[2]S1!D885</f>
        <v>0</v>
      </c>
      <c r="E884" s="26">
        <f>[2]S1!E885</f>
        <v>200</v>
      </c>
      <c r="F884" s="26">
        <f>[2]S1!F885</f>
        <v>0</v>
      </c>
      <c r="G884" s="22">
        <f>[2]S1!G885</f>
        <v>2000</v>
      </c>
      <c r="H884" s="22">
        <f>[2]S1!H885</f>
        <v>0</v>
      </c>
      <c r="I884" s="22">
        <f>[2]S1!I885</f>
        <v>160</v>
      </c>
      <c r="J884" s="13">
        <f>[2]S1!J885</f>
        <v>0</v>
      </c>
      <c r="K884" s="19">
        <f>[2]S1!K885</f>
        <v>2360</v>
      </c>
      <c r="L884" s="52">
        <f>[2]S1!L885</f>
        <v>16000</v>
      </c>
      <c r="M884" s="58">
        <f>[2]S1!M885</f>
        <v>3</v>
      </c>
      <c r="N884" s="49">
        <f>[2]S1!P885</f>
        <v>9352540044</v>
      </c>
      <c r="O884" s="14"/>
    </row>
    <row r="885" spans="1:15" x14ac:dyDescent="0.3">
      <c r="A885" s="11">
        <v>3932</v>
      </c>
      <c r="B885" s="12" t="str">
        <f>[3]Name!E2936</f>
        <v>Rampul Budgaya</v>
      </c>
      <c r="C885" s="13">
        <f>[2]S1!C886</f>
        <v>1500</v>
      </c>
      <c r="D885" s="13">
        <f>[2]S1!D886</f>
        <v>0</v>
      </c>
      <c r="E885" s="26">
        <f>[2]S1!E886</f>
        <v>0</v>
      </c>
      <c r="F885" s="26">
        <f>[2]S1!F886</f>
        <v>0</v>
      </c>
      <c r="G885" s="22">
        <f>[2]S1!G886</f>
        <v>607</v>
      </c>
      <c r="H885" s="22">
        <f>[2]S1!H886</f>
        <v>0</v>
      </c>
      <c r="I885" s="22">
        <f>[2]S1!I886</f>
        <v>291</v>
      </c>
      <c r="J885" s="13">
        <f>[2]S1!J886</f>
        <v>0</v>
      </c>
      <c r="K885" s="19">
        <f>[2]S1!K886</f>
        <v>898</v>
      </c>
      <c r="L885" s="52">
        <f>[2]S1!L886</f>
        <v>29107</v>
      </c>
      <c r="M885" s="58">
        <f>[2]S1!M886</f>
        <v>1</v>
      </c>
      <c r="N885" s="49">
        <f>[2]S1!P886</f>
        <v>7742957778</v>
      </c>
      <c r="O885" s="14"/>
    </row>
    <row r="886" spans="1:15" x14ac:dyDescent="0.3">
      <c r="A886" s="11">
        <v>3933</v>
      </c>
      <c r="B886" s="12" t="str">
        <f>[3]Name!E2937</f>
        <v>Chigan Lal Mahich</v>
      </c>
      <c r="C886" s="13">
        <f>[2]S1!C887</f>
        <v>0</v>
      </c>
      <c r="D886" s="13">
        <f>[2]S1!D887</f>
        <v>0</v>
      </c>
      <c r="E886" s="26">
        <f>[2]S1!E887</f>
        <v>200</v>
      </c>
      <c r="F886" s="26">
        <f>[2]S1!F887</f>
        <v>0</v>
      </c>
      <c r="G886" s="22">
        <f>[2]S1!G887</f>
        <v>0</v>
      </c>
      <c r="H886" s="22">
        <f>[2]S1!H887</f>
        <v>0</v>
      </c>
      <c r="I886" s="22">
        <f>[2]S1!I887</f>
        <v>180</v>
      </c>
      <c r="J886" s="13">
        <f>[2]S1!J887</f>
        <v>0</v>
      </c>
      <c r="K886" s="19">
        <f>[2]S1!K887</f>
        <v>380</v>
      </c>
      <c r="L886" s="52">
        <f>[2]S1!L887</f>
        <v>18000</v>
      </c>
      <c r="M886" s="58">
        <f>[2]S1!M887</f>
        <v>1</v>
      </c>
      <c r="N886" s="49">
        <f>[2]S1!P887</f>
        <v>9461038259</v>
      </c>
      <c r="O886" s="14"/>
    </row>
    <row r="887" spans="1:15" x14ac:dyDescent="0.3">
      <c r="A887" s="11">
        <v>3934</v>
      </c>
      <c r="B887" s="12" t="str">
        <f>[3]Name!E2938</f>
        <v>Himansu Mahich</v>
      </c>
      <c r="C887" s="13">
        <f>[2]S1!C888</f>
        <v>0</v>
      </c>
      <c r="D887" s="13">
        <f>[2]S1!D888</f>
        <v>0</v>
      </c>
      <c r="E887" s="26">
        <f>[2]S1!E888</f>
        <v>200</v>
      </c>
      <c r="F887" s="26">
        <f>[2]S1!F888</f>
        <v>0</v>
      </c>
      <c r="G887" s="22">
        <f>[2]S1!G888</f>
        <v>0</v>
      </c>
      <c r="H887" s="22">
        <f>[2]S1!H888</f>
        <v>0</v>
      </c>
      <c r="I887" s="22">
        <f>[2]S1!I888</f>
        <v>180</v>
      </c>
      <c r="J887" s="13">
        <f>[2]S1!J888</f>
        <v>0</v>
      </c>
      <c r="K887" s="19">
        <f>[2]S1!K888</f>
        <v>380</v>
      </c>
      <c r="L887" s="52">
        <f>[2]S1!L888</f>
        <v>18000</v>
      </c>
      <c r="M887" s="58">
        <f>[2]S1!M888</f>
        <v>1</v>
      </c>
      <c r="N887" s="49">
        <f>[2]S1!P888</f>
        <v>9461038259</v>
      </c>
      <c r="O887" s="14"/>
    </row>
    <row r="888" spans="1:15" x14ac:dyDescent="0.3">
      <c r="A888" s="11">
        <v>3935</v>
      </c>
      <c r="B888" s="12" t="str">
        <f>[3]Name!E2939</f>
        <v>Krisnaa Mahich</v>
      </c>
      <c r="C888" s="13">
        <f>[2]S1!C889</f>
        <v>0</v>
      </c>
      <c r="D888" s="13">
        <f>[2]S1!D889</f>
        <v>0</v>
      </c>
      <c r="E888" s="26">
        <f>[2]S1!E889</f>
        <v>200</v>
      </c>
      <c r="F888" s="26">
        <f>[2]S1!F889</f>
        <v>0</v>
      </c>
      <c r="G888" s="22">
        <f>[2]S1!G889</f>
        <v>0</v>
      </c>
      <c r="H888" s="22">
        <f>[2]S1!H889</f>
        <v>0</v>
      </c>
      <c r="I888" s="22">
        <f>[2]S1!I889</f>
        <v>180</v>
      </c>
      <c r="J888" s="13">
        <f>[2]S1!J889</f>
        <v>0</v>
      </c>
      <c r="K888" s="19">
        <f>[2]S1!K889</f>
        <v>380</v>
      </c>
      <c r="L888" s="52">
        <f>[2]S1!L889</f>
        <v>18000</v>
      </c>
      <c r="M888" s="58">
        <f>[2]S1!M889</f>
        <v>1</v>
      </c>
      <c r="N888" s="49">
        <f>[2]S1!P889</f>
        <v>9461038259</v>
      </c>
      <c r="O888" s="14"/>
    </row>
    <row r="889" spans="1:15" x14ac:dyDescent="0.3">
      <c r="A889" s="11">
        <v>3936</v>
      </c>
      <c r="B889" s="12" t="str">
        <f>[3]Name!E2940</f>
        <v>Puja Kumari Varma</v>
      </c>
      <c r="C889" s="13">
        <f>[2]S1!C890</f>
        <v>1000</v>
      </c>
      <c r="D889" s="13">
        <f>[2]S1!D890</f>
        <v>0</v>
      </c>
      <c r="E889" s="26">
        <f>[2]S1!E890</f>
        <v>200</v>
      </c>
      <c r="F889" s="26">
        <f>[2]S1!F890</f>
        <v>0</v>
      </c>
      <c r="G889" s="22">
        <f>[2]S1!G890</f>
        <v>1</v>
      </c>
      <c r="H889" s="22">
        <f>[2]S1!H890</f>
        <v>0</v>
      </c>
      <c r="I889" s="22">
        <f>[2]S1!I890</f>
        <v>130</v>
      </c>
      <c r="J889" s="13">
        <f>[2]S1!J890</f>
        <v>0</v>
      </c>
      <c r="K889" s="19">
        <f>[2]S1!K890</f>
        <v>331</v>
      </c>
      <c r="L889" s="52">
        <f>[2]S1!L890</f>
        <v>13001</v>
      </c>
      <c r="M889" s="58">
        <f>[2]S1!M890</f>
        <v>7</v>
      </c>
      <c r="N889" s="49">
        <f>[2]S1!P890</f>
        <v>8824990821</v>
      </c>
      <c r="O889" s="14"/>
    </row>
    <row r="890" spans="1:15" x14ac:dyDescent="0.3">
      <c r="A890" s="11">
        <v>3937</v>
      </c>
      <c r="B890" s="12" t="str">
        <f>[3]Name!E2941</f>
        <v>Jiya Kumari Varma</v>
      </c>
      <c r="C890" s="13">
        <f>[2]S1!C891</f>
        <v>1000</v>
      </c>
      <c r="D890" s="13">
        <f>[2]S1!D891</f>
        <v>0</v>
      </c>
      <c r="E890" s="26">
        <f>[2]S1!E891</f>
        <v>200</v>
      </c>
      <c r="F890" s="26">
        <f>[2]S1!F891</f>
        <v>0</v>
      </c>
      <c r="G890" s="22">
        <f>[2]S1!G891</f>
        <v>0</v>
      </c>
      <c r="H890" s="22">
        <f>[2]S1!H891</f>
        <v>0</v>
      </c>
      <c r="I890" s="22">
        <f>[2]S1!I891</f>
        <v>0</v>
      </c>
      <c r="J890" s="13">
        <f>[2]S1!J891</f>
        <v>0</v>
      </c>
      <c r="K890" s="19">
        <f>[2]S1!K891</f>
        <v>200</v>
      </c>
      <c r="L890" s="52">
        <f>[2]S1!L891</f>
        <v>0</v>
      </c>
      <c r="M890" s="58">
        <f>[2]S1!M891</f>
        <v>0</v>
      </c>
      <c r="N890" s="49">
        <f>[2]S1!P891</f>
        <v>8824990821</v>
      </c>
      <c r="O890" s="14"/>
    </row>
    <row r="891" spans="1:15" x14ac:dyDescent="0.3">
      <c r="A891" s="11">
        <v>3938</v>
      </c>
      <c r="B891" s="12" t="str">
        <f>[3]Name!E2942</f>
        <v>Mamata Devi Rathi</v>
      </c>
      <c r="C891" s="13">
        <f>[2]S1!C892</f>
        <v>1000</v>
      </c>
      <c r="D891" s="13">
        <f>[2]S1!D892</f>
        <v>0</v>
      </c>
      <c r="E891" s="26">
        <f>[2]S1!E892</f>
        <v>200</v>
      </c>
      <c r="F891" s="26">
        <f>[2]S1!F892</f>
        <v>0</v>
      </c>
      <c r="G891" s="22">
        <f>[2]S1!G892</f>
        <v>0</v>
      </c>
      <c r="H891" s="22">
        <f>[2]S1!H892</f>
        <v>0</v>
      </c>
      <c r="I891" s="22">
        <f>[2]S1!I892</f>
        <v>74</v>
      </c>
      <c r="J891" s="13">
        <f>[2]S1!J892</f>
        <v>0</v>
      </c>
      <c r="K891" s="19">
        <f>[2]S1!K892</f>
        <v>274</v>
      </c>
      <c r="L891" s="52">
        <f>[2]S1!L892</f>
        <v>7374</v>
      </c>
      <c r="M891" s="58">
        <f>[2]S1!M892</f>
        <v>10</v>
      </c>
      <c r="N891" s="49">
        <f>[2]S1!P892</f>
        <v>9928410700</v>
      </c>
      <c r="O891" s="14"/>
    </row>
    <row r="892" spans="1:15" x14ac:dyDescent="0.3">
      <c r="A892" s="11">
        <v>3939</v>
      </c>
      <c r="B892" s="12" t="str">
        <f>[3]Name!E2943</f>
        <v>Ram Lal Bunkar</v>
      </c>
      <c r="C892" s="13">
        <f>[2]S1!C893</f>
        <v>1000</v>
      </c>
      <c r="D892" s="13">
        <f>[2]S1!D893</f>
        <v>0</v>
      </c>
      <c r="E892" s="26">
        <f>[2]S1!E893</f>
        <v>200</v>
      </c>
      <c r="F892" s="26">
        <f>[2]S1!F893</f>
        <v>0</v>
      </c>
      <c r="G892" s="22">
        <f>[2]S1!G893</f>
        <v>1000</v>
      </c>
      <c r="H892" s="22">
        <f>[2]S1!H893</f>
        <v>0</v>
      </c>
      <c r="I892" s="22">
        <f>[2]S1!I893</f>
        <v>150</v>
      </c>
      <c r="J892" s="13">
        <f>[2]S1!J893</f>
        <v>0</v>
      </c>
      <c r="K892" s="19">
        <f>[2]S1!K893</f>
        <v>1350</v>
      </c>
      <c r="L892" s="52">
        <f>[2]S1!L893</f>
        <v>15000</v>
      </c>
      <c r="M892" s="58">
        <f>[2]S1!M893</f>
        <v>6</v>
      </c>
      <c r="N892" s="49">
        <f>[2]S1!P893</f>
        <v>9799626367</v>
      </c>
      <c r="O892" s="14"/>
    </row>
    <row r="893" spans="1:15" x14ac:dyDescent="0.3">
      <c r="A893" s="11">
        <v>3940</v>
      </c>
      <c r="B893" s="12" t="str">
        <f>[3]Name!E2944</f>
        <v>Mira</v>
      </c>
      <c r="C893" s="13">
        <f>[2]S1!C894</f>
        <v>0</v>
      </c>
      <c r="D893" s="13">
        <f>[2]S1!D894</f>
        <v>0</v>
      </c>
      <c r="E893" s="26">
        <f>[2]S1!E894</f>
        <v>200</v>
      </c>
      <c r="F893" s="26">
        <f>[2]S1!F894</f>
        <v>0</v>
      </c>
      <c r="G893" s="22">
        <f>[2]S1!G894</f>
        <v>0</v>
      </c>
      <c r="H893" s="22">
        <f>[2]S1!H894</f>
        <v>0</v>
      </c>
      <c r="I893" s="22">
        <f>[2]S1!I894</f>
        <v>0</v>
      </c>
      <c r="J893" s="13">
        <f>[2]S1!J894</f>
        <v>0</v>
      </c>
      <c r="K893" s="19">
        <f>[2]S1!K894</f>
        <v>200</v>
      </c>
      <c r="L893" s="52">
        <f>[2]S1!L894</f>
        <v>0</v>
      </c>
      <c r="M893" s="58">
        <f>[2]S1!M894</f>
        <v>0</v>
      </c>
      <c r="N893" s="49">
        <f>[2]S1!P894</f>
        <v>9799626367</v>
      </c>
      <c r="O893" s="14"/>
    </row>
    <row r="894" spans="1:15" x14ac:dyDescent="0.3">
      <c r="A894" s="11">
        <v>3941</v>
      </c>
      <c r="B894" s="12" t="str">
        <f>[3]Name!E2945</f>
        <v>Anjali</v>
      </c>
      <c r="C894" s="13">
        <f>[2]S1!C895</f>
        <v>1000</v>
      </c>
      <c r="D894" s="13">
        <f>[2]S1!D895</f>
        <v>0</v>
      </c>
      <c r="E894" s="26">
        <f>[2]S1!E895</f>
        <v>200</v>
      </c>
      <c r="F894" s="26">
        <f>[2]S1!F895</f>
        <v>0</v>
      </c>
      <c r="G894" s="22">
        <f>[2]S1!G895</f>
        <v>0</v>
      </c>
      <c r="H894" s="22">
        <f>[2]S1!H895</f>
        <v>0</v>
      </c>
      <c r="I894" s="22">
        <f>[2]S1!I895</f>
        <v>124</v>
      </c>
      <c r="J894" s="13">
        <f>[2]S1!J895</f>
        <v>0</v>
      </c>
      <c r="K894" s="19">
        <f>[2]S1!K895</f>
        <v>324</v>
      </c>
      <c r="L894" s="52">
        <f>[2]S1!L895</f>
        <v>12392</v>
      </c>
      <c r="M894" s="58">
        <f>[2]S1!M895</f>
        <v>6</v>
      </c>
      <c r="N894" s="49">
        <f>[2]S1!P895</f>
        <v>9799626367</v>
      </c>
      <c r="O894" s="14"/>
    </row>
    <row r="895" spans="1:15" x14ac:dyDescent="0.3">
      <c r="A895" s="11">
        <v>3942</v>
      </c>
      <c r="B895" s="12" t="str">
        <f>[3]Name!E2946</f>
        <v>Sonika Devi Bunkar</v>
      </c>
      <c r="C895" s="13">
        <f>[2]S1!C896</f>
        <v>0</v>
      </c>
      <c r="D895" s="13">
        <f>[2]S1!D896</f>
        <v>0</v>
      </c>
      <c r="E895" s="26">
        <f>[2]S1!E896</f>
        <v>190</v>
      </c>
      <c r="F895" s="26">
        <f>[2]S1!F896</f>
        <v>0</v>
      </c>
      <c r="G895" s="22">
        <f>[2]S1!G896</f>
        <v>0</v>
      </c>
      <c r="H895" s="22">
        <f>[2]S1!H896</f>
        <v>0</v>
      </c>
      <c r="I895" s="22">
        <f>[2]S1!I896</f>
        <v>0</v>
      </c>
      <c r="J895" s="13">
        <f>[2]S1!J896</f>
        <v>0</v>
      </c>
      <c r="K895" s="19">
        <f>[2]S1!K896</f>
        <v>190</v>
      </c>
      <c r="L895" s="52">
        <f>[2]S1!L896</f>
        <v>-1207</v>
      </c>
      <c r="M895" s="58">
        <f>[2]S1!M896</f>
        <v>2</v>
      </c>
      <c r="N895" s="49">
        <f>[2]S1!P896</f>
        <v>9772972215</v>
      </c>
      <c r="O895" s="14"/>
    </row>
    <row r="896" spans="1:15" x14ac:dyDescent="0.3">
      <c r="A896" s="11">
        <v>3943</v>
      </c>
      <c r="B896" s="12" t="str">
        <f>[3]Name!E2947</f>
        <v>Vinod Kumar Varma</v>
      </c>
      <c r="C896" s="13">
        <f>[2]S1!C897</f>
        <v>1000</v>
      </c>
      <c r="D896" s="13">
        <f>[2]S1!D897</f>
        <v>0</v>
      </c>
      <c r="E896" s="26">
        <f>[2]S1!E897</f>
        <v>200</v>
      </c>
      <c r="F896" s="26">
        <f>[2]S1!F897</f>
        <v>0</v>
      </c>
      <c r="G896" s="22">
        <f>[2]S1!G897</f>
        <v>313</v>
      </c>
      <c r="H896" s="22">
        <f>[2]S1!H897</f>
        <v>0</v>
      </c>
      <c r="I896" s="22">
        <f>[2]S1!I897</f>
        <v>63</v>
      </c>
      <c r="J896" s="13">
        <f>[2]S1!J897</f>
        <v>0</v>
      </c>
      <c r="K896" s="19">
        <f>[2]S1!K897</f>
        <v>576</v>
      </c>
      <c r="L896" s="52">
        <f>[2]S1!L897</f>
        <v>6313</v>
      </c>
      <c r="M896" s="58">
        <f>[2]S1!M897</f>
        <v>14</v>
      </c>
      <c r="N896" s="49">
        <f>[2]S1!P897</f>
        <v>9887981709</v>
      </c>
      <c r="O896" s="14"/>
    </row>
    <row r="897" spans="1:15" x14ac:dyDescent="0.3">
      <c r="A897" s="11">
        <v>3944</v>
      </c>
      <c r="B897" s="12" t="str">
        <f>[3]Name!E2948</f>
        <v>Banvari Lal Bunakar</v>
      </c>
      <c r="C897" s="13">
        <f>[2]S1!C898</f>
        <v>1000</v>
      </c>
      <c r="D897" s="13">
        <f>[2]S1!D898</f>
        <v>0</v>
      </c>
      <c r="E897" s="26">
        <f>[2]S1!E898</f>
        <v>200</v>
      </c>
      <c r="F897" s="26">
        <f>[2]S1!F898</f>
        <v>0</v>
      </c>
      <c r="G897" s="22">
        <f>[2]S1!G898</f>
        <v>1000</v>
      </c>
      <c r="H897" s="22">
        <f>[2]S1!H898</f>
        <v>0</v>
      </c>
      <c r="I897" s="22">
        <f>[2]S1!I898</f>
        <v>60</v>
      </c>
      <c r="J897" s="13">
        <f>[2]S1!J898</f>
        <v>0</v>
      </c>
      <c r="K897" s="19">
        <f>[2]S1!K898</f>
        <v>1260</v>
      </c>
      <c r="L897" s="52">
        <f>[2]S1!L898</f>
        <v>6000</v>
      </c>
      <c r="M897" s="58">
        <f>[2]S1!M898</f>
        <v>15</v>
      </c>
      <c r="N897" s="49">
        <f>[2]S1!P898</f>
        <v>8209131043</v>
      </c>
      <c r="O897" s="14"/>
    </row>
    <row r="898" spans="1:15" x14ac:dyDescent="0.3">
      <c r="A898" s="11">
        <v>3945</v>
      </c>
      <c r="B898" s="12" t="str">
        <f>[3]Name!E2949</f>
        <v>Ramsvrup Bunakar</v>
      </c>
      <c r="C898" s="13">
        <f>[2]S1!C899</f>
        <v>1000</v>
      </c>
      <c r="D898" s="13">
        <f>[2]S1!D899</f>
        <v>0</v>
      </c>
      <c r="E898" s="26">
        <f>[2]S1!E899</f>
        <v>200</v>
      </c>
      <c r="F898" s="26">
        <f>[2]S1!F899</f>
        <v>0</v>
      </c>
      <c r="G898" s="22">
        <f>[2]S1!G899</f>
        <v>1000</v>
      </c>
      <c r="H898" s="22">
        <f>[2]S1!H899</f>
        <v>0</v>
      </c>
      <c r="I898" s="22">
        <f>[2]S1!I899</f>
        <v>60</v>
      </c>
      <c r="J898" s="13">
        <f>[2]S1!J899</f>
        <v>0</v>
      </c>
      <c r="K898" s="19">
        <f>[2]S1!K899</f>
        <v>1260</v>
      </c>
      <c r="L898" s="52">
        <f>[2]S1!L899</f>
        <v>6000</v>
      </c>
      <c r="M898" s="58">
        <f>[2]S1!M899</f>
        <v>15</v>
      </c>
      <c r="N898" s="49">
        <f>[2]S1!P899</f>
        <v>8209131043</v>
      </c>
      <c r="O898" s="14"/>
    </row>
    <row r="899" spans="1:15" x14ac:dyDescent="0.3">
      <c r="A899" s="11">
        <v>3946</v>
      </c>
      <c r="B899" s="12" t="str">
        <f>[3]Name!E2950</f>
        <v>Om Prakash Bagadi</v>
      </c>
      <c r="C899" s="13">
        <f>[2]S1!C900</f>
        <v>1000</v>
      </c>
      <c r="D899" s="13">
        <f>[2]S1!D900</f>
        <v>0</v>
      </c>
      <c r="E899" s="26">
        <f>[2]S1!E900</f>
        <v>200</v>
      </c>
      <c r="F899" s="26">
        <f>[2]S1!F900</f>
        <v>0</v>
      </c>
      <c r="G899" s="22">
        <f>[2]S1!G900</f>
        <v>0</v>
      </c>
      <c r="H899" s="22">
        <f>[2]S1!H900</f>
        <v>0</v>
      </c>
      <c r="I899" s="22">
        <f>[2]S1!I900</f>
        <v>0</v>
      </c>
      <c r="J899" s="13">
        <f>[2]S1!J900</f>
        <v>0</v>
      </c>
      <c r="K899" s="19">
        <f>[2]S1!K900</f>
        <v>200</v>
      </c>
      <c r="L899" s="52">
        <f>[2]S1!L900</f>
        <v>0</v>
      </c>
      <c r="M899" s="58">
        <f>[2]S1!M900</f>
        <v>0</v>
      </c>
      <c r="N899" s="49">
        <f>[2]S1!P900</f>
        <v>9602489968</v>
      </c>
      <c r="O899" s="14"/>
    </row>
    <row r="900" spans="1:15" x14ac:dyDescent="0.3">
      <c r="A900" s="11">
        <v>3947</v>
      </c>
      <c r="B900" s="12" t="str">
        <f>[3]Name!E2951</f>
        <v>Mmata devi Bagadi</v>
      </c>
      <c r="C900" s="13">
        <f>[2]S1!C901</f>
        <v>1000</v>
      </c>
      <c r="D900" s="13">
        <f>[2]S1!D901</f>
        <v>0</v>
      </c>
      <c r="E900" s="26">
        <f>[2]S1!E901</f>
        <v>200</v>
      </c>
      <c r="F900" s="26">
        <f>[2]S1!F901</f>
        <v>0</v>
      </c>
      <c r="G900" s="22">
        <f>[2]S1!G901</f>
        <v>0</v>
      </c>
      <c r="H900" s="22">
        <f>[2]S1!H901</f>
        <v>0</v>
      </c>
      <c r="I900" s="22">
        <f>[2]S1!I901</f>
        <v>0</v>
      </c>
      <c r="J900" s="13">
        <f>[2]S1!J901</f>
        <v>0</v>
      </c>
      <c r="K900" s="19">
        <f>[2]S1!K901</f>
        <v>200</v>
      </c>
      <c r="L900" s="52">
        <f>[2]S1!L901</f>
        <v>0</v>
      </c>
      <c r="M900" s="58">
        <f>[2]S1!M901</f>
        <v>0</v>
      </c>
      <c r="N900" s="49">
        <f>[2]S1!P901</f>
        <v>9602489968</v>
      </c>
      <c r="O900" s="14"/>
    </row>
    <row r="901" spans="1:15" x14ac:dyDescent="0.3">
      <c r="A901" s="11">
        <v>3948</v>
      </c>
      <c r="B901" s="12" t="str">
        <f>[3]Name!E2952</f>
        <v>Gotam</v>
      </c>
      <c r="C901" s="13">
        <f>[2]S1!C902</f>
        <v>0</v>
      </c>
      <c r="D901" s="13">
        <f>[2]S1!D902</f>
        <v>0</v>
      </c>
      <c r="E901" s="26">
        <f>[2]S1!E902</f>
        <v>200</v>
      </c>
      <c r="F901" s="26">
        <f>[2]S1!F902</f>
        <v>0</v>
      </c>
      <c r="G901" s="22">
        <f>[2]S1!G902</f>
        <v>0</v>
      </c>
      <c r="H901" s="22">
        <f>[2]S1!H902</f>
        <v>0</v>
      </c>
      <c r="I901" s="22">
        <f>[2]S1!I902</f>
        <v>0</v>
      </c>
      <c r="J901" s="13">
        <f>[2]S1!J902</f>
        <v>0</v>
      </c>
      <c r="K901" s="19">
        <f>[2]S1!K902</f>
        <v>200</v>
      </c>
      <c r="L901" s="52">
        <f>[2]S1!L902</f>
        <v>0</v>
      </c>
      <c r="M901" s="58">
        <f>[2]S1!M902</f>
        <v>0</v>
      </c>
      <c r="N901" s="49">
        <f>[2]S1!P902</f>
        <v>9351427021</v>
      </c>
      <c r="O901" s="14"/>
    </row>
    <row r="902" spans="1:15" x14ac:dyDescent="0.3">
      <c r="A902" s="11">
        <v>3949</v>
      </c>
      <c r="B902" s="12" t="str">
        <f>[3]Name!E2953</f>
        <v>Akit</v>
      </c>
      <c r="C902" s="13">
        <f>[2]S1!C903</f>
        <v>0</v>
      </c>
      <c r="D902" s="13">
        <f>[2]S1!D903</f>
        <v>0</v>
      </c>
      <c r="E902" s="26">
        <f>[2]S1!E903</f>
        <v>200</v>
      </c>
      <c r="F902" s="26">
        <f>[2]S1!F903</f>
        <v>0</v>
      </c>
      <c r="G902" s="22">
        <f>[2]S1!G903</f>
        <v>0</v>
      </c>
      <c r="H902" s="22">
        <f>[2]S1!H903</f>
        <v>0</v>
      </c>
      <c r="I902" s="22">
        <f>[2]S1!I903</f>
        <v>0</v>
      </c>
      <c r="J902" s="13">
        <f>[2]S1!J903</f>
        <v>0</v>
      </c>
      <c r="K902" s="19">
        <f>[2]S1!K903</f>
        <v>200</v>
      </c>
      <c r="L902" s="52">
        <f>[2]S1!L903</f>
        <v>0</v>
      </c>
      <c r="M902" s="58">
        <f>[2]S1!M903</f>
        <v>0</v>
      </c>
      <c r="N902" s="49">
        <f>[2]S1!P903</f>
        <v>9351427021</v>
      </c>
      <c r="O902" s="14"/>
    </row>
    <row r="903" spans="1:15" x14ac:dyDescent="0.3">
      <c r="A903" s="11">
        <v>3950</v>
      </c>
      <c r="B903" s="12" t="str">
        <f>[3]Name!E2954</f>
        <v>Ram Prasad Gotwal</v>
      </c>
      <c r="C903" s="13">
        <f>[2]S1!C904</f>
        <v>0</v>
      </c>
      <c r="D903" s="13">
        <f>[2]S1!D904</f>
        <v>0</v>
      </c>
      <c r="E903" s="26">
        <f>[2]S1!E904</f>
        <v>200</v>
      </c>
      <c r="F903" s="26">
        <f>[2]S1!F904</f>
        <v>0</v>
      </c>
      <c r="G903" s="22">
        <f>[2]S1!G904</f>
        <v>0</v>
      </c>
      <c r="H903" s="22">
        <f>[2]S1!H904</f>
        <v>0</v>
      </c>
      <c r="I903" s="22">
        <f>[2]S1!I904</f>
        <v>0</v>
      </c>
      <c r="J903" s="13">
        <f>[2]S1!J904</f>
        <v>0</v>
      </c>
      <c r="K903" s="19">
        <f>[2]S1!K904</f>
        <v>200</v>
      </c>
      <c r="L903" s="52">
        <f>[2]S1!L904</f>
        <v>0</v>
      </c>
      <c r="M903" s="58">
        <f>[2]S1!M904</f>
        <v>0</v>
      </c>
      <c r="N903" s="49">
        <f>[2]S1!P904</f>
        <v>7742515326</v>
      </c>
      <c r="O903" s="14"/>
    </row>
    <row r="904" spans="1:15" x14ac:dyDescent="0.3">
      <c r="A904" s="11">
        <v>3951</v>
      </c>
      <c r="B904" s="12" t="str">
        <f>[3]Name!E2955</f>
        <v>Mahir kumar Gotwal</v>
      </c>
      <c r="C904" s="13">
        <f>[2]S1!C905</f>
        <v>0</v>
      </c>
      <c r="D904" s="13">
        <f>[2]S1!D905</f>
        <v>0</v>
      </c>
      <c r="E904" s="26">
        <f>[2]S1!E905</f>
        <v>200</v>
      </c>
      <c r="F904" s="26">
        <f>[2]S1!F905</f>
        <v>0</v>
      </c>
      <c r="G904" s="22">
        <f>[2]S1!G905</f>
        <v>0</v>
      </c>
      <c r="H904" s="22">
        <f>[2]S1!H905</f>
        <v>0</v>
      </c>
      <c r="I904" s="22">
        <f>[2]S1!I905</f>
        <v>0</v>
      </c>
      <c r="J904" s="13">
        <f>[2]S1!J905</f>
        <v>0</v>
      </c>
      <c r="K904" s="19">
        <f>[2]S1!K905</f>
        <v>200</v>
      </c>
      <c r="L904" s="52">
        <f>[2]S1!L905</f>
        <v>0</v>
      </c>
      <c r="M904" s="58">
        <f>[2]S1!M905</f>
        <v>0</v>
      </c>
      <c r="N904" s="49">
        <f>[2]S1!P905</f>
        <v>7742515326</v>
      </c>
      <c r="O904" s="14"/>
    </row>
    <row r="905" spans="1:15" x14ac:dyDescent="0.3">
      <c r="A905" s="11">
        <v>3952</v>
      </c>
      <c r="B905" s="12" t="str">
        <f>[3]Name!E2956</f>
        <v>Deshdipak Bunkar</v>
      </c>
      <c r="C905" s="13">
        <f>[2]S1!C906</f>
        <v>1000</v>
      </c>
      <c r="D905" s="13">
        <f>[2]S1!D906</f>
        <v>0</v>
      </c>
      <c r="E905" s="26">
        <f>[2]S1!E906</f>
        <v>190</v>
      </c>
      <c r="F905" s="26">
        <f>[2]S1!F906</f>
        <v>0</v>
      </c>
      <c r="G905" s="22">
        <f>[2]S1!G906</f>
        <v>0</v>
      </c>
      <c r="H905" s="22">
        <f>[2]S1!H906</f>
        <v>0</v>
      </c>
      <c r="I905" s="22">
        <f>[2]S1!I906</f>
        <v>0</v>
      </c>
      <c r="J905" s="13">
        <f>[2]S1!J906</f>
        <v>0</v>
      </c>
      <c r="K905" s="19">
        <f>[2]S1!K906</f>
        <v>190</v>
      </c>
      <c r="L905" s="52">
        <f>[2]S1!L906</f>
        <v>0</v>
      </c>
      <c r="M905" s="58">
        <f>[2]S1!M906</f>
        <v>0</v>
      </c>
      <c r="N905" s="49">
        <f>[2]S1!P906</f>
        <v>9772266149</v>
      </c>
      <c r="O905" s="14"/>
    </row>
    <row r="906" spans="1:15" x14ac:dyDescent="0.3">
      <c r="A906" s="11">
        <v>3953</v>
      </c>
      <c r="B906" s="12" t="str">
        <f>[3]Name!E2957</f>
        <v>Priyanka Bunkar</v>
      </c>
      <c r="C906" s="13">
        <f>[2]S1!C907</f>
        <v>1000</v>
      </c>
      <c r="D906" s="13">
        <f>[2]S1!D907</f>
        <v>0</v>
      </c>
      <c r="E906" s="26">
        <f>[2]S1!E907</f>
        <v>200</v>
      </c>
      <c r="F906" s="26">
        <f>[2]S1!F907</f>
        <v>0</v>
      </c>
      <c r="G906" s="22">
        <f>[2]S1!G907</f>
        <v>0</v>
      </c>
      <c r="H906" s="22">
        <f>[2]S1!H907</f>
        <v>0</v>
      </c>
      <c r="I906" s="22">
        <f>[2]S1!I907</f>
        <v>0</v>
      </c>
      <c r="J906" s="13">
        <f>[2]S1!J907</f>
        <v>0</v>
      </c>
      <c r="K906" s="19">
        <f>[2]S1!K907</f>
        <v>200</v>
      </c>
      <c r="L906" s="52">
        <f>[2]S1!L907</f>
        <v>0</v>
      </c>
      <c r="M906" s="58">
        <f>[2]S1!M907</f>
        <v>0</v>
      </c>
      <c r="N906" s="49">
        <f>[2]S1!P907</f>
        <v>9772266149</v>
      </c>
      <c r="O906" s="14"/>
    </row>
    <row r="907" spans="1:15" x14ac:dyDescent="0.3">
      <c r="A907" s="11">
        <v>3954</v>
      </c>
      <c r="B907" s="12" t="str">
        <f>[3]Name!E2958</f>
        <v>Prahalad Ladana</v>
      </c>
      <c r="C907" s="13">
        <f>[2]S1!C908</f>
        <v>500</v>
      </c>
      <c r="D907" s="13">
        <f>[2]S1!D908</f>
        <v>0</v>
      </c>
      <c r="E907" s="26">
        <f>[2]S1!E908</f>
        <v>200</v>
      </c>
      <c r="F907" s="26">
        <f>[2]S1!F908</f>
        <v>0</v>
      </c>
      <c r="G907" s="22">
        <f>[2]S1!G908</f>
        <v>500</v>
      </c>
      <c r="H907" s="22">
        <f>[2]S1!H908</f>
        <v>0</v>
      </c>
      <c r="I907" s="22">
        <f>[2]S1!I908</f>
        <v>130</v>
      </c>
      <c r="J907" s="13">
        <f>[2]S1!J908</f>
        <v>0</v>
      </c>
      <c r="K907" s="19">
        <f>[2]S1!K908</f>
        <v>830</v>
      </c>
      <c r="L907" s="52">
        <f>[2]S1!L908</f>
        <v>13000</v>
      </c>
      <c r="M907" s="58">
        <f>[2]S1!M908</f>
        <v>15</v>
      </c>
      <c r="N907" s="49">
        <f>[2]S1!P908</f>
        <v>9828072198</v>
      </c>
      <c r="O907" s="14"/>
    </row>
    <row r="908" spans="1:15" x14ac:dyDescent="0.3">
      <c r="A908" s="11">
        <v>3955</v>
      </c>
      <c r="B908" s="12" t="str">
        <f>[3]Name!E2959</f>
        <v>Vimala Devi Ladana</v>
      </c>
      <c r="C908" s="13">
        <f>[2]S1!C909</f>
        <v>500</v>
      </c>
      <c r="D908" s="13">
        <f>[2]S1!D909</f>
        <v>0</v>
      </c>
      <c r="E908" s="26">
        <f>[2]S1!E909</f>
        <v>200</v>
      </c>
      <c r="F908" s="26">
        <f>[2]S1!F909</f>
        <v>0</v>
      </c>
      <c r="G908" s="22">
        <f>[2]S1!G909</f>
        <v>500</v>
      </c>
      <c r="H908" s="22">
        <f>[2]S1!H909</f>
        <v>0</v>
      </c>
      <c r="I908" s="22">
        <f>[2]S1!I909</f>
        <v>130</v>
      </c>
      <c r="J908" s="13">
        <f>[2]S1!J909</f>
        <v>0</v>
      </c>
      <c r="K908" s="19">
        <f>[2]S1!K909</f>
        <v>830</v>
      </c>
      <c r="L908" s="52">
        <f>[2]S1!L909</f>
        <v>13000</v>
      </c>
      <c r="M908" s="58">
        <f>[2]S1!M909</f>
        <v>15</v>
      </c>
      <c r="N908" s="49">
        <f>[2]S1!P909</f>
        <v>9828072198</v>
      </c>
      <c r="O908" s="14"/>
    </row>
    <row r="909" spans="1:15" x14ac:dyDescent="0.3">
      <c r="A909" s="11">
        <v>3956</v>
      </c>
      <c r="B909" s="12" t="str">
        <f>[3]Name!E2960</f>
        <v>Rukama Devi Khatti</v>
      </c>
      <c r="C909" s="13">
        <f>[2]S1!C910</f>
        <v>500</v>
      </c>
      <c r="D909" s="13">
        <f>[2]S1!D910</f>
        <v>0</v>
      </c>
      <c r="E909" s="26">
        <f>[2]S1!E910</f>
        <v>200</v>
      </c>
      <c r="F909" s="26">
        <f>[2]S1!F910</f>
        <v>0</v>
      </c>
      <c r="G909" s="22">
        <f>[2]S1!G910</f>
        <v>500</v>
      </c>
      <c r="H909" s="22">
        <f>[2]S1!H910</f>
        <v>0</v>
      </c>
      <c r="I909" s="22">
        <f>[2]S1!I910</f>
        <v>130</v>
      </c>
      <c r="J909" s="13">
        <f>[2]S1!J910</f>
        <v>0</v>
      </c>
      <c r="K909" s="19">
        <f>[2]S1!K910</f>
        <v>830</v>
      </c>
      <c r="L909" s="52">
        <f>[2]S1!L910</f>
        <v>13000</v>
      </c>
      <c r="M909" s="58">
        <f>[2]S1!M910</f>
        <v>15</v>
      </c>
      <c r="N909" s="49">
        <f>[2]S1!P910</f>
        <v>91667880643</v>
      </c>
      <c r="O909" s="14"/>
    </row>
    <row r="910" spans="1:15" x14ac:dyDescent="0.3">
      <c r="A910" s="11">
        <v>3957</v>
      </c>
      <c r="B910" s="12" t="str">
        <f>[3]Name!E2961</f>
        <v>Rajendr Khatti</v>
      </c>
      <c r="C910" s="13">
        <f>[2]S1!C911</f>
        <v>500</v>
      </c>
      <c r="D910" s="13">
        <f>[2]S1!D911</f>
        <v>0</v>
      </c>
      <c r="E910" s="26">
        <f>[2]S1!E911</f>
        <v>200</v>
      </c>
      <c r="F910" s="26">
        <f>[2]S1!F911</f>
        <v>0</v>
      </c>
      <c r="G910" s="22">
        <f>[2]S1!G911</f>
        <v>500</v>
      </c>
      <c r="H910" s="22">
        <f>[2]S1!H911</f>
        <v>0</v>
      </c>
      <c r="I910" s="22">
        <f>[2]S1!I911</f>
        <v>130</v>
      </c>
      <c r="J910" s="13">
        <f>[2]S1!J911</f>
        <v>0</v>
      </c>
      <c r="K910" s="19">
        <f>[2]S1!K911</f>
        <v>830</v>
      </c>
      <c r="L910" s="52">
        <f>[2]S1!L911</f>
        <v>13000</v>
      </c>
      <c r="M910" s="58">
        <f>[2]S1!M911</f>
        <v>15</v>
      </c>
      <c r="N910" s="49">
        <f>[2]S1!P911</f>
        <v>91667880643</v>
      </c>
      <c r="O910" s="14"/>
    </row>
    <row r="911" spans="1:15" x14ac:dyDescent="0.3">
      <c r="A911" s="11">
        <v>3958</v>
      </c>
      <c r="B911" s="12" t="str">
        <f>[3]Name!E2962</f>
        <v>Harinarayan Khatti</v>
      </c>
      <c r="C911" s="13">
        <f>[2]S1!C912</f>
        <v>500</v>
      </c>
      <c r="D911" s="13">
        <f>[2]S1!D912</f>
        <v>0</v>
      </c>
      <c r="E911" s="26">
        <f>[2]S1!E912</f>
        <v>200</v>
      </c>
      <c r="F911" s="26">
        <f>[2]S1!F912</f>
        <v>0</v>
      </c>
      <c r="G911" s="22">
        <f>[2]S1!G912</f>
        <v>500</v>
      </c>
      <c r="H911" s="22">
        <f>[2]S1!H912</f>
        <v>0</v>
      </c>
      <c r="I911" s="22">
        <f>[2]S1!I912</f>
        <v>130</v>
      </c>
      <c r="J911" s="13">
        <f>[2]S1!J912</f>
        <v>0</v>
      </c>
      <c r="K911" s="19">
        <f>[2]S1!K912</f>
        <v>830</v>
      </c>
      <c r="L911" s="52">
        <f>[2]S1!L912</f>
        <v>13000</v>
      </c>
      <c r="M911" s="58">
        <f>[2]S1!M912</f>
        <v>15</v>
      </c>
      <c r="N911" s="49">
        <f>[2]S1!P912</f>
        <v>91667880643</v>
      </c>
      <c r="O911" s="14"/>
    </row>
    <row r="912" spans="1:15" x14ac:dyDescent="0.3">
      <c r="A912" s="11">
        <v>3959</v>
      </c>
      <c r="B912" s="12" t="str">
        <f>[3]Name!E2963</f>
        <v>Ratan Lal Khatti</v>
      </c>
      <c r="C912" s="13">
        <f>[2]S1!C913</f>
        <v>500</v>
      </c>
      <c r="D912" s="13">
        <f>[2]S1!D913</f>
        <v>0</v>
      </c>
      <c r="E912" s="26">
        <f>[2]S1!E913</f>
        <v>200</v>
      </c>
      <c r="F912" s="26">
        <f>[2]S1!F913</f>
        <v>0</v>
      </c>
      <c r="G912" s="22">
        <f>[2]S1!G913</f>
        <v>500</v>
      </c>
      <c r="H912" s="22">
        <f>[2]S1!H913</f>
        <v>0</v>
      </c>
      <c r="I912" s="22">
        <f>[2]S1!I913</f>
        <v>130</v>
      </c>
      <c r="J912" s="13">
        <f>[2]S1!J913</f>
        <v>0</v>
      </c>
      <c r="K912" s="19">
        <f>[2]S1!K913</f>
        <v>830</v>
      </c>
      <c r="L912" s="52">
        <f>[2]S1!L913</f>
        <v>13000</v>
      </c>
      <c r="M912" s="58">
        <f>[2]S1!M913</f>
        <v>15</v>
      </c>
      <c r="N912" s="49">
        <f>[2]S1!P913</f>
        <v>91667880643</v>
      </c>
      <c r="O912" s="14"/>
    </row>
    <row r="913" spans="1:15" x14ac:dyDescent="0.3">
      <c r="A913" s="11">
        <v>3960</v>
      </c>
      <c r="B913" s="12" t="str">
        <f>[3]Name!E2964</f>
        <v>Maya Devi Khatti</v>
      </c>
      <c r="C913" s="13">
        <f>[2]S1!C914</f>
        <v>500</v>
      </c>
      <c r="D913" s="13">
        <f>[2]S1!D914</f>
        <v>0</v>
      </c>
      <c r="E913" s="26">
        <f>[2]S1!E914</f>
        <v>200</v>
      </c>
      <c r="F913" s="26">
        <f>[2]S1!F914</f>
        <v>0</v>
      </c>
      <c r="G913" s="22">
        <f>[2]S1!G914</f>
        <v>500</v>
      </c>
      <c r="H913" s="22">
        <f>[2]S1!H914</f>
        <v>0</v>
      </c>
      <c r="I913" s="22">
        <f>[2]S1!I914</f>
        <v>130</v>
      </c>
      <c r="J913" s="13">
        <f>[2]S1!J914</f>
        <v>0</v>
      </c>
      <c r="K913" s="19">
        <f>[2]S1!K914</f>
        <v>830</v>
      </c>
      <c r="L913" s="52">
        <f>[2]S1!L914</f>
        <v>13000</v>
      </c>
      <c r="M913" s="58">
        <f>[2]S1!M914</f>
        <v>15</v>
      </c>
      <c r="N913" s="49">
        <f>[2]S1!P914</f>
        <v>91667880643</v>
      </c>
      <c r="O913" s="14"/>
    </row>
    <row r="914" spans="1:15" x14ac:dyDescent="0.3">
      <c r="A914" s="11">
        <v>3961</v>
      </c>
      <c r="B914" s="12" t="str">
        <f>[3]Name!E2965</f>
        <v>Aadity Das Panda</v>
      </c>
      <c r="C914" s="13">
        <f>[2]S1!C915</f>
        <v>1000</v>
      </c>
      <c r="D914" s="13">
        <f>[2]S1!D915</f>
        <v>0</v>
      </c>
      <c r="E914" s="26">
        <f>[2]S1!E915</f>
        <v>200</v>
      </c>
      <c r="F914" s="26">
        <f>[2]S1!F915</f>
        <v>0</v>
      </c>
      <c r="G914" s="22">
        <f>[2]S1!G915</f>
        <v>1000</v>
      </c>
      <c r="H914" s="22">
        <f>[2]S1!H915</f>
        <v>0</v>
      </c>
      <c r="I914" s="22">
        <f>[2]S1!I915</f>
        <v>90</v>
      </c>
      <c r="J914" s="13">
        <f>[2]S1!J915</f>
        <v>0</v>
      </c>
      <c r="K914" s="19">
        <f>[2]S1!K915</f>
        <v>1290</v>
      </c>
      <c r="L914" s="52">
        <f>[2]S1!L915</f>
        <v>9000</v>
      </c>
      <c r="M914" s="58">
        <f>[2]S1!M915</f>
        <v>12</v>
      </c>
      <c r="N914" s="49">
        <f>[2]S1!P915</f>
        <v>9929216977</v>
      </c>
      <c r="O914" s="14"/>
    </row>
    <row r="915" spans="1:15" x14ac:dyDescent="0.3">
      <c r="A915" s="11">
        <v>3962</v>
      </c>
      <c r="B915" s="12" t="str">
        <f>[3]Name!E2966</f>
        <v>Susila Panda</v>
      </c>
      <c r="C915" s="13">
        <f>[2]S1!C916</f>
        <v>1000</v>
      </c>
      <c r="D915" s="13">
        <f>[2]S1!D916</f>
        <v>0</v>
      </c>
      <c r="E915" s="26">
        <f>[2]S1!E916</f>
        <v>200</v>
      </c>
      <c r="F915" s="26">
        <f>[2]S1!F916</f>
        <v>0</v>
      </c>
      <c r="G915" s="22">
        <f>[2]S1!G916</f>
        <v>1000</v>
      </c>
      <c r="H915" s="22">
        <f>[2]S1!H916</f>
        <v>0</v>
      </c>
      <c r="I915" s="22">
        <f>[2]S1!I916</f>
        <v>90</v>
      </c>
      <c r="J915" s="13">
        <f>[2]S1!J916</f>
        <v>0</v>
      </c>
      <c r="K915" s="19">
        <f>[2]S1!K916</f>
        <v>1290</v>
      </c>
      <c r="L915" s="52">
        <f>[2]S1!L916</f>
        <v>9000</v>
      </c>
      <c r="M915" s="58">
        <f>[2]S1!M916</f>
        <v>12</v>
      </c>
      <c r="N915" s="49">
        <f>[2]S1!P916</f>
        <v>9929216977</v>
      </c>
      <c r="O915" s="14"/>
    </row>
    <row r="916" spans="1:15" x14ac:dyDescent="0.3">
      <c r="A916" s="11">
        <v>3963</v>
      </c>
      <c r="B916" s="12" t="str">
        <f>[3]Name!E2967</f>
        <v>Pavan Kumar Varma</v>
      </c>
      <c r="C916" s="13">
        <f>[2]S1!C917</f>
        <v>1000</v>
      </c>
      <c r="D916" s="13">
        <f>[2]S1!D917</f>
        <v>0</v>
      </c>
      <c r="E916" s="26">
        <f>[2]S1!E917</f>
        <v>660</v>
      </c>
      <c r="F916" s="26">
        <f>[2]S1!F917</f>
        <v>51</v>
      </c>
      <c r="G916" s="22">
        <f>[2]S1!G917</f>
        <v>3000</v>
      </c>
      <c r="H916" s="22">
        <f>[2]S1!H917</f>
        <v>280</v>
      </c>
      <c r="I916" s="22">
        <f>[2]S1!I917</f>
        <v>110</v>
      </c>
      <c r="J916" s="13">
        <f>[2]S1!J917</f>
        <v>0</v>
      </c>
      <c r="K916" s="19">
        <f>[2]S1!K917</f>
        <v>4101</v>
      </c>
      <c r="L916" s="52">
        <f>[2]S1!L917</f>
        <v>11000</v>
      </c>
      <c r="M916" s="58">
        <f>[2]S1!M917</f>
        <v>12</v>
      </c>
      <c r="N916" s="49">
        <f>[2]S1!P917</f>
        <v>9694079167</v>
      </c>
      <c r="O916" s="14"/>
    </row>
    <row r="917" spans="1:15" x14ac:dyDescent="0.3">
      <c r="A917" s="11">
        <v>3964</v>
      </c>
      <c r="B917" s="12" t="str">
        <f>[3]Name!E2968</f>
        <v>Rekha Devi Varma</v>
      </c>
      <c r="C917" s="13">
        <f>[2]S1!C918</f>
        <v>1000</v>
      </c>
      <c r="D917" s="13">
        <f>[2]S1!D918</f>
        <v>0</v>
      </c>
      <c r="E917" s="26">
        <f>[2]S1!E918</f>
        <v>800</v>
      </c>
      <c r="F917" s="26">
        <f>[2]S1!F918</f>
        <v>63</v>
      </c>
      <c r="G917" s="22">
        <f>[2]S1!G918</f>
        <v>3000</v>
      </c>
      <c r="H917" s="22">
        <f>[2]S1!H918</f>
        <v>280</v>
      </c>
      <c r="I917" s="22">
        <f>[2]S1!I918</f>
        <v>110</v>
      </c>
      <c r="J917" s="13">
        <f>[2]S1!J918</f>
        <v>0</v>
      </c>
      <c r="K917" s="19">
        <f>[2]S1!K918</f>
        <v>4253</v>
      </c>
      <c r="L917" s="52">
        <f>[2]S1!L918</f>
        <v>11000</v>
      </c>
      <c r="M917" s="58">
        <f>[2]S1!M918</f>
        <v>12</v>
      </c>
      <c r="N917" s="49">
        <f>[2]S1!P918</f>
        <v>9694079167</v>
      </c>
      <c r="O917" s="14"/>
    </row>
    <row r="918" spans="1:15" x14ac:dyDescent="0.3">
      <c r="A918" s="11">
        <v>3965</v>
      </c>
      <c r="B918" s="12" t="str">
        <f>[3]Name!E2969</f>
        <v>Bhavari Devi Varma</v>
      </c>
      <c r="C918" s="13">
        <f>[2]S1!C919</f>
        <v>1000</v>
      </c>
      <c r="D918" s="13">
        <f>[2]S1!D919</f>
        <v>0</v>
      </c>
      <c r="E918" s="26">
        <f>[2]S1!E919</f>
        <v>800</v>
      </c>
      <c r="F918" s="26">
        <f>[2]S1!F919</f>
        <v>63</v>
      </c>
      <c r="G918" s="22">
        <f>[2]S1!G919</f>
        <v>3000</v>
      </c>
      <c r="H918" s="22">
        <f>[2]S1!H919</f>
        <v>280</v>
      </c>
      <c r="I918" s="22">
        <f>[2]S1!I919</f>
        <v>110</v>
      </c>
      <c r="J918" s="13">
        <f>[2]S1!J919</f>
        <v>0</v>
      </c>
      <c r="K918" s="19">
        <f>[2]S1!K919</f>
        <v>4253</v>
      </c>
      <c r="L918" s="52">
        <f>[2]S1!L919</f>
        <v>11000</v>
      </c>
      <c r="M918" s="58">
        <f>[2]S1!M919</f>
        <v>12</v>
      </c>
      <c r="N918" s="49">
        <f>[2]S1!P919</f>
        <v>9694079167</v>
      </c>
      <c r="O918" s="14"/>
    </row>
    <row r="919" spans="1:15" x14ac:dyDescent="0.3">
      <c r="A919" s="11">
        <v>3966</v>
      </c>
      <c r="B919" s="12" t="str">
        <f>[3]Name!E2970</f>
        <v>Sarvan ji malinda</v>
      </c>
      <c r="C919" s="13">
        <f>[2]S1!C920</f>
        <v>500</v>
      </c>
      <c r="D919" s="13">
        <f>[2]S1!D920</f>
        <v>0</v>
      </c>
      <c r="E919" s="26">
        <f>[2]S1!E920</f>
        <v>200</v>
      </c>
      <c r="F919" s="26">
        <f>[2]S1!F920</f>
        <v>0</v>
      </c>
      <c r="G919" s="22">
        <f>[2]S1!G920</f>
        <v>0</v>
      </c>
      <c r="H919" s="22">
        <f>[2]S1!H920</f>
        <v>0</v>
      </c>
      <c r="I919" s="22">
        <f>[2]S1!I920</f>
        <v>129</v>
      </c>
      <c r="J919" s="13">
        <f>[2]S1!J920</f>
        <v>0</v>
      </c>
      <c r="K919" s="19">
        <f>[2]S1!K920</f>
        <v>329</v>
      </c>
      <c r="L919" s="52">
        <f>[2]S1!L920</f>
        <v>12921</v>
      </c>
      <c r="M919" s="58">
        <f>[2]S1!M920</f>
        <v>12</v>
      </c>
      <c r="N919" s="49">
        <f>[2]S1!P920</f>
        <v>7891681482</v>
      </c>
      <c r="O919" s="14"/>
    </row>
    <row r="920" spans="1:15" x14ac:dyDescent="0.3">
      <c r="A920" s="11">
        <v>3967</v>
      </c>
      <c r="B920" s="12" t="str">
        <f>[3]Name!E2971</f>
        <v>Dipak malinda</v>
      </c>
      <c r="C920" s="13">
        <f>[2]S1!C921</f>
        <v>500</v>
      </c>
      <c r="D920" s="13">
        <f>[2]S1!D921</f>
        <v>0</v>
      </c>
      <c r="E920" s="26">
        <f>[2]S1!E921</f>
        <v>200</v>
      </c>
      <c r="F920" s="26">
        <f>[2]S1!F921</f>
        <v>0</v>
      </c>
      <c r="G920" s="22">
        <f>[2]S1!G921</f>
        <v>0</v>
      </c>
      <c r="H920" s="22">
        <f>[2]S1!H921</f>
        <v>0</v>
      </c>
      <c r="I920" s="22">
        <f>[2]S1!I921</f>
        <v>0</v>
      </c>
      <c r="J920" s="13">
        <f>[2]S1!J921</f>
        <v>0</v>
      </c>
      <c r="K920" s="19">
        <f>[2]S1!K921</f>
        <v>200</v>
      </c>
      <c r="L920" s="52">
        <f>[2]S1!L921</f>
        <v>0</v>
      </c>
      <c r="M920" s="58">
        <f>[2]S1!M921</f>
        <v>0</v>
      </c>
      <c r="N920" s="49">
        <f>[2]S1!P921</f>
        <v>7891681482</v>
      </c>
      <c r="O920" s="14"/>
    </row>
    <row r="921" spans="1:15" x14ac:dyDescent="0.3">
      <c r="A921" s="11">
        <v>3968</v>
      </c>
      <c r="B921" s="12" t="str">
        <f>[3]Name!E2972</f>
        <v xml:space="preserve">Sankar Lal </v>
      </c>
      <c r="C921" s="13">
        <f>[2]S1!C922</f>
        <v>0</v>
      </c>
      <c r="D921" s="13">
        <f>[2]S1!D922</f>
        <v>0</v>
      </c>
      <c r="E921" s="26">
        <f>[2]S1!E922</f>
        <v>200</v>
      </c>
      <c r="F921" s="26">
        <f>[2]S1!F922</f>
        <v>0</v>
      </c>
      <c r="G921" s="22">
        <f>[2]S1!G922</f>
        <v>0</v>
      </c>
      <c r="H921" s="22">
        <f>[2]S1!H922</f>
        <v>0</v>
      </c>
      <c r="I921" s="22">
        <f>[2]S1!I922</f>
        <v>0</v>
      </c>
      <c r="J921" s="13">
        <f>[2]S1!J922</f>
        <v>0</v>
      </c>
      <c r="K921" s="19">
        <f>[2]S1!K922</f>
        <v>200</v>
      </c>
      <c r="L921" s="52">
        <f>[2]S1!L922</f>
        <v>0</v>
      </c>
      <c r="M921" s="58">
        <f>[2]S1!M922</f>
        <v>0</v>
      </c>
      <c r="N921" s="49">
        <f>[2]S1!P922</f>
        <v>9694027034</v>
      </c>
      <c r="O921" s="14"/>
    </row>
    <row r="922" spans="1:15" x14ac:dyDescent="0.3">
      <c r="A922" s="11">
        <v>3969</v>
      </c>
      <c r="B922" s="12" t="str">
        <f>[3]Name!E2973</f>
        <v>Sivam</v>
      </c>
      <c r="C922" s="13">
        <f>[2]S1!C923</f>
        <v>0</v>
      </c>
      <c r="D922" s="13">
        <f>[2]S1!D923</f>
        <v>0</v>
      </c>
      <c r="E922" s="26">
        <f>[2]S1!E923</f>
        <v>200</v>
      </c>
      <c r="F922" s="26">
        <f>[2]S1!F923</f>
        <v>0</v>
      </c>
      <c r="G922" s="22">
        <f>[2]S1!G923</f>
        <v>0</v>
      </c>
      <c r="H922" s="22">
        <f>[2]S1!H923</f>
        <v>0</v>
      </c>
      <c r="I922" s="22">
        <f>[2]S1!I923</f>
        <v>99</v>
      </c>
      <c r="J922" s="13">
        <f>[2]S1!J923</f>
        <v>0</v>
      </c>
      <c r="K922" s="19">
        <f>[2]S1!K923</f>
        <v>299</v>
      </c>
      <c r="L922" s="52">
        <f>[2]S1!L923</f>
        <v>9900</v>
      </c>
      <c r="M922" s="58">
        <f>[2]S1!M923</f>
        <v>2</v>
      </c>
      <c r="N922" s="49">
        <f>[2]S1!P923</f>
        <v>9694027034</v>
      </c>
      <c r="O922" s="14"/>
    </row>
    <row r="923" spans="1:15" x14ac:dyDescent="0.3">
      <c r="A923" s="11">
        <v>3970</v>
      </c>
      <c r="B923" s="12" t="str">
        <f>[3]Name!E2974</f>
        <v>Ramesvar Prasad Sachoriya</v>
      </c>
      <c r="C923" s="13">
        <f>[2]S1!C924</f>
        <v>1000</v>
      </c>
      <c r="D923" s="13">
        <f>[2]S1!D924</f>
        <v>0</v>
      </c>
      <c r="E923" s="26">
        <f>[2]S1!E924</f>
        <v>200</v>
      </c>
      <c r="F923" s="26">
        <f>[2]S1!F924</f>
        <v>0</v>
      </c>
      <c r="G923" s="22">
        <f>[2]S1!G924</f>
        <v>0</v>
      </c>
      <c r="H923" s="22">
        <f>[2]S1!H924</f>
        <v>0</v>
      </c>
      <c r="I923" s="22">
        <f>[2]S1!I924</f>
        <v>0</v>
      </c>
      <c r="J923" s="13">
        <f>[2]S1!J924</f>
        <v>0</v>
      </c>
      <c r="K923" s="19">
        <f>[2]S1!K924</f>
        <v>200</v>
      </c>
      <c r="L923" s="52">
        <f>[2]S1!L924</f>
        <v>0</v>
      </c>
      <c r="M923" s="58">
        <f>[2]S1!M924</f>
        <v>0</v>
      </c>
      <c r="N923" s="49">
        <f>[2]S1!P924</f>
        <v>9928577989</v>
      </c>
      <c r="O923" s="14"/>
    </row>
    <row r="924" spans="1:15" x14ac:dyDescent="0.3">
      <c r="A924" s="11">
        <v>3971</v>
      </c>
      <c r="B924" s="12" t="str">
        <f>[3]Name!E2975</f>
        <v>Santosh Devi Sachoriya</v>
      </c>
      <c r="C924" s="13">
        <f>[2]S1!C925</f>
        <v>1000</v>
      </c>
      <c r="D924" s="13">
        <f>[2]S1!D925</f>
        <v>0</v>
      </c>
      <c r="E924" s="26">
        <f>[2]S1!E925</f>
        <v>200</v>
      </c>
      <c r="F924" s="26">
        <f>[2]S1!F925</f>
        <v>0</v>
      </c>
      <c r="G924" s="22">
        <f>[2]S1!G925</f>
        <v>0</v>
      </c>
      <c r="H924" s="22">
        <f>[2]S1!H925</f>
        <v>0</v>
      </c>
      <c r="I924" s="22">
        <f>[2]S1!I925</f>
        <v>0</v>
      </c>
      <c r="J924" s="13">
        <f>[2]S1!J925</f>
        <v>0</v>
      </c>
      <c r="K924" s="19">
        <f>[2]S1!K925</f>
        <v>200</v>
      </c>
      <c r="L924" s="52">
        <f>[2]S1!L925</f>
        <v>0</v>
      </c>
      <c r="M924" s="58">
        <f>[2]S1!M925</f>
        <v>0</v>
      </c>
      <c r="N924" s="49">
        <f>[2]S1!P925</f>
        <v>9928577989</v>
      </c>
      <c r="O924" s="14"/>
    </row>
    <row r="925" spans="1:15" x14ac:dyDescent="0.3">
      <c r="A925" s="11">
        <v>3972</v>
      </c>
      <c r="B925" s="12" t="str">
        <f>[3]Name!E2976</f>
        <v>Jagadish Prashad Dokhoriya</v>
      </c>
      <c r="C925" s="13">
        <f>[2]S1!C926</f>
        <v>500</v>
      </c>
      <c r="D925" s="13">
        <f>[2]S1!D926</f>
        <v>0</v>
      </c>
      <c r="E925" s="26">
        <f>[2]S1!E926</f>
        <v>200</v>
      </c>
      <c r="F925" s="26">
        <f>[2]S1!F926</f>
        <v>0</v>
      </c>
      <c r="G925" s="22">
        <f>[2]S1!G926</f>
        <v>0</v>
      </c>
      <c r="H925" s="22">
        <f>[2]S1!H926</f>
        <v>0</v>
      </c>
      <c r="I925" s="22">
        <f>[2]S1!I926</f>
        <v>265</v>
      </c>
      <c r="J925" s="13">
        <f>[2]S1!J926</f>
        <v>0</v>
      </c>
      <c r="K925" s="19">
        <f>[2]S1!K926</f>
        <v>465</v>
      </c>
      <c r="L925" s="52">
        <f>[2]S1!L926</f>
        <v>26500</v>
      </c>
      <c r="M925" s="58">
        <f>[2]S1!M926</f>
        <v>7</v>
      </c>
      <c r="N925" s="49">
        <f>[2]S1!P926</f>
        <v>9982447051</v>
      </c>
      <c r="O925" s="14"/>
    </row>
    <row r="926" spans="1:15" x14ac:dyDescent="0.3">
      <c r="A926" s="11">
        <v>3973</v>
      </c>
      <c r="B926" s="12" t="str">
        <f>[3]Name!E2977</f>
        <v>Rahul Kumar Dokhoriya</v>
      </c>
      <c r="C926" s="13">
        <f>[2]S1!C927</f>
        <v>500</v>
      </c>
      <c r="D926" s="13">
        <f>[2]S1!D927</f>
        <v>0</v>
      </c>
      <c r="E926" s="26">
        <f>[2]S1!E927</f>
        <v>200</v>
      </c>
      <c r="F926" s="26">
        <f>[2]S1!F927</f>
        <v>0</v>
      </c>
      <c r="G926" s="22">
        <f>[2]S1!G927</f>
        <v>0</v>
      </c>
      <c r="H926" s="22">
        <f>[2]S1!H927</f>
        <v>0</v>
      </c>
      <c r="I926" s="22">
        <f>[2]S1!I927</f>
        <v>265</v>
      </c>
      <c r="J926" s="13">
        <f>[2]S1!J927</f>
        <v>0</v>
      </c>
      <c r="K926" s="19">
        <f>[2]S1!K927</f>
        <v>465</v>
      </c>
      <c r="L926" s="52">
        <f>[2]S1!L927</f>
        <v>26500</v>
      </c>
      <c r="M926" s="58">
        <f>[2]S1!M927</f>
        <v>7</v>
      </c>
      <c r="N926" s="49">
        <f>[2]S1!P927</f>
        <v>9982447051</v>
      </c>
      <c r="O926" s="14"/>
    </row>
    <row r="927" spans="1:15" x14ac:dyDescent="0.3">
      <c r="A927" s="11">
        <v>3974</v>
      </c>
      <c r="B927" s="12" t="str">
        <f>[3]Name!E2978</f>
        <v>palak Dokhoriya</v>
      </c>
      <c r="C927" s="13">
        <f>[2]S1!C928</f>
        <v>500</v>
      </c>
      <c r="D927" s="13">
        <f>[2]S1!D928</f>
        <v>0</v>
      </c>
      <c r="E927" s="26">
        <f>[2]S1!E928</f>
        <v>200</v>
      </c>
      <c r="F927" s="26">
        <f>[2]S1!F928</f>
        <v>0</v>
      </c>
      <c r="G927" s="22">
        <f>[2]S1!G928</f>
        <v>0</v>
      </c>
      <c r="H927" s="22">
        <f>[2]S1!H928</f>
        <v>0</v>
      </c>
      <c r="I927" s="22">
        <f>[2]S1!I928</f>
        <v>265</v>
      </c>
      <c r="J927" s="13">
        <f>[2]S1!J928</f>
        <v>0</v>
      </c>
      <c r="K927" s="19">
        <f>[2]S1!K928</f>
        <v>465</v>
      </c>
      <c r="L927" s="52">
        <f>[2]S1!L928</f>
        <v>26500</v>
      </c>
      <c r="M927" s="58">
        <f>[2]S1!M928</f>
        <v>7</v>
      </c>
      <c r="N927" s="49">
        <f>[2]S1!P928</f>
        <v>9982447051</v>
      </c>
      <c r="O927" s="14"/>
    </row>
    <row r="928" spans="1:15" x14ac:dyDescent="0.3">
      <c r="A928" s="11">
        <v>3975</v>
      </c>
      <c r="B928" s="12" t="str">
        <f>[3]Name!E2979</f>
        <v>Payal kumari Dokhoriya</v>
      </c>
      <c r="C928" s="13">
        <f>[2]S1!C929</f>
        <v>1000</v>
      </c>
      <c r="D928" s="13">
        <f>[2]S1!D929</f>
        <v>0</v>
      </c>
      <c r="E928" s="26">
        <f>[2]S1!E929</f>
        <v>200</v>
      </c>
      <c r="F928" s="26">
        <f>[2]S1!F929</f>
        <v>0</v>
      </c>
      <c r="G928" s="22">
        <f>[2]S1!G929</f>
        <v>1000</v>
      </c>
      <c r="H928" s="22">
        <f>[2]S1!H929</f>
        <v>0</v>
      </c>
      <c r="I928" s="22">
        <f>[2]S1!I929</f>
        <v>240</v>
      </c>
      <c r="J928" s="13">
        <f>[2]S1!J929</f>
        <v>0</v>
      </c>
      <c r="K928" s="19">
        <f>[2]S1!K929</f>
        <v>1440</v>
      </c>
      <c r="L928" s="52">
        <f>[2]S1!L929</f>
        <v>24000</v>
      </c>
      <c r="M928" s="58">
        <f>[2]S1!M929</f>
        <v>7</v>
      </c>
      <c r="N928" s="49">
        <f>[2]S1!P929</f>
        <v>9982447051</v>
      </c>
      <c r="O928" s="14"/>
    </row>
    <row r="929" spans="1:15" x14ac:dyDescent="0.3">
      <c r="A929" s="11">
        <v>3976</v>
      </c>
      <c r="B929" s="12" t="str">
        <f>[3]Name!E2980</f>
        <v>Mohan Lal Meharda</v>
      </c>
      <c r="C929" s="13">
        <f>[2]S1!C930</f>
        <v>200</v>
      </c>
      <c r="D929" s="13">
        <f>[2]S1!D930</f>
        <v>0</v>
      </c>
      <c r="E929" s="26">
        <f>[2]S1!E930</f>
        <v>200</v>
      </c>
      <c r="F929" s="26">
        <f>[2]S1!F930</f>
        <v>0</v>
      </c>
      <c r="G929" s="22">
        <f>[2]S1!G930</f>
        <v>0</v>
      </c>
      <c r="H929" s="22">
        <f>[2]S1!H930</f>
        <v>0</v>
      </c>
      <c r="I929" s="22">
        <f>[2]S1!I930</f>
        <v>0</v>
      </c>
      <c r="J929" s="13">
        <f>[2]S1!J930</f>
        <v>0</v>
      </c>
      <c r="K929" s="19">
        <f>[2]S1!K930</f>
        <v>200</v>
      </c>
      <c r="L929" s="52">
        <f>[2]S1!L930</f>
        <v>0</v>
      </c>
      <c r="M929" s="58">
        <f>[2]S1!M930</f>
        <v>0</v>
      </c>
      <c r="N929" s="49">
        <f>[2]S1!P930</f>
        <v>9929194619</v>
      </c>
      <c r="O929" s="14"/>
    </row>
    <row r="930" spans="1:15" x14ac:dyDescent="0.3">
      <c r="A930" s="11">
        <v>3977</v>
      </c>
      <c r="B930" s="12" t="str">
        <f>[3]Name!E2981</f>
        <v>Vijay Kumar Meharda</v>
      </c>
      <c r="C930" s="13">
        <f>[2]S1!C931</f>
        <v>200</v>
      </c>
      <c r="D930" s="13">
        <f>[2]S1!D931</f>
        <v>0</v>
      </c>
      <c r="E930" s="26">
        <f>[2]S1!E931</f>
        <v>200</v>
      </c>
      <c r="F930" s="26">
        <f>[2]S1!F931</f>
        <v>0</v>
      </c>
      <c r="G930" s="22">
        <f>[2]S1!G931</f>
        <v>0</v>
      </c>
      <c r="H930" s="22">
        <f>[2]S1!H931</f>
        <v>0</v>
      </c>
      <c r="I930" s="22">
        <f>[2]S1!I931</f>
        <v>0</v>
      </c>
      <c r="J930" s="13">
        <f>[2]S1!J931</f>
        <v>0</v>
      </c>
      <c r="K930" s="19">
        <f>[2]S1!K931</f>
        <v>200</v>
      </c>
      <c r="L930" s="52">
        <f>[2]S1!L931</f>
        <v>0</v>
      </c>
      <c r="M930" s="58">
        <f>[2]S1!M931</f>
        <v>0</v>
      </c>
      <c r="N930" s="49">
        <f>[2]S1!P931</f>
        <v>9929194619</v>
      </c>
      <c r="O930" s="14"/>
    </row>
    <row r="931" spans="1:15" x14ac:dyDescent="0.3">
      <c r="A931" s="11">
        <v>3978</v>
      </c>
      <c r="B931" s="12" t="str">
        <f>[3]Name!E2982</f>
        <v>Ajay Kumar Meharda</v>
      </c>
      <c r="C931" s="13">
        <f>[2]S1!C932</f>
        <v>200</v>
      </c>
      <c r="D931" s="13">
        <f>[2]S1!D932</f>
        <v>0</v>
      </c>
      <c r="E931" s="26">
        <f>[2]S1!E932</f>
        <v>200</v>
      </c>
      <c r="F931" s="26">
        <f>[2]S1!F932</f>
        <v>0</v>
      </c>
      <c r="G931" s="22">
        <f>[2]S1!G932</f>
        <v>0</v>
      </c>
      <c r="H931" s="22">
        <f>[2]S1!H932</f>
        <v>0</v>
      </c>
      <c r="I931" s="22">
        <f>[2]S1!I932</f>
        <v>0</v>
      </c>
      <c r="J931" s="13">
        <f>[2]S1!J932</f>
        <v>0</v>
      </c>
      <c r="K931" s="19">
        <f>[2]S1!K932</f>
        <v>200</v>
      </c>
      <c r="L931" s="52">
        <f>[2]S1!L932</f>
        <v>0</v>
      </c>
      <c r="M931" s="58">
        <f>[2]S1!M932</f>
        <v>0</v>
      </c>
      <c r="N931" s="49">
        <f>[2]S1!P932</f>
        <v>9929194619</v>
      </c>
      <c r="O931" s="14"/>
    </row>
    <row r="932" spans="1:15" x14ac:dyDescent="0.3">
      <c r="A932" s="11">
        <v>3979</v>
      </c>
      <c r="B932" s="12" t="str">
        <f>[3]Name!E2983</f>
        <v>Vimala Devi Meharda</v>
      </c>
      <c r="C932" s="13">
        <f>[2]S1!C933</f>
        <v>200</v>
      </c>
      <c r="D932" s="13">
        <f>[2]S1!D933</f>
        <v>0</v>
      </c>
      <c r="E932" s="26">
        <f>[2]S1!E933</f>
        <v>200</v>
      </c>
      <c r="F932" s="26">
        <f>[2]S1!F933</f>
        <v>0</v>
      </c>
      <c r="G932" s="22">
        <f>[2]S1!G933</f>
        <v>0</v>
      </c>
      <c r="H932" s="22">
        <f>[2]S1!H933</f>
        <v>0</v>
      </c>
      <c r="I932" s="22">
        <f>[2]S1!I933</f>
        <v>0</v>
      </c>
      <c r="J932" s="13">
        <f>[2]S1!J933</f>
        <v>0</v>
      </c>
      <c r="K932" s="19">
        <f>[2]S1!K933</f>
        <v>200</v>
      </c>
      <c r="L932" s="52">
        <f>[2]S1!L933</f>
        <v>0</v>
      </c>
      <c r="M932" s="58">
        <f>[2]S1!M933</f>
        <v>0</v>
      </c>
      <c r="N932" s="49">
        <f>[2]S1!P933</f>
        <v>9929194619</v>
      </c>
      <c r="O932" s="14"/>
    </row>
    <row r="933" spans="1:15" x14ac:dyDescent="0.3">
      <c r="A933" s="11">
        <v>3980</v>
      </c>
      <c r="B933" s="12" t="str">
        <f>[3]Name!E2984</f>
        <v>Mnisha kumari Meharda</v>
      </c>
      <c r="C933" s="13">
        <f>[2]S1!C934</f>
        <v>200</v>
      </c>
      <c r="D933" s="13">
        <f>[2]S1!D934</f>
        <v>0</v>
      </c>
      <c r="E933" s="26">
        <f>[2]S1!E934</f>
        <v>200</v>
      </c>
      <c r="F933" s="26">
        <f>[2]S1!F934</f>
        <v>0</v>
      </c>
      <c r="G933" s="22">
        <f>[2]S1!G934</f>
        <v>0</v>
      </c>
      <c r="H933" s="22">
        <f>[2]S1!H934</f>
        <v>0</v>
      </c>
      <c r="I933" s="22">
        <f>[2]S1!I934</f>
        <v>0</v>
      </c>
      <c r="J933" s="13">
        <f>[2]S1!J934</f>
        <v>0</v>
      </c>
      <c r="K933" s="19">
        <f>[2]S1!K934</f>
        <v>200</v>
      </c>
      <c r="L933" s="52">
        <f>[2]S1!L934</f>
        <v>0</v>
      </c>
      <c r="M933" s="58">
        <f>[2]S1!M934</f>
        <v>0</v>
      </c>
      <c r="N933" s="49">
        <f>[2]S1!P934</f>
        <v>9929194619</v>
      </c>
      <c r="O933" s="14"/>
    </row>
    <row r="934" spans="1:15" x14ac:dyDescent="0.3">
      <c r="A934" s="11">
        <v>3981</v>
      </c>
      <c r="B934" s="12" t="str">
        <f>[3]Name!E2985</f>
        <v>Manphuli Devi Pachariya</v>
      </c>
      <c r="C934" s="13">
        <f>[2]S1!C935</f>
        <v>0</v>
      </c>
      <c r="D934" s="13">
        <f>[2]S1!D935</f>
        <v>0</v>
      </c>
      <c r="E934" s="26">
        <f>[2]S1!E935</f>
        <v>200</v>
      </c>
      <c r="F934" s="26">
        <f>[2]S1!F935</f>
        <v>0</v>
      </c>
      <c r="G934" s="22">
        <f>[2]S1!G935</f>
        <v>0</v>
      </c>
      <c r="H934" s="22">
        <f>[2]S1!H935</f>
        <v>0</v>
      </c>
      <c r="I934" s="22">
        <f>[2]S1!I935</f>
        <v>0</v>
      </c>
      <c r="J934" s="13">
        <f>[2]S1!J935</f>
        <v>0</v>
      </c>
      <c r="K934" s="19">
        <f>[2]S1!K935</f>
        <v>200</v>
      </c>
      <c r="L934" s="52">
        <f>[2]S1!L935</f>
        <v>0</v>
      </c>
      <c r="M934" s="58">
        <f>[2]S1!M935</f>
        <v>0</v>
      </c>
      <c r="N934" s="49">
        <f>[2]S1!P935</f>
        <v>9314298877</v>
      </c>
      <c r="O934" s="14"/>
    </row>
    <row r="935" spans="1:15" x14ac:dyDescent="0.3">
      <c r="A935" s="11">
        <v>3982</v>
      </c>
      <c r="B935" s="12" t="str">
        <f>[3]Name!E2986</f>
        <v>Aasa Kumari Pachariya</v>
      </c>
      <c r="C935" s="13">
        <f>[2]S1!C936</f>
        <v>1000</v>
      </c>
      <c r="D935" s="13">
        <f>[2]S1!D936</f>
        <v>0</v>
      </c>
      <c r="E935" s="26">
        <f>[2]S1!E936</f>
        <v>200</v>
      </c>
      <c r="F935" s="26">
        <f>[2]S1!F936</f>
        <v>0</v>
      </c>
      <c r="G935" s="22">
        <f>[2]S1!G936</f>
        <v>1000</v>
      </c>
      <c r="H935" s="22">
        <f>[2]S1!H936</f>
        <v>0</v>
      </c>
      <c r="I935" s="22">
        <f>[2]S1!I936</f>
        <v>260</v>
      </c>
      <c r="J935" s="13">
        <f>[2]S1!J936</f>
        <v>0</v>
      </c>
      <c r="K935" s="19">
        <f>[2]S1!K936</f>
        <v>1460</v>
      </c>
      <c r="L935" s="52">
        <f>[2]S1!L936</f>
        <v>26000</v>
      </c>
      <c r="M935" s="58">
        <f>[2]S1!M936</f>
        <v>5</v>
      </c>
      <c r="N935" s="49">
        <f>[2]S1!P936</f>
        <v>9314298877</v>
      </c>
      <c r="O935" s="14"/>
    </row>
    <row r="936" spans="1:15" x14ac:dyDescent="0.3">
      <c r="A936" s="11">
        <v>3983</v>
      </c>
      <c r="B936" s="12" t="str">
        <f>[3]Name!E2987</f>
        <v>Birdi Chand Pachariya</v>
      </c>
      <c r="C936" s="13">
        <f>[2]S1!C937</f>
        <v>1000</v>
      </c>
      <c r="D936" s="13">
        <f>[2]S1!D937</f>
        <v>0</v>
      </c>
      <c r="E936" s="26">
        <f>[2]S1!E937</f>
        <v>200</v>
      </c>
      <c r="F936" s="26">
        <f>[2]S1!F937</f>
        <v>0</v>
      </c>
      <c r="G936" s="22">
        <f>[2]S1!G937</f>
        <v>1000</v>
      </c>
      <c r="H936" s="22">
        <f>[2]S1!H937</f>
        <v>0</v>
      </c>
      <c r="I936" s="22">
        <f>[2]S1!I937</f>
        <v>260</v>
      </c>
      <c r="J936" s="13">
        <f>[2]S1!J937</f>
        <v>0</v>
      </c>
      <c r="K936" s="19">
        <f>[2]S1!K937</f>
        <v>1460</v>
      </c>
      <c r="L936" s="52">
        <f>[2]S1!L937</f>
        <v>26000</v>
      </c>
      <c r="M936" s="58">
        <f>[2]S1!M937</f>
        <v>5</v>
      </c>
      <c r="N936" s="49">
        <f>[2]S1!P937</f>
        <v>9314298877</v>
      </c>
      <c r="O936" s="14"/>
    </row>
    <row r="937" spans="1:15" x14ac:dyDescent="0.3">
      <c r="A937" s="11">
        <v>3984</v>
      </c>
      <c r="B937" s="12" t="str">
        <f>[3]Name!E2988</f>
        <v>Megharaj Bagamar</v>
      </c>
      <c r="C937" s="13">
        <f>[2]S1!C938</f>
        <v>0</v>
      </c>
      <c r="D937" s="13">
        <f>[2]S1!D938</f>
        <v>0</v>
      </c>
      <c r="E937" s="26">
        <f>[2]S1!E938</f>
        <v>200</v>
      </c>
      <c r="F937" s="26">
        <f>[2]S1!F938</f>
        <v>4</v>
      </c>
      <c r="G937" s="22">
        <f>[2]S1!G938</f>
        <v>0</v>
      </c>
      <c r="H937" s="22">
        <f>[2]S1!H938</f>
        <v>2</v>
      </c>
      <c r="I937" s="22">
        <f>[2]S1!I938</f>
        <v>109</v>
      </c>
      <c r="J937" s="13">
        <f>[2]S1!J938</f>
        <v>0</v>
      </c>
      <c r="K937" s="19">
        <f>[2]S1!K938</f>
        <v>315</v>
      </c>
      <c r="L937" s="52">
        <f>[2]S1!L938</f>
        <v>10872</v>
      </c>
      <c r="M937" s="58">
        <f>[2]S1!M938</f>
        <v>3</v>
      </c>
      <c r="N937" s="49">
        <f>[2]S1!P938</f>
        <v>9649551001</v>
      </c>
      <c r="O937" s="14"/>
    </row>
    <row r="938" spans="1:15" x14ac:dyDescent="0.3">
      <c r="A938" s="11">
        <v>3985</v>
      </c>
      <c r="B938" s="12" t="str">
        <f>[3]Name!E2989</f>
        <v>Ramsvrup Khoval</v>
      </c>
      <c r="C938" s="13">
        <f>[2]S1!C939</f>
        <v>0</v>
      </c>
      <c r="D938" s="13">
        <f>[2]S1!D939</f>
        <v>18901</v>
      </c>
      <c r="E938" s="26">
        <f>[2]S1!E939</f>
        <v>2767</v>
      </c>
      <c r="F938" s="26">
        <f>[2]S1!F939</f>
        <v>1077</v>
      </c>
      <c r="G938" s="22">
        <f>[2]S1!G939</f>
        <v>32685</v>
      </c>
      <c r="H938" s="22">
        <f>[2]S1!H939</f>
        <v>22549</v>
      </c>
      <c r="I938" s="22">
        <f>[2]S1!I939</f>
        <v>3767</v>
      </c>
      <c r="J938" s="13">
        <f>[2]S1!J939</f>
        <v>0</v>
      </c>
      <c r="K938" s="19">
        <f>[2]S1!K939</f>
        <v>62845</v>
      </c>
      <c r="L938" s="52">
        <f>[2]S1!L939</f>
        <v>32685</v>
      </c>
      <c r="M938" s="58">
        <f>[2]S1!M939</f>
        <v>16</v>
      </c>
      <c r="N938" s="49">
        <f>[2]S1!P939</f>
        <v>9799878762</v>
      </c>
      <c r="O938" s="14"/>
    </row>
    <row r="939" spans="1:15" x14ac:dyDescent="0.3">
      <c r="A939" s="11">
        <v>3986</v>
      </c>
      <c r="B939" s="12" t="str">
        <f>[3]Name!E2990</f>
        <v>Bansi Lal</v>
      </c>
      <c r="C939" s="13">
        <f>[2]S1!C940</f>
        <v>2500</v>
      </c>
      <c r="D939" s="13">
        <f>[2]S1!D940</f>
        <v>0</v>
      </c>
      <c r="E939" s="26">
        <f>[2]S1!E940</f>
        <v>0</v>
      </c>
      <c r="F939" s="26">
        <f>[2]S1!F940</f>
        <v>0</v>
      </c>
      <c r="G939" s="22">
        <f>[2]S1!G940</f>
        <v>0</v>
      </c>
      <c r="H939" s="22">
        <f>[2]S1!H940</f>
        <v>0</v>
      </c>
      <c r="I939" s="22">
        <f>[2]S1!I940</f>
        <v>300</v>
      </c>
      <c r="J939" s="13">
        <f>[2]S1!J940</f>
        <v>0</v>
      </c>
      <c r="K939" s="19">
        <f>[2]S1!K940</f>
        <v>300</v>
      </c>
      <c r="L939" s="52">
        <f>[2]S1!L940</f>
        <v>30000</v>
      </c>
      <c r="M939" s="58">
        <f>[2]S1!M940</f>
        <v>1</v>
      </c>
      <c r="N939" s="49">
        <f>[2]S1!P940</f>
        <v>9680409946</v>
      </c>
      <c r="O939" s="14"/>
    </row>
    <row r="940" spans="1:15" x14ac:dyDescent="0.3">
      <c r="A940" s="11">
        <v>3987</v>
      </c>
      <c r="B940" s="12" t="str">
        <f>[3]Name!E2991</f>
        <v xml:space="preserve">Manphuli Devi </v>
      </c>
      <c r="C940" s="13">
        <f>[2]S1!C941</f>
        <v>1000</v>
      </c>
      <c r="D940" s="13">
        <f>[2]S1!D941</f>
        <v>0</v>
      </c>
      <c r="E940" s="26">
        <f>[2]S1!E941</f>
        <v>0</v>
      </c>
      <c r="F940" s="26">
        <f>[2]S1!F941</f>
        <v>0</v>
      </c>
      <c r="G940" s="22">
        <f>[2]S1!G941</f>
        <v>1000</v>
      </c>
      <c r="H940" s="22">
        <f>[2]S1!H941</f>
        <v>0</v>
      </c>
      <c r="I940" s="22">
        <f>[2]S1!I941</f>
        <v>300</v>
      </c>
      <c r="J940" s="13">
        <f>[2]S1!J941</f>
        <v>0</v>
      </c>
      <c r="K940" s="19">
        <f>[2]S1!K941</f>
        <v>1300</v>
      </c>
      <c r="L940" s="52">
        <f>[2]S1!L941</f>
        <v>30000</v>
      </c>
      <c r="M940" s="58">
        <f>[2]S1!M941</f>
        <v>1</v>
      </c>
      <c r="N940" s="49">
        <f>[2]S1!P941</f>
        <v>9680409946</v>
      </c>
      <c r="O940" s="14"/>
    </row>
    <row r="941" spans="1:15" x14ac:dyDescent="0.3">
      <c r="A941" s="11">
        <v>3988</v>
      </c>
      <c r="B941" s="12" t="str">
        <f>[3]Name!E2992</f>
        <v>Ramdev Bunkar</v>
      </c>
      <c r="C941" s="13">
        <f>[2]S1!C942</f>
        <v>1000</v>
      </c>
      <c r="D941" s="13">
        <f>[2]S1!D942</f>
        <v>0</v>
      </c>
      <c r="E941" s="26">
        <f>[2]S1!E942</f>
        <v>0</v>
      </c>
      <c r="F941" s="26">
        <f>[2]S1!F942</f>
        <v>0</v>
      </c>
      <c r="G941" s="22">
        <f>[2]S1!G942</f>
        <v>1000</v>
      </c>
      <c r="H941" s="22">
        <f>[2]S1!H942</f>
        <v>0</v>
      </c>
      <c r="I941" s="22">
        <f>[2]S1!I942</f>
        <v>290</v>
      </c>
      <c r="J941" s="13">
        <f>[2]S1!J942</f>
        <v>0</v>
      </c>
      <c r="K941" s="19">
        <f>[2]S1!K942</f>
        <v>1290</v>
      </c>
      <c r="L941" s="52">
        <f>[2]S1!L942</f>
        <v>30000</v>
      </c>
      <c r="M941" s="58">
        <f>[2]S1!M942</f>
        <v>1</v>
      </c>
      <c r="N941" s="49">
        <f>[2]S1!P942</f>
        <v>9680409946</v>
      </c>
      <c r="O941" s="14"/>
    </row>
    <row r="942" spans="1:15" x14ac:dyDescent="0.3">
      <c r="A942" s="11">
        <v>3989</v>
      </c>
      <c r="B942" s="12" t="str">
        <f>[3]Name!E2993</f>
        <v>Roshan Kumar Bunkar</v>
      </c>
      <c r="C942" s="13">
        <f>[2]S1!C943</f>
        <v>1500</v>
      </c>
      <c r="D942" s="13">
        <f>[2]S1!D943</f>
        <v>0</v>
      </c>
      <c r="E942" s="26">
        <f>[2]S1!E943</f>
        <v>0</v>
      </c>
      <c r="F942" s="26">
        <f>[2]S1!F943</f>
        <v>0</v>
      </c>
      <c r="G942" s="22">
        <f>[2]S1!G943</f>
        <v>1500</v>
      </c>
      <c r="H942" s="22">
        <f>[2]S1!H943</f>
        <v>0</v>
      </c>
      <c r="I942" s="22">
        <f>[2]S1!I943</f>
        <v>280</v>
      </c>
      <c r="J942" s="13">
        <f>[2]S1!J943</f>
        <v>0</v>
      </c>
      <c r="K942" s="19">
        <f>[2]S1!K943</f>
        <v>1780</v>
      </c>
      <c r="L942" s="52">
        <f>[2]S1!L943</f>
        <v>30000</v>
      </c>
      <c r="M942" s="58">
        <f>[2]S1!M943</f>
        <v>1</v>
      </c>
      <c r="N942" s="49">
        <f>[2]S1!P943</f>
        <v>9680409946</v>
      </c>
      <c r="O942" s="14"/>
    </row>
    <row r="943" spans="1:15" x14ac:dyDescent="0.3">
      <c r="A943" s="11">
        <v>3990</v>
      </c>
      <c r="B943" s="12" t="str">
        <f>[3]Name!E2994</f>
        <v>Ramesvar Sachoriya</v>
      </c>
      <c r="C943" s="13">
        <f>[2]S1!C944</f>
        <v>500</v>
      </c>
      <c r="D943" s="13">
        <f>[2]S1!D944</f>
        <v>0</v>
      </c>
      <c r="E943" s="26">
        <f>[2]S1!E944</f>
        <v>200</v>
      </c>
      <c r="F943" s="26">
        <f>[2]S1!F944</f>
        <v>0</v>
      </c>
      <c r="G943" s="22">
        <f>[2]S1!G944</f>
        <v>0</v>
      </c>
      <c r="H943" s="22">
        <f>[2]S1!H944</f>
        <v>0</v>
      </c>
      <c r="I943" s="22">
        <f>[2]S1!I944</f>
        <v>0</v>
      </c>
      <c r="J943" s="13">
        <f>[2]S1!J944</f>
        <v>0</v>
      </c>
      <c r="K943" s="19">
        <f>[2]S1!K944</f>
        <v>200</v>
      </c>
      <c r="L943" s="52">
        <f>[2]S1!L944</f>
        <v>0</v>
      </c>
      <c r="M943" s="58">
        <f>[2]S1!M944</f>
        <v>0</v>
      </c>
      <c r="N943" s="49">
        <f>[2]S1!P944</f>
        <v>9571650476</v>
      </c>
      <c r="O943" s="14"/>
    </row>
    <row r="944" spans="1:15" x14ac:dyDescent="0.3">
      <c r="A944" s="11">
        <v>3991</v>
      </c>
      <c r="B944" s="12" t="str">
        <f>[3]Name!E2995</f>
        <v>Mamta Devi Sachoriya</v>
      </c>
      <c r="C944" s="13">
        <f>[2]S1!C945</f>
        <v>500</v>
      </c>
      <c r="D944" s="13">
        <f>[2]S1!D945</f>
        <v>0</v>
      </c>
      <c r="E944" s="26">
        <f>[2]S1!E945</f>
        <v>200</v>
      </c>
      <c r="F944" s="26">
        <f>[2]S1!F945</f>
        <v>2</v>
      </c>
      <c r="G944" s="22">
        <f>[2]S1!G945</f>
        <v>0</v>
      </c>
      <c r="H944" s="22">
        <f>[2]S1!H945</f>
        <v>0</v>
      </c>
      <c r="I944" s="22">
        <f>[2]S1!I945</f>
        <v>0</v>
      </c>
      <c r="J944" s="13">
        <f>[2]S1!J945</f>
        <v>0</v>
      </c>
      <c r="K944" s="19">
        <f>[2]S1!K945</f>
        <v>202</v>
      </c>
      <c r="L944" s="52">
        <f>[2]S1!L945</f>
        <v>0</v>
      </c>
      <c r="M944" s="58">
        <f>[2]S1!M945</f>
        <v>0</v>
      </c>
      <c r="N944" s="49">
        <f>[2]S1!P945</f>
        <v>9571650476</v>
      </c>
      <c r="O944" s="14"/>
    </row>
    <row r="945" spans="1:15" x14ac:dyDescent="0.3">
      <c r="A945" s="11">
        <v>3992</v>
      </c>
      <c r="B945" s="12" t="str">
        <f>[3]Name!E2996</f>
        <v>Rekha Kumari Sachoriya</v>
      </c>
      <c r="C945" s="13">
        <f>[2]S1!C946</f>
        <v>500</v>
      </c>
      <c r="D945" s="13">
        <f>[2]S1!D946</f>
        <v>0</v>
      </c>
      <c r="E945" s="26">
        <f>[2]S1!E946</f>
        <v>200</v>
      </c>
      <c r="F945" s="26">
        <f>[2]S1!F946</f>
        <v>0</v>
      </c>
      <c r="G945" s="22">
        <f>[2]S1!G946</f>
        <v>0</v>
      </c>
      <c r="H945" s="22">
        <f>[2]S1!H946</f>
        <v>0</v>
      </c>
      <c r="I945" s="22">
        <f>[2]S1!I946</f>
        <v>0</v>
      </c>
      <c r="J945" s="13">
        <f>[2]S1!J946</f>
        <v>0</v>
      </c>
      <c r="K945" s="19">
        <f>[2]S1!K946</f>
        <v>200</v>
      </c>
      <c r="L945" s="52">
        <f>[2]S1!L946</f>
        <v>0</v>
      </c>
      <c r="M945" s="58">
        <f>[2]S1!M946</f>
        <v>0</v>
      </c>
      <c r="N945" s="49">
        <f>[2]S1!P946</f>
        <v>9571650476</v>
      </c>
      <c r="O945" s="14"/>
    </row>
    <row r="946" spans="1:15" x14ac:dyDescent="0.3">
      <c r="A946" s="11">
        <v>3993</v>
      </c>
      <c r="B946" s="12" t="str">
        <f>[3]Name!E2997</f>
        <v>Rampal Godeta</v>
      </c>
      <c r="C946" s="13">
        <f>[2]S1!C947</f>
        <v>400</v>
      </c>
      <c r="D946" s="13">
        <f>[2]S1!D947</f>
        <v>0</v>
      </c>
      <c r="E946" s="26">
        <f>[2]S1!E947</f>
        <v>0</v>
      </c>
      <c r="F946" s="26">
        <f>[2]S1!F947</f>
        <v>0</v>
      </c>
      <c r="G946" s="22">
        <f>[2]S1!G947</f>
        <v>0</v>
      </c>
      <c r="H946" s="22">
        <f>[2]S1!H947</f>
        <v>0</v>
      </c>
      <c r="I946" s="22">
        <f>[2]S1!I947</f>
        <v>225</v>
      </c>
      <c r="J946" s="13">
        <f>[2]S1!J947</f>
        <v>0</v>
      </c>
      <c r="K946" s="19">
        <f>[2]S1!K947</f>
        <v>225</v>
      </c>
      <c r="L946" s="52">
        <f>[2]S1!L947</f>
        <v>22478</v>
      </c>
      <c r="M946" s="58">
        <f>[2]S1!M947</f>
        <v>3</v>
      </c>
      <c r="N946" s="49">
        <f>[2]S1!P947</f>
        <v>9828069556</v>
      </c>
      <c r="O946" s="14"/>
    </row>
    <row r="947" spans="1:15" x14ac:dyDescent="0.3">
      <c r="A947" s="11">
        <v>3994</v>
      </c>
      <c r="B947" s="12" t="str">
        <f>[3]Name!E2998</f>
        <v>Santos Gadval</v>
      </c>
      <c r="C947" s="13">
        <f>[2]S1!C948</f>
        <v>0</v>
      </c>
      <c r="D947" s="13">
        <f>[2]S1!D948</f>
        <v>0</v>
      </c>
      <c r="E947" s="26">
        <f>[2]S1!E948</f>
        <v>152</v>
      </c>
      <c r="F947" s="26">
        <f>[2]S1!F948</f>
        <v>0</v>
      </c>
      <c r="G947" s="22">
        <f>[2]S1!G948</f>
        <v>0</v>
      </c>
      <c r="H947" s="22">
        <f>[2]S1!H948</f>
        <v>0</v>
      </c>
      <c r="I947" s="22">
        <f>[2]S1!I948</f>
        <v>0</v>
      </c>
      <c r="J947" s="13">
        <f>[2]S1!J948</f>
        <v>0</v>
      </c>
      <c r="K947" s="19">
        <f>[2]S1!K948</f>
        <v>152</v>
      </c>
      <c r="L947" s="52">
        <f>[2]S1!L948</f>
        <v>0</v>
      </c>
      <c r="M947" s="58">
        <f>[2]S1!M948</f>
        <v>0</v>
      </c>
      <c r="N947" s="49">
        <f>[2]S1!P948</f>
        <v>8000025359</v>
      </c>
      <c r="O947" s="14"/>
    </row>
    <row r="948" spans="1:15" x14ac:dyDescent="0.3">
      <c r="A948" s="11">
        <v>3995</v>
      </c>
      <c r="B948" s="12" t="str">
        <f>[3]Name!E2999</f>
        <v>Rajpal Vamra</v>
      </c>
      <c r="C948" s="13">
        <f>[2]S1!C949</f>
        <v>0</v>
      </c>
      <c r="D948" s="13">
        <f>[2]S1!D949</f>
        <v>0</v>
      </c>
      <c r="E948" s="26">
        <f>[2]S1!E949</f>
        <v>200</v>
      </c>
      <c r="F948" s="26">
        <f>[2]S1!F949</f>
        <v>2</v>
      </c>
      <c r="G948" s="22">
        <f>[2]S1!G949</f>
        <v>0</v>
      </c>
      <c r="H948" s="22">
        <f>[2]S1!H949</f>
        <v>0</v>
      </c>
      <c r="I948" s="22">
        <f>[2]S1!I949</f>
        <v>0</v>
      </c>
      <c r="J948" s="13">
        <f>[2]S1!J949</f>
        <v>0</v>
      </c>
      <c r="K948" s="19">
        <f>[2]S1!K949</f>
        <v>202</v>
      </c>
      <c r="L948" s="52">
        <f>[2]S1!L949</f>
        <v>0</v>
      </c>
      <c r="M948" s="58">
        <f>[2]S1!M949</f>
        <v>0</v>
      </c>
      <c r="N948" s="49">
        <f>[2]S1!P949</f>
        <v>8078622395</v>
      </c>
      <c r="O948" s="14"/>
    </row>
    <row r="949" spans="1:15" x14ac:dyDescent="0.3">
      <c r="A949" s="11">
        <v>3996</v>
      </c>
      <c r="B949" s="12" t="str">
        <f>[3]Name!E3000</f>
        <v>Soniya Kumari Bagamar</v>
      </c>
      <c r="C949" s="13">
        <f>[2]S1!C950</f>
        <v>0</v>
      </c>
      <c r="D949" s="13">
        <f>[2]S1!D950</f>
        <v>0</v>
      </c>
      <c r="E949" s="26">
        <f>[2]S1!E950</f>
        <v>200</v>
      </c>
      <c r="F949" s="26">
        <f>[2]S1!F950</f>
        <v>2</v>
      </c>
      <c r="G949" s="22">
        <f>[2]S1!G950</f>
        <v>0</v>
      </c>
      <c r="H949" s="22">
        <f>[2]S1!H950</f>
        <v>0</v>
      </c>
      <c r="I949" s="22">
        <f>[2]S1!I950</f>
        <v>0</v>
      </c>
      <c r="J949" s="13">
        <f>[2]S1!J950</f>
        <v>0</v>
      </c>
      <c r="K949" s="19">
        <f>[2]S1!K950</f>
        <v>202</v>
      </c>
      <c r="L949" s="52">
        <f>[2]S1!L950</f>
        <v>0</v>
      </c>
      <c r="M949" s="58">
        <f>[2]S1!M950</f>
        <v>0</v>
      </c>
      <c r="N949" s="49">
        <f>[2]S1!P950</f>
        <v>8078622395</v>
      </c>
      <c r="O949" s="14"/>
    </row>
    <row r="950" spans="1:15" x14ac:dyDescent="0.3">
      <c r="A950" s="11">
        <v>3997</v>
      </c>
      <c r="B950" s="12" t="str">
        <f>[3]Name!E3001</f>
        <v>Mikka</v>
      </c>
      <c r="C950" s="13">
        <f>[2]S1!C951</f>
        <v>0</v>
      </c>
      <c r="D950" s="13">
        <f>[2]S1!D951</f>
        <v>0</v>
      </c>
      <c r="E950" s="26">
        <f>[2]S1!E951</f>
        <v>200</v>
      </c>
      <c r="F950" s="26">
        <f>[2]S1!F951</f>
        <v>2</v>
      </c>
      <c r="G950" s="22">
        <f>[2]S1!G951</f>
        <v>0</v>
      </c>
      <c r="H950" s="22">
        <f>[2]S1!H951</f>
        <v>0</v>
      </c>
      <c r="I950" s="22">
        <f>[2]S1!I951</f>
        <v>0</v>
      </c>
      <c r="J950" s="13">
        <f>[2]S1!J951</f>
        <v>0</v>
      </c>
      <c r="K950" s="19">
        <f>[2]S1!K951</f>
        <v>202</v>
      </c>
      <c r="L950" s="52">
        <f>[2]S1!L951</f>
        <v>0</v>
      </c>
      <c r="M950" s="58">
        <f>[2]S1!M951</f>
        <v>0</v>
      </c>
      <c r="N950" s="49">
        <f>[2]S1!P951</f>
        <v>8078622395</v>
      </c>
      <c r="O950" s="14"/>
    </row>
    <row r="951" spans="1:15" x14ac:dyDescent="0.3">
      <c r="A951" s="11">
        <v>3998</v>
      </c>
      <c r="B951" s="12" t="str">
        <f>[3]Name!E3002</f>
        <v>Sarvan budagaya</v>
      </c>
      <c r="C951" s="13">
        <f>[2]S1!C952</f>
        <v>0</v>
      </c>
      <c r="D951" s="13">
        <f>[2]S1!D952</f>
        <v>0</v>
      </c>
      <c r="E951" s="26">
        <f>[2]S1!E952</f>
        <v>200</v>
      </c>
      <c r="F951" s="26">
        <f>[2]S1!F952</f>
        <v>0</v>
      </c>
      <c r="G951" s="22">
        <f>[2]S1!G952</f>
        <v>14387</v>
      </c>
      <c r="H951" s="22">
        <f>[2]S1!H952</f>
        <v>0</v>
      </c>
      <c r="I951" s="22">
        <f>[2]S1!I952</f>
        <v>144</v>
      </c>
      <c r="J951" s="13">
        <f>[2]S1!J952</f>
        <v>0</v>
      </c>
      <c r="K951" s="19">
        <f>[2]S1!K952</f>
        <v>14731</v>
      </c>
      <c r="L951" s="52">
        <f>[2]S1!L952</f>
        <v>14387</v>
      </c>
      <c r="M951" s="58">
        <f>[2]S1!M952</f>
        <v>10</v>
      </c>
      <c r="N951" s="49">
        <f>[2]S1!P952</f>
        <v>9116421345</v>
      </c>
      <c r="O951" s="14"/>
    </row>
    <row r="952" spans="1:15" x14ac:dyDescent="0.3">
      <c r="A952" s="11">
        <v>3999</v>
      </c>
      <c r="B952" s="12" t="str">
        <f>[3]Name!E3003</f>
        <v>Priyanka Budagaya</v>
      </c>
      <c r="C952" s="13">
        <f>[2]S1!C953</f>
        <v>0</v>
      </c>
      <c r="D952" s="13">
        <f>[2]S1!D953</f>
        <v>0</v>
      </c>
      <c r="E952" s="26">
        <f>[2]S1!E953</f>
        <v>200</v>
      </c>
      <c r="F952" s="26">
        <f>[2]S1!F953</f>
        <v>0</v>
      </c>
      <c r="G952" s="22">
        <f>[2]S1!G953</f>
        <v>15500</v>
      </c>
      <c r="H952" s="22">
        <f>[2]S1!H953</f>
        <v>0</v>
      </c>
      <c r="I952" s="22">
        <f>[2]S1!I953</f>
        <v>155</v>
      </c>
      <c r="J952" s="13">
        <f>[2]S1!J953</f>
        <v>0</v>
      </c>
      <c r="K952" s="19">
        <f>[2]S1!K953</f>
        <v>15855</v>
      </c>
      <c r="L952" s="52">
        <f>[2]S1!L953</f>
        <v>15500</v>
      </c>
      <c r="M952" s="58">
        <f>[2]S1!M953</f>
        <v>10</v>
      </c>
      <c r="N952" s="49">
        <f>[2]S1!P953</f>
        <v>9116421345</v>
      </c>
      <c r="O952" s="14"/>
    </row>
    <row r="953" spans="1:15" x14ac:dyDescent="0.3">
      <c r="A953" s="11">
        <v>4000</v>
      </c>
      <c r="B953" s="12" t="str">
        <f>[3]Name!E3004</f>
        <v xml:space="preserve">Yasavi </v>
      </c>
      <c r="C953" s="13">
        <f>[2]S1!C954</f>
        <v>0</v>
      </c>
      <c r="D953" s="13">
        <f>[2]S1!D954</f>
        <v>0</v>
      </c>
      <c r="E953" s="26">
        <f>[2]S1!E954</f>
        <v>200</v>
      </c>
      <c r="F953" s="26">
        <f>[2]S1!F954</f>
        <v>0</v>
      </c>
      <c r="G953" s="22">
        <f>[2]S1!G954</f>
        <v>15500</v>
      </c>
      <c r="H953" s="22">
        <f>[2]S1!H954</f>
        <v>0</v>
      </c>
      <c r="I953" s="22">
        <f>[2]S1!I954</f>
        <v>155</v>
      </c>
      <c r="J953" s="13">
        <f>[2]S1!J954</f>
        <v>0</v>
      </c>
      <c r="K953" s="19">
        <f>[2]S1!K954</f>
        <v>15855</v>
      </c>
      <c r="L953" s="52">
        <f>[2]S1!L954</f>
        <v>15500</v>
      </c>
      <c r="M953" s="58">
        <f>[2]S1!M954</f>
        <v>10</v>
      </c>
      <c r="N953" s="49">
        <f>[2]S1!P954</f>
        <v>9116421345</v>
      </c>
      <c r="O953" s="14"/>
    </row>
    <row r="954" spans="1:15" x14ac:dyDescent="0.3">
      <c r="A954" s="11">
        <v>4001</v>
      </c>
      <c r="B954" s="12" t="str">
        <f>[3]Name!E3005</f>
        <v>Tulasi Devi Budgaya</v>
      </c>
      <c r="C954" s="13">
        <f>[2]S1!C955</f>
        <v>0</v>
      </c>
      <c r="D954" s="13">
        <f>[2]S1!D955</f>
        <v>0</v>
      </c>
      <c r="E954" s="26">
        <f>[2]S1!E955</f>
        <v>200</v>
      </c>
      <c r="F954" s="26">
        <f>[2]S1!F955</f>
        <v>0</v>
      </c>
      <c r="G954" s="22">
        <f>[2]S1!G955</f>
        <v>15500</v>
      </c>
      <c r="H954" s="22">
        <f>[2]S1!H955</f>
        <v>0</v>
      </c>
      <c r="I954" s="22">
        <f>[2]S1!I955</f>
        <v>155</v>
      </c>
      <c r="J954" s="13">
        <f>[2]S1!J955</f>
        <v>0</v>
      </c>
      <c r="K954" s="19">
        <f>[2]S1!K955</f>
        <v>15855</v>
      </c>
      <c r="L954" s="52">
        <f>[2]S1!L955</f>
        <v>15500</v>
      </c>
      <c r="M954" s="58">
        <f>[2]S1!M955</f>
        <v>10</v>
      </c>
      <c r="N954" s="49">
        <f>[2]S1!P955</f>
        <v>9116421345</v>
      </c>
      <c r="O954" s="14"/>
    </row>
    <row r="955" spans="1:15" x14ac:dyDescent="0.3">
      <c r="A955" s="11">
        <v>4002</v>
      </c>
      <c r="B955" s="12" t="str">
        <f>[3]Name!E3006</f>
        <v>Jypal</v>
      </c>
      <c r="C955" s="13">
        <f>[2]S1!C956</f>
        <v>1000</v>
      </c>
      <c r="D955" s="13">
        <f>[2]S1!D956</f>
        <v>0</v>
      </c>
      <c r="E955" s="26">
        <f>[2]S1!E956</f>
        <v>200</v>
      </c>
      <c r="F955" s="26">
        <f>[2]S1!F956</f>
        <v>0</v>
      </c>
      <c r="G955" s="22">
        <f>[2]S1!G956</f>
        <v>1000</v>
      </c>
      <c r="H955" s="22">
        <f>[2]S1!H956</f>
        <v>0</v>
      </c>
      <c r="I955" s="22">
        <f>[2]S1!I956</f>
        <v>80</v>
      </c>
      <c r="J955" s="13">
        <f>[2]S1!J956</f>
        <v>0</v>
      </c>
      <c r="K955" s="19">
        <f>[2]S1!K956</f>
        <v>1280</v>
      </c>
      <c r="L955" s="52">
        <f>[2]S1!L956</f>
        <v>8000</v>
      </c>
      <c r="M955" s="58">
        <f>[2]S1!M956</f>
        <v>13</v>
      </c>
      <c r="N955" s="49">
        <f>[2]S1!P956</f>
        <v>8000857197</v>
      </c>
      <c r="O955" s="14"/>
    </row>
    <row r="956" spans="1:15" x14ac:dyDescent="0.3">
      <c r="A956" s="11">
        <v>4003</v>
      </c>
      <c r="B956" s="12" t="str">
        <f>[3]Name!E3007</f>
        <v>Suman</v>
      </c>
      <c r="C956" s="13">
        <f>[2]S1!C957</f>
        <v>1000</v>
      </c>
      <c r="D956" s="13">
        <f>[2]S1!D957</f>
        <v>0</v>
      </c>
      <c r="E956" s="26">
        <f>[2]S1!E957</f>
        <v>200</v>
      </c>
      <c r="F956" s="26">
        <f>[2]S1!F957</f>
        <v>0</v>
      </c>
      <c r="G956" s="22">
        <f>[2]S1!G957</f>
        <v>0</v>
      </c>
      <c r="H956" s="22">
        <f>[2]S1!H957</f>
        <v>0</v>
      </c>
      <c r="I956" s="22">
        <f>[2]S1!I957</f>
        <v>46</v>
      </c>
      <c r="J956" s="13">
        <f>[2]S1!J957</f>
        <v>0</v>
      </c>
      <c r="K956" s="19">
        <f>[2]S1!K957</f>
        <v>246</v>
      </c>
      <c r="L956" s="52">
        <f>[2]S1!L957</f>
        <v>4638</v>
      </c>
      <c r="M956" s="58">
        <f>[2]S1!M957</f>
        <v>14</v>
      </c>
      <c r="N956" s="49">
        <f>[2]S1!P957</f>
        <v>8000857197</v>
      </c>
      <c r="O956" s="14"/>
    </row>
    <row r="957" spans="1:15" x14ac:dyDescent="0.3">
      <c r="A957" s="11">
        <v>4004</v>
      </c>
      <c r="B957" s="12" t="str">
        <f>[3]Name!E3008</f>
        <v>Pema ram</v>
      </c>
      <c r="C957" s="13">
        <f>[2]S1!C958</f>
        <v>0</v>
      </c>
      <c r="D957" s="13">
        <f>[2]S1!D958</f>
        <v>2213</v>
      </c>
      <c r="E957" s="26">
        <f>[2]S1!E958</f>
        <v>3000</v>
      </c>
      <c r="F957" s="26">
        <f>[2]S1!F958</f>
        <v>1303</v>
      </c>
      <c r="G957" s="22">
        <f>[2]S1!G958</f>
        <v>5000</v>
      </c>
      <c r="H957" s="22">
        <f>[2]S1!H958</f>
        <v>3122</v>
      </c>
      <c r="I957" s="22">
        <f>[2]S1!I958</f>
        <v>750</v>
      </c>
      <c r="J957" s="13">
        <f>[2]S1!J958</f>
        <v>0</v>
      </c>
      <c r="K957" s="19">
        <f>[2]S1!K958</f>
        <v>13175</v>
      </c>
      <c r="L957" s="52">
        <f>[2]S1!L958</f>
        <v>5000</v>
      </c>
      <c r="M957" s="58">
        <f>[2]S1!M958</f>
        <v>15</v>
      </c>
      <c r="N957" s="49">
        <f>[2]S1!P958</f>
        <v>7023851055</v>
      </c>
      <c r="O957" s="14"/>
    </row>
    <row r="958" spans="1:15" x14ac:dyDescent="0.3">
      <c r="A958" s="11">
        <v>4005</v>
      </c>
      <c r="B958" s="12" t="str">
        <f>[3]Name!E3009</f>
        <v>Rama</v>
      </c>
      <c r="C958" s="13">
        <f>[2]S1!C959</f>
        <v>0</v>
      </c>
      <c r="D958" s="13">
        <f>[2]S1!D959</f>
        <v>2213</v>
      </c>
      <c r="E958" s="26">
        <f>[2]S1!E959</f>
        <v>3000</v>
      </c>
      <c r="F958" s="26">
        <f>[2]S1!F959</f>
        <v>1303</v>
      </c>
      <c r="G958" s="22">
        <f>[2]S1!G959</f>
        <v>5000</v>
      </c>
      <c r="H958" s="22">
        <f>[2]S1!H959</f>
        <v>3122</v>
      </c>
      <c r="I958" s="22">
        <f>[2]S1!I959</f>
        <v>750</v>
      </c>
      <c r="J958" s="13">
        <f>[2]S1!J959</f>
        <v>0</v>
      </c>
      <c r="K958" s="19">
        <f>[2]S1!K959</f>
        <v>13175</v>
      </c>
      <c r="L958" s="52">
        <f>[2]S1!L959</f>
        <v>5000</v>
      </c>
      <c r="M958" s="58">
        <f>[2]S1!M959</f>
        <v>15</v>
      </c>
      <c r="N958" s="49">
        <f>[2]S1!P959</f>
        <v>7023851055</v>
      </c>
      <c r="O958" s="14"/>
    </row>
    <row r="959" spans="1:15" x14ac:dyDescent="0.3">
      <c r="A959" s="11">
        <v>4006</v>
      </c>
      <c r="B959" s="12" t="str">
        <f>[3]Name!E3010</f>
        <v xml:space="preserve">Onkar shing </v>
      </c>
      <c r="C959" s="13">
        <f>[2]S1!C960</f>
        <v>0</v>
      </c>
      <c r="D959" s="13">
        <f>[2]S1!D960</f>
        <v>796</v>
      </c>
      <c r="E959" s="26">
        <f>[2]S1!E960</f>
        <v>3000</v>
      </c>
      <c r="F959" s="26">
        <f>[2]S1!F960</f>
        <v>1303</v>
      </c>
      <c r="G959" s="22">
        <f>[2]S1!G960</f>
        <v>1550</v>
      </c>
      <c r="H959" s="22">
        <f>[2]S1!H960</f>
        <v>971</v>
      </c>
      <c r="I959" s="22">
        <f>[2]S1!I960</f>
        <v>240</v>
      </c>
      <c r="J959" s="13">
        <f>[2]S1!J960</f>
        <v>0</v>
      </c>
      <c r="K959" s="19">
        <f>[2]S1!K960</f>
        <v>7064</v>
      </c>
      <c r="L959" s="52">
        <f>[2]S1!L960</f>
        <v>1550</v>
      </c>
      <c r="M959" s="58">
        <f>[2]S1!M960</f>
        <v>15</v>
      </c>
      <c r="N959" s="49">
        <f>[2]S1!P960</f>
        <v>7023851055</v>
      </c>
      <c r="O959" s="14"/>
    </row>
    <row r="960" spans="1:15" x14ac:dyDescent="0.3">
      <c r="A960" s="11">
        <v>4007</v>
      </c>
      <c r="B960" s="12" t="str">
        <f>[3]Name!E3011</f>
        <v>Bidami Devi</v>
      </c>
      <c r="C960" s="13">
        <f>[2]S1!C961</f>
        <v>0</v>
      </c>
      <c r="D960" s="13">
        <f>[2]S1!D961</f>
        <v>445</v>
      </c>
      <c r="E960" s="26">
        <f>[2]S1!E961</f>
        <v>2966</v>
      </c>
      <c r="F960" s="26">
        <f>[2]S1!F961</f>
        <v>1271</v>
      </c>
      <c r="G960" s="22">
        <f>[2]S1!G961</f>
        <v>0</v>
      </c>
      <c r="H960" s="22">
        <f>[2]S1!H961</f>
        <v>0</v>
      </c>
      <c r="I960" s="22">
        <f>[2]S1!I961</f>
        <v>0</v>
      </c>
      <c r="J960" s="13">
        <f>[2]S1!J961</f>
        <v>0</v>
      </c>
      <c r="K960" s="19">
        <f>[2]S1!K961</f>
        <v>4237</v>
      </c>
      <c r="L960" s="52">
        <f>[2]S1!L961</f>
        <v>0</v>
      </c>
      <c r="M960" s="58">
        <f>[2]S1!M961</f>
        <v>0</v>
      </c>
      <c r="N960" s="49">
        <f>[2]S1!P961</f>
        <v>7023851055</v>
      </c>
      <c r="O960" s="14"/>
    </row>
    <row r="961" spans="1:15" x14ac:dyDescent="0.3">
      <c r="A961" s="11">
        <v>4008</v>
      </c>
      <c r="B961" s="12" t="str">
        <f>[3]Name!E3012</f>
        <v>Chanchal</v>
      </c>
      <c r="C961" s="13">
        <f>[2]S1!C962</f>
        <v>0</v>
      </c>
      <c r="D961" s="13">
        <f>[2]S1!D962</f>
        <v>0</v>
      </c>
      <c r="E961" s="26">
        <f>[2]S1!E962</f>
        <v>200</v>
      </c>
      <c r="F961" s="26">
        <f>[2]S1!F962</f>
        <v>0</v>
      </c>
      <c r="G961" s="22">
        <f>[2]S1!G962</f>
        <v>0</v>
      </c>
      <c r="H961" s="22">
        <f>[2]S1!H962</f>
        <v>0</v>
      </c>
      <c r="I961" s="22">
        <f>[2]S1!I962</f>
        <v>0</v>
      </c>
      <c r="J961" s="13">
        <f>[2]S1!J962</f>
        <v>0</v>
      </c>
      <c r="K961" s="19">
        <f>[2]S1!K962</f>
        <v>200</v>
      </c>
      <c r="L961" s="52">
        <f>[2]S1!L962</f>
        <v>0</v>
      </c>
      <c r="M961" s="58">
        <f>[2]S1!M962</f>
        <v>0</v>
      </c>
      <c r="N961" s="49">
        <f>[2]S1!P962</f>
        <v>98294503307</v>
      </c>
      <c r="O961" s="14"/>
    </row>
    <row r="962" spans="1:15" x14ac:dyDescent="0.3">
      <c r="A962" s="11">
        <v>4009</v>
      </c>
      <c r="B962" s="12" t="str">
        <f>[3]Name!E3013</f>
        <v>Priya</v>
      </c>
      <c r="C962" s="13">
        <f>[2]S1!C963</f>
        <v>0</v>
      </c>
      <c r="D962" s="13">
        <f>[2]S1!D963</f>
        <v>0</v>
      </c>
      <c r="E962" s="26">
        <f>[2]S1!E963</f>
        <v>200</v>
      </c>
      <c r="F962" s="26">
        <f>[2]S1!F963</f>
        <v>0</v>
      </c>
      <c r="G962" s="22">
        <f>[2]S1!G963</f>
        <v>0</v>
      </c>
      <c r="H962" s="22">
        <f>[2]S1!H963</f>
        <v>0</v>
      </c>
      <c r="I962" s="22">
        <f>[2]S1!I963</f>
        <v>0</v>
      </c>
      <c r="J962" s="13">
        <f>[2]S1!J963</f>
        <v>0</v>
      </c>
      <c r="K962" s="19">
        <f>[2]S1!K963</f>
        <v>200</v>
      </c>
      <c r="L962" s="52">
        <f>[2]S1!L963</f>
        <v>0</v>
      </c>
      <c r="M962" s="58">
        <f>[2]S1!M963</f>
        <v>0</v>
      </c>
      <c r="N962" s="49">
        <f>[2]S1!P963</f>
        <v>98294503307</v>
      </c>
      <c r="O962" s="14"/>
    </row>
    <row r="963" spans="1:15" x14ac:dyDescent="0.3">
      <c r="A963" s="11">
        <v>4010</v>
      </c>
      <c r="B963" s="12" t="str">
        <f>[3]Name!E3014</f>
        <v>Rosan</v>
      </c>
      <c r="C963" s="13">
        <f>[2]S1!C964</f>
        <v>0</v>
      </c>
      <c r="D963" s="13">
        <f>[2]S1!D964</f>
        <v>0</v>
      </c>
      <c r="E963" s="26">
        <f>[2]S1!E964</f>
        <v>200</v>
      </c>
      <c r="F963" s="26">
        <f>[2]S1!F964</f>
        <v>0</v>
      </c>
      <c r="G963" s="22">
        <f>[2]S1!G964</f>
        <v>0</v>
      </c>
      <c r="H963" s="22">
        <f>[2]S1!H964</f>
        <v>0</v>
      </c>
      <c r="I963" s="22">
        <f>[2]S1!I964</f>
        <v>0</v>
      </c>
      <c r="J963" s="13">
        <f>[2]S1!J964</f>
        <v>0</v>
      </c>
      <c r="K963" s="19">
        <f>[2]S1!K964</f>
        <v>200</v>
      </c>
      <c r="L963" s="52">
        <f>[2]S1!L964</f>
        <v>0</v>
      </c>
      <c r="M963" s="58">
        <f>[2]S1!M964</f>
        <v>0</v>
      </c>
      <c r="N963" s="49">
        <f>[2]S1!P964</f>
        <v>98294503307</v>
      </c>
      <c r="O963" s="14"/>
    </row>
    <row r="964" spans="1:15" x14ac:dyDescent="0.3">
      <c r="A964" s="11">
        <v>4011</v>
      </c>
      <c r="B964" s="12" t="str">
        <f>[3]Name!E3015</f>
        <v>Sampati Devi Narnoliya</v>
      </c>
      <c r="C964" s="13">
        <f>[2]S1!C965</f>
        <v>21000</v>
      </c>
      <c r="D964" s="13">
        <f>[2]S1!D965</f>
        <v>0</v>
      </c>
      <c r="E964" s="26">
        <f>[2]S1!E965</f>
        <v>0</v>
      </c>
      <c r="F964" s="26">
        <f>[2]S1!F965</f>
        <v>0</v>
      </c>
      <c r="G964" s="22">
        <f>[2]S1!G965</f>
        <v>1000</v>
      </c>
      <c r="H964" s="22">
        <f>[2]S1!H965</f>
        <v>0</v>
      </c>
      <c r="I964" s="22">
        <f>[2]S1!I965</f>
        <v>220</v>
      </c>
      <c r="J964" s="13">
        <f>[2]S1!J965</f>
        <v>0</v>
      </c>
      <c r="K964" s="19">
        <f>[2]S1!K965</f>
        <v>1220</v>
      </c>
      <c r="L964" s="52">
        <f>[2]S1!L965</f>
        <v>22000</v>
      </c>
      <c r="M964" s="58">
        <f>[2]S1!M965</f>
        <v>9</v>
      </c>
      <c r="N964" s="49">
        <f>[2]S1!P965</f>
        <v>9782323306</v>
      </c>
      <c r="O964" s="14"/>
    </row>
    <row r="965" spans="1:15" x14ac:dyDescent="0.3">
      <c r="A965" s="11">
        <v>4012</v>
      </c>
      <c r="B965" s="12" t="str">
        <f>[3]Name!E3016</f>
        <v>Priyansu Narnoliya</v>
      </c>
      <c r="C965" s="13">
        <f>[2]S1!C966</f>
        <v>21000</v>
      </c>
      <c r="D965" s="13">
        <f>[2]S1!D966</f>
        <v>0</v>
      </c>
      <c r="E965" s="26">
        <f>[2]S1!E966</f>
        <v>0</v>
      </c>
      <c r="F965" s="26">
        <f>[2]S1!F966</f>
        <v>0</v>
      </c>
      <c r="G965" s="22">
        <f>[2]S1!G966</f>
        <v>1000</v>
      </c>
      <c r="H965" s="22">
        <f>[2]S1!H966</f>
        <v>0</v>
      </c>
      <c r="I965" s="22">
        <f>[2]S1!I966</f>
        <v>220</v>
      </c>
      <c r="J965" s="13">
        <f>[2]S1!J966</f>
        <v>0</v>
      </c>
      <c r="K965" s="19">
        <f>[2]S1!K966</f>
        <v>1220</v>
      </c>
      <c r="L965" s="52">
        <f>[2]S1!L966</f>
        <v>22000</v>
      </c>
      <c r="M965" s="58">
        <f>[2]S1!M966</f>
        <v>9</v>
      </c>
      <c r="N965" s="49">
        <f>[2]S1!P966</f>
        <v>9782323306</v>
      </c>
      <c r="O965" s="14"/>
    </row>
    <row r="966" spans="1:15" x14ac:dyDescent="0.3">
      <c r="A966" s="11">
        <v>4013</v>
      </c>
      <c r="B966" s="12" t="str">
        <f>[3]Name!E3017</f>
        <v>Sangita Devi malinda</v>
      </c>
      <c r="C966" s="13">
        <f>[2]S1!C967</f>
        <v>500</v>
      </c>
      <c r="D966" s="13">
        <f>[2]S1!D967</f>
        <v>0</v>
      </c>
      <c r="E966" s="26">
        <f>[2]S1!E967</f>
        <v>200</v>
      </c>
      <c r="F966" s="26">
        <f>[2]S1!F967</f>
        <v>0</v>
      </c>
      <c r="G966" s="22">
        <f>[2]S1!G967</f>
        <v>0</v>
      </c>
      <c r="H966" s="22">
        <f>[2]S1!H967</f>
        <v>0</v>
      </c>
      <c r="I966" s="22">
        <f>[2]S1!I967</f>
        <v>55</v>
      </c>
      <c r="J966" s="13">
        <f>[2]S1!J967</f>
        <v>0</v>
      </c>
      <c r="K966" s="19">
        <f>[2]S1!K967</f>
        <v>255</v>
      </c>
      <c r="L966" s="52">
        <f>[2]S1!L967</f>
        <v>5471</v>
      </c>
      <c r="M966" s="58">
        <f>[2]S1!M967</f>
        <v>12</v>
      </c>
      <c r="N966" s="49">
        <f>[2]S1!P967</f>
        <v>7891681482</v>
      </c>
      <c r="O966" s="14"/>
    </row>
    <row r="967" spans="1:15" x14ac:dyDescent="0.3">
      <c r="A967" s="11">
        <v>4014</v>
      </c>
      <c r="B967" s="12" t="str">
        <f>[3]Name!E3018</f>
        <v>Joti  Kumari malinda</v>
      </c>
      <c r="C967" s="13">
        <f>[2]S1!C968</f>
        <v>500</v>
      </c>
      <c r="D967" s="13">
        <f>[2]S1!D968</f>
        <v>0</v>
      </c>
      <c r="E967" s="26">
        <f>[2]S1!E968</f>
        <v>200</v>
      </c>
      <c r="F967" s="26">
        <f>[2]S1!F968</f>
        <v>0</v>
      </c>
      <c r="G967" s="22">
        <f>[2]S1!G968</f>
        <v>0</v>
      </c>
      <c r="H967" s="22">
        <f>[2]S1!H968</f>
        <v>0</v>
      </c>
      <c r="I967" s="22">
        <f>[2]S1!I968</f>
        <v>115</v>
      </c>
      <c r="J967" s="13">
        <f>[2]S1!J968</f>
        <v>0</v>
      </c>
      <c r="K967" s="19">
        <f>[2]S1!K968</f>
        <v>315</v>
      </c>
      <c r="L967" s="52">
        <f>[2]S1!L968</f>
        <v>11523</v>
      </c>
      <c r="M967" s="58">
        <f>[2]S1!M968</f>
        <v>12</v>
      </c>
      <c r="N967" s="49">
        <f>[2]S1!P968</f>
        <v>7891681482</v>
      </c>
      <c r="O967" s="14"/>
    </row>
    <row r="968" spans="1:15" x14ac:dyDescent="0.3">
      <c r="A968" s="11">
        <v>4015</v>
      </c>
      <c r="B968" s="12" t="str">
        <f>[3]Name!E3019</f>
        <v>Yogesh kumar mandaeval</v>
      </c>
      <c r="C968" s="13">
        <f>[2]S1!C969</f>
        <v>1000</v>
      </c>
      <c r="D968" s="13">
        <f>[2]S1!D969</f>
        <v>0</v>
      </c>
      <c r="E968" s="26">
        <f>[2]S1!E969</f>
        <v>200</v>
      </c>
      <c r="F968" s="26">
        <f>[2]S1!F969</f>
        <v>0</v>
      </c>
      <c r="G968" s="22">
        <f>[2]S1!G969</f>
        <v>1000</v>
      </c>
      <c r="H968" s="22">
        <f>[2]S1!H969</f>
        <v>0</v>
      </c>
      <c r="I968" s="22">
        <f>[2]S1!I969</f>
        <v>110</v>
      </c>
      <c r="J968" s="13">
        <f>[2]S1!J969</f>
        <v>0</v>
      </c>
      <c r="K968" s="19">
        <f>[2]S1!K969</f>
        <v>1310</v>
      </c>
      <c r="L968" s="52">
        <f>[2]S1!L969</f>
        <v>11000</v>
      </c>
      <c r="M968" s="58">
        <f>[2]S1!M969</f>
        <v>10</v>
      </c>
      <c r="N968" s="49">
        <f>[2]S1!P969</f>
        <v>9887981709</v>
      </c>
      <c r="O968" s="14"/>
    </row>
    <row r="969" spans="1:15" x14ac:dyDescent="0.3">
      <c r="A969" s="11">
        <v>4016</v>
      </c>
      <c r="B969" s="12" t="str">
        <f>[3]Name!E3020</f>
        <v>Laxman Kalohiya</v>
      </c>
      <c r="C969" s="13">
        <f>[2]S1!C970</f>
        <v>0</v>
      </c>
      <c r="D969" s="13">
        <f>[2]S1!D970</f>
        <v>0</v>
      </c>
      <c r="E969" s="26">
        <f>[2]S1!E970</f>
        <v>1000</v>
      </c>
      <c r="F969" s="26">
        <f>[2]S1!F970</f>
        <v>103</v>
      </c>
      <c r="G969" s="22">
        <f>[2]S1!G970</f>
        <v>308</v>
      </c>
      <c r="H969" s="22">
        <f>[2]S1!H970</f>
        <v>0</v>
      </c>
      <c r="I969" s="22">
        <f>[2]S1!I970</f>
        <v>15</v>
      </c>
      <c r="J969" s="13">
        <f>[2]S1!J970</f>
        <v>0</v>
      </c>
      <c r="K969" s="19">
        <f>[2]S1!K970</f>
        <v>1426</v>
      </c>
      <c r="L969" s="52">
        <f>[2]S1!L970</f>
        <v>308</v>
      </c>
      <c r="M969" s="58">
        <f>[2]S1!M970</f>
        <v>7</v>
      </c>
      <c r="N969" s="49">
        <f>[2]S1!P970</f>
        <v>9782135618</v>
      </c>
      <c r="O969" s="14"/>
    </row>
    <row r="970" spans="1:15" x14ac:dyDescent="0.3">
      <c r="A970" s="11">
        <v>4017</v>
      </c>
      <c r="B970" s="12" t="str">
        <f>[3]Name!E3021</f>
        <v>Mangal chand Katariya</v>
      </c>
      <c r="C970" s="13">
        <f>[2]S1!C971</f>
        <v>500</v>
      </c>
      <c r="D970" s="13">
        <f>[2]S1!D971</f>
        <v>0</v>
      </c>
      <c r="E970" s="26">
        <f>[2]S1!E971</f>
        <v>400</v>
      </c>
      <c r="F970" s="26">
        <f>[2]S1!F971</f>
        <v>10</v>
      </c>
      <c r="G970" s="22">
        <f>[2]S1!G971</f>
        <v>500</v>
      </c>
      <c r="H970" s="22">
        <f>[2]S1!H971</f>
        <v>0</v>
      </c>
      <c r="I970" s="22">
        <f>[2]S1!I971</f>
        <v>145</v>
      </c>
      <c r="J970" s="13">
        <f>[2]S1!J971</f>
        <v>0</v>
      </c>
      <c r="K970" s="19">
        <f>[2]S1!K971</f>
        <v>1055</v>
      </c>
      <c r="L970" s="52">
        <f>[2]S1!L971</f>
        <v>14500</v>
      </c>
      <c r="M970" s="58">
        <f>[2]S1!M971</f>
        <v>12</v>
      </c>
      <c r="N970" s="49">
        <f>[2]S1!P971</f>
        <v>9680047030</v>
      </c>
      <c r="O970" s="14"/>
    </row>
    <row r="971" spans="1:15" x14ac:dyDescent="0.3">
      <c r="A971" s="11">
        <v>4018</v>
      </c>
      <c r="B971" s="12" t="str">
        <f>[3]Name!E3022</f>
        <v>Maya Devi Katariya</v>
      </c>
      <c r="C971" s="13">
        <f>[2]S1!C972</f>
        <v>500</v>
      </c>
      <c r="D971" s="13">
        <f>[2]S1!D972</f>
        <v>0</v>
      </c>
      <c r="E971" s="26">
        <f>[2]S1!E972</f>
        <v>400</v>
      </c>
      <c r="F971" s="26">
        <f>[2]S1!F972</f>
        <v>10</v>
      </c>
      <c r="G971" s="22">
        <f>[2]S1!G972</f>
        <v>500</v>
      </c>
      <c r="H971" s="22">
        <f>[2]S1!H972</f>
        <v>0</v>
      </c>
      <c r="I971" s="22">
        <f>[2]S1!I972</f>
        <v>145</v>
      </c>
      <c r="J971" s="13">
        <f>[2]S1!J972</f>
        <v>0</v>
      </c>
      <c r="K971" s="19">
        <f>[2]S1!K972</f>
        <v>1055</v>
      </c>
      <c r="L971" s="52">
        <f>[2]S1!L972</f>
        <v>14500</v>
      </c>
      <c r="M971" s="58">
        <f>[2]S1!M972</f>
        <v>12</v>
      </c>
      <c r="N971" s="49">
        <f>[2]S1!P972</f>
        <v>9680047030</v>
      </c>
      <c r="O971" s="14"/>
    </row>
    <row r="972" spans="1:15" x14ac:dyDescent="0.3">
      <c r="A972" s="11">
        <v>4019</v>
      </c>
      <c r="B972" s="12" t="str">
        <f>[3]Name!E3023</f>
        <v>Jagadish Katariya</v>
      </c>
      <c r="C972" s="13">
        <f>[2]S1!C973</f>
        <v>500</v>
      </c>
      <c r="D972" s="13">
        <f>[2]S1!D973</f>
        <v>0</v>
      </c>
      <c r="E972" s="26">
        <f>[2]S1!E973</f>
        <v>400</v>
      </c>
      <c r="F972" s="26">
        <f>[2]S1!F973</f>
        <v>10</v>
      </c>
      <c r="G972" s="22">
        <f>[2]S1!G973</f>
        <v>0</v>
      </c>
      <c r="H972" s="22">
        <f>[2]S1!H973</f>
        <v>0</v>
      </c>
      <c r="I972" s="22">
        <f>[2]S1!I973</f>
        <v>129</v>
      </c>
      <c r="J972" s="13">
        <f>[2]S1!J973</f>
        <v>0</v>
      </c>
      <c r="K972" s="19">
        <f>[2]S1!K973</f>
        <v>539</v>
      </c>
      <c r="L972" s="52">
        <f>[2]S1!L973</f>
        <v>12923</v>
      </c>
      <c r="M972" s="58">
        <f>[2]S1!M973</f>
        <v>12</v>
      </c>
      <c r="N972" s="49">
        <f>[2]S1!P973</f>
        <v>9680047030</v>
      </c>
      <c r="O972" s="14"/>
    </row>
    <row r="973" spans="1:15" x14ac:dyDescent="0.3">
      <c r="A973" s="11">
        <v>4020</v>
      </c>
      <c r="B973" s="12" t="str">
        <f>[3]Name!E3024</f>
        <v>Kanu kumari Katariya</v>
      </c>
      <c r="C973" s="13">
        <f>[2]S1!C974</f>
        <v>500</v>
      </c>
      <c r="D973" s="13">
        <f>[2]S1!D974</f>
        <v>0</v>
      </c>
      <c r="E973" s="26">
        <f>[2]S1!E974</f>
        <v>211</v>
      </c>
      <c r="F973" s="26">
        <f>[2]S1!F974</f>
        <v>1</v>
      </c>
      <c r="G973" s="22">
        <f>[2]S1!G974</f>
        <v>500</v>
      </c>
      <c r="H973" s="22">
        <f>[2]S1!H974</f>
        <v>0</v>
      </c>
      <c r="I973" s="22">
        <f>[2]S1!I974</f>
        <v>145</v>
      </c>
      <c r="J973" s="13">
        <f>[2]S1!J974</f>
        <v>0</v>
      </c>
      <c r="K973" s="19">
        <f>[2]S1!K974</f>
        <v>857</v>
      </c>
      <c r="L973" s="52">
        <f>[2]S1!L974</f>
        <v>14500</v>
      </c>
      <c r="M973" s="58">
        <f>[2]S1!M974</f>
        <v>12</v>
      </c>
      <c r="N973" s="49">
        <f>[2]S1!P974</f>
        <v>9680047030</v>
      </c>
      <c r="O973" s="14"/>
    </row>
    <row r="974" spans="1:15" x14ac:dyDescent="0.3">
      <c r="A974" s="11">
        <v>4021</v>
      </c>
      <c r="B974" s="12" t="str">
        <f>[3]Name!E3025</f>
        <v>Guddu kumari Katariya</v>
      </c>
      <c r="C974" s="13">
        <f>[2]S1!C975</f>
        <v>500</v>
      </c>
      <c r="D974" s="13">
        <f>[2]S1!D975</f>
        <v>0</v>
      </c>
      <c r="E974" s="26">
        <f>[2]S1!E975</f>
        <v>200</v>
      </c>
      <c r="F974" s="26">
        <f>[2]S1!F975</f>
        <v>0</v>
      </c>
      <c r="G974" s="22">
        <f>[2]S1!G975</f>
        <v>500</v>
      </c>
      <c r="H974" s="22">
        <f>[2]S1!H975</f>
        <v>0</v>
      </c>
      <c r="I974" s="22">
        <f>[2]S1!I975</f>
        <v>145</v>
      </c>
      <c r="J974" s="13">
        <f>[2]S1!J975</f>
        <v>0</v>
      </c>
      <c r="K974" s="19">
        <f>[2]S1!K975</f>
        <v>845</v>
      </c>
      <c r="L974" s="52">
        <f>[2]S1!L975</f>
        <v>14500</v>
      </c>
      <c r="M974" s="58">
        <f>[2]S1!M975</f>
        <v>12</v>
      </c>
      <c r="N974" s="49">
        <f>[2]S1!P975</f>
        <v>9680047030</v>
      </c>
      <c r="O974" s="14"/>
    </row>
    <row r="975" spans="1:15" x14ac:dyDescent="0.3">
      <c r="A975" s="11">
        <v>4022</v>
      </c>
      <c r="B975" s="12" t="str">
        <f>[3]Name!E3026</f>
        <v>Mukesh kumar Katariya</v>
      </c>
      <c r="C975" s="13">
        <f>[2]S1!C976</f>
        <v>500</v>
      </c>
      <c r="D975" s="13">
        <f>[2]S1!D976</f>
        <v>0</v>
      </c>
      <c r="E975" s="26">
        <f>[2]S1!E976</f>
        <v>200</v>
      </c>
      <c r="F975" s="26">
        <f>[2]S1!F976</f>
        <v>0</v>
      </c>
      <c r="G975" s="22">
        <f>[2]S1!G976</f>
        <v>0</v>
      </c>
      <c r="H975" s="22">
        <f>[2]S1!H976</f>
        <v>0</v>
      </c>
      <c r="I975" s="22">
        <f>[2]S1!I976</f>
        <v>0</v>
      </c>
      <c r="J975" s="13">
        <f>[2]S1!J976</f>
        <v>0</v>
      </c>
      <c r="K975" s="19">
        <f>[2]S1!K976</f>
        <v>200</v>
      </c>
      <c r="L975" s="52">
        <f>[2]S1!L976</f>
        <v>0</v>
      </c>
      <c r="M975" s="58">
        <f>[2]S1!M976</f>
        <v>0</v>
      </c>
      <c r="N975" s="49">
        <f>[2]S1!P976</f>
        <v>8005916423</v>
      </c>
      <c r="O975" s="14"/>
    </row>
    <row r="976" spans="1:15" x14ac:dyDescent="0.3">
      <c r="A976" s="11">
        <v>4023</v>
      </c>
      <c r="B976" s="12" t="str">
        <f>[3]Name!E3027</f>
        <v>Sona Devi Katariya</v>
      </c>
      <c r="C976" s="13">
        <f>[2]S1!C977</f>
        <v>500</v>
      </c>
      <c r="D976" s="13">
        <f>[2]S1!D977</f>
        <v>0</v>
      </c>
      <c r="E976" s="26">
        <f>[2]S1!E977</f>
        <v>200</v>
      </c>
      <c r="F976" s="26">
        <f>[2]S1!F977</f>
        <v>0</v>
      </c>
      <c r="G976" s="22">
        <f>[2]S1!G977</f>
        <v>0</v>
      </c>
      <c r="H976" s="22">
        <f>[2]S1!H977</f>
        <v>0</v>
      </c>
      <c r="I976" s="22">
        <f>[2]S1!I977</f>
        <v>142</v>
      </c>
      <c r="J976" s="13">
        <f>[2]S1!J977</f>
        <v>0</v>
      </c>
      <c r="K976" s="19">
        <f>[2]S1!K977</f>
        <v>342</v>
      </c>
      <c r="L976" s="52">
        <f>[2]S1!L977</f>
        <v>14152</v>
      </c>
      <c r="M976" s="58">
        <f>[2]S1!M977</f>
        <v>11</v>
      </c>
      <c r="N976" s="49">
        <f>[2]S1!P977</f>
        <v>8005916423</v>
      </c>
      <c r="O976" s="14"/>
    </row>
    <row r="977" spans="1:15" x14ac:dyDescent="0.3">
      <c r="A977" s="11">
        <v>4024</v>
      </c>
      <c r="B977" s="12" t="str">
        <f>[3]Name!E3028</f>
        <v>Jagadish Katariya</v>
      </c>
      <c r="C977" s="13">
        <f>[2]S1!C978</f>
        <v>500</v>
      </c>
      <c r="D977" s="13">
        <f>[2]S1!D978</f>
        <v>0</v>
      </c>
      <c r="E977" s="26">
        <f>[2]S1!E978</f>
        <v>200</v>
      </c>
      <c r="F977" s="26">
        <f>[2]S1!F978</f>
        <v>0</v>
      </c>
      <c r="G977" s="22">
        <f>[2]S1!G978</f>
        <v>500</v>
      </c>
      <c r="H977" s="22">
        <f>[2]S1!H978</f>
        <v>0</v>
      </c>
      <c r="I977" s="22">
        <f>[2]S1!I978</f>
        <v>150</v>
      </c>
      <c r="J977" s="13">
        <f>[2]S1!J978</f>
        <v>0</v>
      </c>
      <c r="K977" s="19">
        <f>[2]S1!K978</f>
        <v>850</v>
      </c>
      <c r="L977" s="52">
        <f>[2]S1!L978</f>
        <v>15000</v>
      </c>
      <c r="M977" s="58">
        <f>[2]S1!M978</f>
        <v>11</v>
      </c>
      <c r="N977" s="49">
        <f>[2]S1!P978</f>
        <v>8005916423</v>
      </c>
      <c r="O977" s="14"/>
    </row>
    <row r="978" spans="1:15" x14ac:dyDescent="0.3">
      <c r="A978" s="11">
        <v>4025</v>
      </c>
      <c r="B978" s="12" t="str">
        <f>[3]Name!E3029</f>
        <v>Mannu kumari Katariya</v>
      </c>
      <c r="C978" s="13">
        <f>[2]S1!C979</f>
        <v>500</v>
      </c>
      <c r="D978" s="13">
        <f>[2]S1!D979</f>
        <v>0</v>
      </c>
      <c r="E978" s="26">
        <f>[2]S1!E979</f>
        <v>200</v>
      </c>
      <c r="F978" s="26">
        <f>[2]S1!F979</f>
        <v>0</v>
      </c>
      <c r="G978" s="22">
        <f>[2]S1!G979</f>
        <v>500</v>
      </c>
      <c r="H978" s="22">
        <f>[2]S1!H979</f>
        <v>0</v>
      </c>
      <c r="I978" s="22">
        <f>[2]S1!I979</f>
        <v>150</v>
      </c>
      <c r="J978" s="13">
        <f>[2]S1!J979</f>
        <v>0</v>
      </c>
      <c r="K978" s="19">
        <f>[2]S1!K979</f>
        <v>850</v>
      </c>
      <c r="L978" s="52">
        <f>[2]S1!L979</f>
        <v>15000</v>
      </c>
      <c r="M978" s="58">
        <f>[2]S1!M979</f>
        <v>11</v>
      </c>
      <c r="N978" s="49">
        <f>[2]S1!P979</f>
        <v>8005916423</v>
      </c>
      <c r="O978" s="14"/>
    </row>
    <row r="979" spans="1:15" x14ac:dyDescent="0.3">
      <c r="A979" s="11">
        <v>4026</v>
      </c>
      <c r="B979" s="12" t="str">
        <f>[3]Name!E3030</f>
        <v>Prish kumar Katariya</v>
      </c>
      <c r="C979" s="13">
        <f>[2]S1!C980</f>
        <v>500</v>
      </c>
      <c r="D979" s="13">
        <f>[2]S1!D980</f>
        <v>0</v>
      </c>
      <c r="E979" s="26">
        <f>[2]S1!E980</f>
        <v>200</v>
      </c>
      <c r="F979" s="26">
        <f>[2]S1!F980</f>
        <v>0</v>
      </c>
      <c r="G979" s="22">
        <f>[2]S1!G980</f>
        <v>500</v>
      </c>
      <c r="H979" s="22">
        <f>[2]S1!H980</f>
        <v>0</v>
      </c>
      <c r="I979" s="22">
        <f>[2]S1!I980</f>
        <v>150</v>
      </c>
      <c r="J979" s="13">
        <f>[2]S1!J980</f>
        <v>0</v>
      </c>
      <c r="K979" s="19">
        <f>[2]S1!K980</f>
        <v>850</v>
      </c>
      <c r="L979" s="52">
        <f>[2]S1!L980</f>
        <v>15000</v>
      </c>
      <c r="M979" s="58">
        <f>[2]S1!M980</f>
        <v>11</v>
      </c>
      <c r="N979" s="49">
        <f>[2]S1!P980</f>
        <v>8005916423</v>
      </c>
      <c r="O979" s="14"/>
    </row>
    <row r="980" spans="1:15" x14ac:dyDescent="0.3">
      <c r="A980" s="11">
        <v>4027</v>
      </c>
      <c r="B980" s="12" t="str">
        <f>[3]Name!E3031</f>
        <v>Mangal chand Katariya</v>
      </c>
      <c r="C980" s="13">
        <f>[2]S1!C981</f>
        <v>250</v>
      </c>
      <c r="D980" s="13">
        <f>[2]S1!D981</f>
        <v>0</v>
      </c>
      <c r="E980" s="26">
        <f>[2]S1!E981</f>
        <v>200</v>
      </c>
      <c r="F980" s="26">
        <f>[2]S1!F981</f>
        <v>0</v>
      </c>
      <c r="G980" s="22">
        <f>[2]S1!G981</f>
        <v>250</v>
      </c>
      <c r="H980" s="22">
        <f>[2]S1!H981</f>
        <v>0</v>
      </c>
      <c r="I980" s="22">
        <f>[2]S1!I981</f>
        <v>178</v>
      </c>
      <c r="J980" s="13">
        <f>[2]S1!J981</f>
        <v>0</v>
      </c>
      <c r="K980" s="19">
        <f>[2]S1!K981</f>
        <v>628</v>
      </c>
      <c r="L980" s="52">
        <f>[2]S1!L981</f>
        <v>17750</v>
      </c>
      <c r="M980" s="58">
        <f>[2]S1!M981</f>
        <v>10</v>
      </c>
      <c r="N980" s="49">
        <f>[2]S1!P981</f>
        <v>9680047030</v>
      </c>
      <c r="O980" s="14"/>
    </row>
    <row r="981" spans="1:15" x14ac:dyDescent="0.3">
      <c r="A981" s="11">
        <v>4028</v>
      </c>
      <c r="B981" s="12" t="str">
        <f>[3]Name!E3032</f>
        <v>Maya Devi Katariya</v>
      </c>
      <c r="C981" s="13">
        <f>[2]S1!C982</f>
        <v>250</v>
      </c>
      <c r="D981" s="13">
        <f>[2]S1!D982</f>
        <v>0</v>
      </c>
      <c r="E981" s="26">
        <f>[2]S1!E982</f>
        <v>200</v>
      </c>
      <c r="F981" s="26">
        <f>[2]S1!F982</f>
        <v>0</v>
      </c>
      <c r="G981" s="22">
        <f>[2]S1!G982</f>
        <v>0</v>
      </c>
      <c r="H981" s="22">
        <f>[2]S1!H982</f>
        <v>0</v>
      </c>
      <c r="I981" s="22">
        <f>[2]S1!I982</f>
        <v>162</v>
      </c>
      <c r="J981" s="13">
        <f>[2]S1!J982</f>
        <v>0</v>
      </c>
      <c r="K981" s="19">
        <f>[2]S1!K982</f>
        <v>362</v>
      </c>
      <c r="L981" s="52">
        <f>[2]S1!L982</f>
        <v>16199</v>
      </c>
      <c r="M981" s="58">
        <f>[2]S1!M982</f>
        <v>10</v>
      </c>
      <c r="N981" s="49">
        <f>[2]S1!P982</f>
        <v>9680047030</v>
      </c>
      <c r="O981" s="14"/>
    </row>
    <row r="982" spans="1:15" x14ac:dyDescent="0.3">
      <c r="A982" s="11">
        <v>4029</v>
      </c>
      <c r="B982" s="12" t="str">
        <f>[3]Name!E3033</f>
        <v>Jagadish Katariya</v>
      </c>
      <c r="C982" s="13">
        <f>[2]S1!C983</f>
        <v>250</v>
      </c>
      <c r="D982" s="13">
        <f>[2]S1!D983</f>
        <v>0</v>
      </c>
      <c r="E982" s="26">
        <f>[2]S1!E983</f>
        <v>200</v>
      </c>
      <c r="F982" s="26">
        <f>[2]S1!F983</f>
        <v>0</v>
      </c>
      <c r="G982" s="22">
        <f>[2]S1!G983</f>
        <v>250</v>
      </c>
      <c r="H982" s="22">
        <f>[2]S1!H983</f>
        <v>0</v>
      </c>
      <c r="I982" s="22">
        <f>[2]S1!I983</f>
        <v>178</v>
      </c>
      <c r="J982" s="13">
        <f>[2]S1!J983</f>
        <v>0</v>
      </c>
      <c r="K982" s="19">
        <f>[2]S1!K983</f>
        <v>628</v>
      </c>
      <c r="L982" s="52">
        <f>[2]S1!L983</f>
        <v>17750</v>
      </c>
      <c r="M982" s="58">
        <f>[2]S1!M983</f>
        <v>10</v>
      </c>
      <c r="N982" s="49">
        <f>[2]S1!P983</f>
        <v>9680047030</v>
      </c>
      <c r="O982" s="14"/>
    </row>
    <row r="983" spans="1:15" x14ac:dyDescent="0.3">
      <c r="A983" s="11">
        <v>4030</v>
      </c>
      <c r="B983" s="12" t="str">
        <f>[3]Name!E3034</f>
        <v>Kanu kumari Katariya</v>
      </c>
      <c r="C983" s="13">
        <f>[2]S1!C984</f>
        <v>250</v>
      </c>
      <c r="D983" s="13">
        <f>[2]S1!D984</f>
        <v>0</v>
      </c>
      <c r="E983" s="26">
        <f>[2]S1!E984</f>
        <v>200</v>
      </c>
      <c r="F983" s="26">
        <f>[2]S1!F984</f>
        <v>0</v>
      </c>
      <c r="G983" s="22">
        <f>[2]S1!G984</f>
        <v>250</v>
      </c>
      <c r="H983" s="22">
        <f>[2]S1!H984</f>
        <v>0</v>
      </c>
      <c r="I983" s="22">
        <f>[2]S1!I984</f>
        <v>178</v>
      </c>
      <c r="J983" s="13">
        <f>[2]S1!J984</f>
        <v>0</v>
      </c>
      <c r="K983" s="19">
        <f>[2]S1!K984</f>
        <v>628</v>
      </c>
      <c r="L983" s="52">
        <f>[2]S1!L984</f>
        <v>17750</v>
      </c>
      <c r="M983" s="58">
        <f>[2]S1!M984</f>
        <v>10</v>
      </c>
      <c r="N983" s="49">
        <f>[2]S1!P984</f>
        <v>9680047030</v>
      </c>
      <c r="O983" s="14"/>
    </row>
    <row r="984" spans="1:15" x14ac:dyDescent="0.3">
      <c r="A984" s="11">
        <v>4031</v>
      </c>
      <c r="B984" s="12" t="str">
        <f>[3]Name!E3035</f>
        <v>Guddu kumari Katariya</v>
      </c>
      <c r="C984" s="13">
        <f>[2]S1!C985</f>
        <v>250</v>
      </c>
      <c r="D984" s="13">
        <f>[2]S1!D985</f>
        <v>0</v>
      </c>
      <c r="E984" s="26">
        <f>[2]S1!E985</f>
        <v>200</v>
      </c>
      <c r="F984" s="26">
        <f>[2]S1!F985</f>
        <v>0</v>
      </c>
      <c r="G984" s="22">
        <f>[2]S1!G985</f>
        <v>250</v>
      </c>
      <c r="H984" s="22">
        <f>[2]S1!H985</f>
        <v>0</v>
      </c>
      <c r="I984" s="22">
        <f>[2]S1!I985</f>
        <v>178</v>
      </c>
      <c r="J984" s="13">
        <f>[2]S1!J985</f>
        <v>0</v>
      </c>
      <c r="K984" s="19">
        <f>[2]S1!K985</f>
        <v>628</v>
      </c>
      <c r="L984" s="52">
        <f>[2]S1!L985</f>
        <v>17750</v>
      </c>
      <c r="M984" s="58">
        <f>[2]S1!M985</f>
        <v>10</v>
      </c>
      <c r="N984" s="49">
        <f>[2]S1!P985</f>
        <v>9680047030</v>
      </c>
      <c r="O984" s="14"/>
    </row>
    <row r="985" spans="1:15" x14ac:dyDescent="0.3">
      <c r="A985" s="11">
        <v>4032</v>
      </c>
      <c r="B985" s="12" t="str">
        <f>[3]Name!E3036</f>
        <v>Babu Lal Pachriya</v>
      </c>
      <c r="C985" s="13">
        <f>[2]S1!C986</f>
        <v>469</v>
      </c>
      <c r="D985" s="13">
        <f>[2]S1!D986</f>
        <v>0</v>
      </c>
      <c r="E985" s="26">
        <f>[2]S1!E986</f>
        <v>400</v>
      </c>
      <c r="F985" s="26">
        <f>[2]S1!F986</f>
        <v>10</v>
      </c>
      <c r="G985" s="22">
        <f>[2]S1!G986</f>
        <v>0</v>
      </c>
      <c r="H985" s="22">
        <f>[2]S1!H986</f>
        <v>0</v>
      </c>
      <c r="I985" s="22">
        <f>[2]S1!I986</f>
        <v>92</v>
      </c>
      <c r="J985" s="13">
        <f>[2]S1!J986</f>
        <v>0</v>
      </c>
      <c r="K985" s="19">
        <f>[2]S1!K986</f>
        <v>502</v>
      </c>
      <c r="L985" s="52">
        <f>[2]S1!L986</f>
        <v>4562</v>
      </c>
      <c r="M985" s="58">
        <f>[2]S1!M986</f>
        <v>4</v>
      </c>
      <c r="N985" s="49">
        <f>[2]S1!P986</f>
        <v>9001114455</v>
      </c>
      <c r="O985" s="14"/>
    </row>
    <row r="986" spans="1:15" x14ac:dyDescent="0.3">
      <c r="A986" s="11">
        <v>4033</v>
      </c>
      <c r="B986" s="12" t="str">
        <f>[3]Name!E3037</f>
        <v>Susila Pachriya</v>
      </c>
      <c r="C986" s="13">
        <f>[2]S1!C987</f>
        <v>500</v>
      </c>
      <c r="D986" s="13">
        <f>[2]S1!D987</f>
        <v>0</v>
      </c>
      <c r="E986" s="26">
        <f>[2]S1!E987</f>
        <v>400</v>
      </c>
      <c r="F986" s="26">
        <f>[2]S1!F987</f>
        <v>10</v>
      </c>
      <c r="G986" s="22">
        <f>[2]S1!G987</f>
        <v>0</v>
      </c>
      <c r="H986" s="22">
        <f>[2]S1!H987</f>
        <v>2</v>
      </c>
      <c r="I986" s="22">
        <f>[2]S1!I987</f>
        <v>90</v>
      </c>
      <c r="J986" s="13">
        <f>[2]S1!J987</f>
        <v>0</v>
      </c>
      <c r="K986" s="19">
        <f>[2]S1!K987</f>
        <v>502</v>
      </c>
      <c r="L986" s="52">
        <f>[2]S1!L987</f>
        <v>4500</v>
      </c>
      <c r="M986" s="58">
        <f>[2]S1!M987</f>
        <v>4</v>
      </c>
      <c r="N986" s="49">
        <f>[2]S1!P987</f>
        <v>9001114455</v>
      </c>
      <c r="O986" s="14"/>
    </row>
    <row r="987" spans="1:15" x14ac:dyDescent="0.3">
      <c r="A987" s="11">
        <v>4034</v>
      </c>
      <c r="B987" s="12" t="str">
        <f>[3]Name!E3038</f>
        <v>Hiya Pachriya</v>
      </c>
      <c r="C987" s="13">
        <f>[2]S1!C988</f>
        <v>500</v>
      </c>
      <c r="D987" s="13">
        <f>[2]S1!D988</f>
        <v>0</v>
      </c>
      <c r="E987" s="26">
        <f>[2]S1!E988</f>
        <v>400</v>
      </c>
      <c r="F987" s="26">
        <f>[2]S1!F988</f>
        <v>10</v>
      </c>
      <c r="G987" s="22">
        <f>[2]S1!G988</f>
        <v>0</v>
      </c>
      <c r="H987" s="22">
        <f>[2]S1!H988</f>
        <v>2</v>
      </c>
      <c r="I987" s="22">
        <f>[2]S1!I988</f>
        <v>90</v>
      </c>
      <c r="J987" s="13">
        <f>[2]S1!J988</f>
        <v>0</v>
      </c>
      <c r="K987" s="19">
        <f>[2]S1!K988</f>
        <v>502</v>
      </c>
      <c r="L987" s="52">
        <f>[2]S1!L988</f>
        <v>4500</v>
      </c>
      <c r="M987" s="58">
        <f>[2]S1!M988</f>
        <v>4</v>
      </c>
      <c r="N987" s="49">
        <f>[2]S1!P988</f>
        <v>9001114455</v>
      </c>
      <c r="O987" s="14"/>
    </row>
    <row r="988" spans="1:15" x14ac:dyDescent="0.3">
      <c r="A988" s="11">
        <v>4035</v>
      </c>
      <c r="B988" s="12" t="str">
        <f>[3]Name!E3039</f>
        <v>Lihan Pachriya</v>
      </c>
      <c r="C988" s="13">
        <f>[2]S1!C989</f>
        <v>500</v>
      </c>
      <c r="D988" s="13">
        <f>[2]S1!D989</f>
        <v>0</v>
      </c>
      <c r="E988" s="26">
        <f>[2]S1!E989</f>
        <v>400</v>
      </c>
      <c r="F988" s="26">
        <f>[2]S1!F989</f>
        <v>10</v>
      </c>
      <c r="G988" s="22">
        <f>[2]S1!G989</f>
        <v>0</v>
      </c>
      <c r="H988" s="22">
        <f>[2]S1!H989</f>
        <v>2</v>
      </c>
      <c r="I988" s="22">
        <f>[2]S1!I989</f>
        <v>90</v>
      </c>
      <c r="J988" s="13">
        <f>[2]S1!J989</f>
        <v>0</v>
      </c>
      <c r="K988" s="19">
        <f>[2]S1!K989</f>
        <v>502</v>
      </c>
      <c r="L988" s="52">
        <f>[2]S1!L989</f>
        <v>4500</v>
      </c>
      <c r="M988" s="58">
        <f>[2]S1!M989</f>
        <v>4</v>
      </c>
      <c r="N988" s="49">
        <f>[2]S1!P989</f>
        <v>9001114455</v>
      </c>
      <c r="O988" s="14"/>
    </row>
    <row r="989" spans="1:15" x14ac:dyDescent="0.3">
      <c r="A989" s="11">
        <v>4036</v>
      </c>
      <c r="B989" s="12" t="str">
        <f>[3]Name!E3040</f>
        <v>Ramesh Chand Budgaya</v>
      </c>
      <c r="C989" s="13">
        <f>[2]S1!C990</f>
        <v>0</v>
      </c>
      <c r="D989" s="13">
        <f>[2]S1!D990</f>
        <v>0</v>
      </c>
      <c r="E989" s="26">
        <f>[2]S1!E990</f>
        <v>200</v>
      </c>
      <c r="F989" s="26">
        <f>[2]S1!F990</f>
        <v>0</v>
      </c>
      <c r="G989" s="22">
        <f>[2]S1!G990</f>
        <v>0</v>
      </c>
      <c r="H989" s="22">
        <f>[2]S1!H990</f>
        <v>0</v>
      </c>
      <c r="I989" s="22">
        <f>[2]S1!I990</f>
        <v>0</v>
      </c>
      <c r="J989" s="13">
        <f>[2]S1!J990</f>
        <v>0</v>
      </c>
      <c r="K989" s="19">
        <f>[2]S1!K990</f>
        <v>200</v>
      </c>
      <c r="L989" s="52">
        <f>[2]S1!L990</f>
        <v>0</v>
      </c>
      <c r="M989" s="58">
        <f>[2]S1!M990</f>
        <v>0</v>
      </c>
      <c r="N989" s="49">
        <f>[2]S1!P990</f>
        <v>9116421345</v>
      </c>
      <c r="O989" s="14"/>
    </row>
    <row r="990" spans="1:15" x14ac:dyDescent="0.3">
      <c r="A990" s="11">
        <v>4037</v>
      </c>
      <c r="B990" s="12" t="str">
        <f>[3]Name!E3041</f>
        <v>Sarvan Kumar Budgaya</v>
      </c>
      <c r="C990" s="13">
        <f>[2]S1!C991</f>
        <v>0</v>
      </c>
      <c r="D990" s="13">
        <f>[2]S1!D991</f>
        <v>0</v>
      </c>
      <c r="E990" s="26">
        <f>[2]S1!E991</f>
        <v>200</v>
      </c>
      <c r="F990" s="26">
        <f>[2]S1!F991</f>
        <v>0</v>
      </c>
      <c r="G990" s="22">
        <f>[2]S1!G991</f>
        <v>0</v>
      </c>
      <c r="H990" s="22">
        <f>[2]S1!H991</f>
        <v>0</v>
      </c>
      <c r="I990" s="22">
        <f>[2]S1!I991</f>
        <v>0</v>
      </c>
      <c r="J990" s="13">
        <f>[2]S1!J991</f>
        <v>0</v>
      </c>
      <c r="K990" s="19">
        <f>[2]S1!K991</f>
        <v>200</v>
      </c>
      <c r="L990" s="52">
        <f>[2]S1!L991</f>
        <v>0</v>
      </c>
      <c r="M990" s="58">
        <f>[2]S1!M991</f>
        <v>0</v>
      </c>
      <c r="N990" s="49">
        <f>[2]S1!P991</f>
        <v>9116421345</v>
      </c>
      <c r="O990" s="14"/>
    </row>
    <row r="991" spans="1:15" x14ac:dyDescent="0.3">
      <c r="A991" s="11">
        <v>4038</v>
      </c>
      <c r="B991" s="12" t="str">
        <f>[3]Name!E3042</f>
        <v>Kisan Varma</v>
      </c>
      <c r="C991" s="13">
        <f>[2]S1!C992</f>
        <v>0</v>
      </c>
      <c r="D991" s="13">
        <f>[2]S1!D992</f>
        <v>0</v>
      </c>
      <c r="E991" s="26">
        <f>[2]S1!E992</f>
        <v>200</v>
      </c>
      <c r="F991" s="26">
        <f>[2]S1!F992</f>
        <v>0</v>
      </c>
      <c r="G991" s="22">
        <f>[2]S1!G992</f>
        <v>0</v>
      </c>
      <c r="H991" s="22">
        <f>[2]S1!H992</f>
        <v>0</v>
      </c>
      <c r="I991" s="22">
        <f>[2]S1!I992</f>
        <v>0</v>
      </c>
      <c r="J991" s="13">
        <f>[2]S1!J992</f>
        <v>0</v>
      </c>
      <c r="K991" s="19">
        <f>[2]S1!K992</f>
        <v>200</v>
      </c>
      <c r="L991" s="52">
        <f>[2]S1!L992</f>
        <v>0</v>
      </c>
      <c r="M991" s="58">
        <f>[2]S1!M992</f>
        <v>0</v>
      </c>
      <c r="N991" s="49">
        <f>[2]S1!P992</f>
        <v>9116421345</v>
      </c>
      <c r="O991" s="14"/>
    </row>
    <row r="992" spans="1:15" x14ac:dyDescent="0.3">
      <c r="A992" s="11">
        <v>4039</v>
      </c>
      <c r="B992" s="12" t="str">
        <f>[3]Name!E3043</f>
        <v>Rahul Varma</v>
      </c>
      <c r="C992" s="13">
        <f>[2]S1!C993</f>
        <v>0</v>
      </c>
      <c r="D992" s="13">
        <f>[2]S1!D993</f>
        <v>0</v>
      </c>
      <c r="E992" s="26">
        <f>[2]S1!E993</f>
        <v>200</v>
      </c>
      <c r="F992" s="26">
        <f>[2]S1!F993</f>
        <v>0</v>
      </c>
      <c r="G992" s="22">
        <f>[2]S1!G993</f>
        <v>0</v>
      </c>
      <c r="H992" s="22">
        <f>[2]S1!H993</f>
        <v>0</v>
      </c>
      <c r="I992" s="22">
        <f>[2]S1!I993</f>
        <v>0</v>
      </c>
      <c r="J992" s="13">
        <f>[2]S1!J993</f>
        <v>0</v>
      </c>
      <c r="K992" s="19">
        <f>[2]S1!K993</f>
        <v>200</v>
      </c>
      <c r="L992" s="52">
        <f>[2]S1!L993</f>
        <v>0</v>
      </c>
      <c r="M992" s="58">
        <f>[2]S1!M993</f>
        <v>0</v>
      </c>
      <c r="N992" s="49">
        <f>[2]S1!P993</f>
        <v>9116421345</v>
      </c>
      <c r="O992" s="14"/>
    </row>
    <row r="993" spans="1:15" x14ac:dyDescent="0.3">
      <c r="A993" s="11">
        <v>4040</v>
      </c>
      <c r="B993" s="12" t="str">
        <f>[3]Name!E3044</f>
        <v>Priyanka Varma</v>
      </c>
      <c r="C993" s="13">
        <f>[2]S1!C994</f>
        <v>0</v>
      </c>
      <c r="D993" s="13">
        <f>[2]S1!D994</f>
        <v>0</v>
      </c>
      <c r="E993" s="26">
        <f>[2]S1!E994</f>
        <v>200</v>
      </c>
      <c r="F993" s="26">
        <f>[2]S1!F994</f>
        <v>0</v>
      </c>
      <c r="G993" s="22">
        <f>[2]S1!G994</f>
        <v>0</v>
      </c>
      <c r="H993" s="22">
        <f>[2]S1!H994</f>
        <v>0</v>
      </c>
      <c r="I993" s="22">
        <f>[2]S1!I994</f>
        <v>0</v>
      </c>
      <c r="J993" s="13">
        <f>[2]S1!J994</f>
        <v>0</v>
      </c>
      <c r="K993" s="19">
        <f>[2]S1!K994</f>
        <v>200</v>
      </c>
      <c r="L993" s="52">
        <f>[2]S1!L994</f>
        <v>0</v>
      </c>
      <c r="M993" s="58">
        <f>[2]S1!M994</f>
        <v>0</v>
      </c>
      <c r="N993" s="49">
        <f>[2]S1!P994</f>
        <v>9116421345</v>
      </c>
      <c r="O993" s="14"/>
    </row>
    <row r="994" spans="1:15" x14ac:dyDescent="0.3">
      <c r="A994" s="11">
        <v>4041</v>
      </c>
      <c r="B994" s="12" t="str">
        <f>[3]Name!E3045</f>
        <v>Anita Ghodeta</v>
      </c>
      <c r="C994" s="13">
        <f>[2]S1!C995</f>
        <v>1000</v>
      </c>
      <c r="D994" s="13">
        <f>[2]S1!D995</f>
        <v>0</v>
      </c>
      <c r="E994" s="26">
        <f>[2]S1!E995</f>
        <v>200</v>
      </c>
      <c r="F994" s="26">
        <f>[2]S1!F995</f>
        <v>0</v>
      </c>
      <c r="G994" s="22">
        <f>[2]S1!G995</f>
        <v>1000</v>
      </c>
      <c r="H994" s="22">
        <f>[2]S1!H995</f>
        <v>0</v>
      </c>
      <c r="I994" s="22">
        <f>[2]S1!I995</f>
        <v>190</v>
      </c>
      <c r="J994" s="13">
        <f>[2]S1!J995</f>
        <v>0</v>
      </c>
      <c r="K994" s="19">
        <f>[2]S1!K995</f>
        <v>1390</v>
      </c>
      <c r="L994" s="52">
        <f>[2]S1!L995</f>
        <v>19000</v>
      </c>
      <c r="M994" s="58">
        <f>[2]S1!M995</f>
        <v>2</v>
      </c>
      <c r="N994" s="49">
        <f>[2]S1!P995</f>
        <v>8769913917</v>
      </c>
      <c r="O994" s="14"/>
    </row>
    <row r="995" spans="1:15" x14ac:dyDescent="0.3">
      <c r="A995" s="11">
        <v>4042</v>
      </c>
      <c r="B995" s="12" t="str">
        <f>[3]Name!E3046</f>
        <v>Prabhu Dayal Varma</v>
      </c>
      <c r="C995" s="13">
        <f>[2]S1!C996</f>
        <v>0</v>
      </c>
      <c r="D995" s="13">
        <f>[2]S1!D996</f>
        <v>0</v>
      </c>
      <c r="E995" s="26">
        <f>[2]S1!E996</f>
        <v>150</v>
      </c>
      <c r="F995" s="26">
        <f>[2]S1!F996</f>
        <v>0</v>
      </c>
      <c r="G995" s="22">
        <f>[2]S1!G996</f>
        <v>0</v>
      </c>
      <c r="H995" s="22">
        <f>[2]S1!H996</f>
        <v>0</v>
      </c>
      <c r="I995" s="22">
        <f>[2]S1!I996</f>
        <v>0</v>
      </c>
      <c r="J995" s="13">
        <f>[2]S1!J996</f>
        <v>0</v>
      </c>
      <c r="K995" s="19">
        <f>[2]S1!K996</f>
        <v>150</v>
      </c>
      <c r="L995" s="52">
        <f>[2]S1!L996</f>
        <v>0</v>
      </c>
      <c r="M995" s="58">
        <f>[2]S1!M996</f>
        <v>0</v>
      </c>
      <c r="N995" s="49">
        <f>[2]S1!P996</f>
        <v>9982953153</v>
      </c>
      <c r="O995" s="14"/>
    </row>
    <row r="996" spans="1:15" x14ac:dyDescent="0.3">
      <c r="A996" s="11">
        <v>4043</v>
      </c>
      <c r="B996" s="12" t="str">
        <f>[3]Name!E3047</f>
        <v>Bhuri Devi Varma</v>
      </c>
      <c r="C996" s="13">
        <f>[2]S1!C997</f>
        <v>0</v>
      </c>
      <c r="D996" s="13">
        <f>[2]S1!D997</f>
        <v>0</v>
      </c>
      <c r="E996" s="26">
        <f>[2]S1!E997</f>
        <v>100</v>
      </c>
      <c r="F996" s="26">
        <f>[2]S1!F997</f>
        <v>0</v>
      </c>
      <c r="G996" s="22">
        <f>[2]S1!G997</f>
        <v>0</v>
      </c>
      <c r="H996" s="22">
        <f>[2]S1!H997</f>
        <v>0</v>
      </c>
      <c r="I996" s="22">
        <f>[2]S1!I997</f>
        <v>0</v>
      </c>
      <c r="J996" s="13">
        <f>[2]S1!J997</f>
        <v>0</v>
      </c>
      <c r="K996" s="19">
        <f>[2]S1!K997</f>
        <v>100</v>
      </c>
      <c r="L996" s="52">
        <f>[2]S1!L997</f>
        <v>0</v>
      </c>
      <c r="M996" s="58">
        <f>[2]S1!M997</f>
        <v>0</v>
      </c>
      <c r="N996" s="49">
        <f>[2]S1!P997</f>
        <v>9982953153</v>
      </c>
      <c r="O996" s="14"/>
    </row>
    <row r="997" spans="1:15" x14ac:dyDescent="0.3">
      <c r="A997" s="11">
        <v>4044</v>
      </c>
      <c r="B997" s="12" t="str">
        <f>[3]Name!E3048</f>
        <v>Dindyal Kairapa</v>
      </c>
      <c r="C997" s="13">
        <f>[2]S1!C998</f>
        <v>1000</v>
      </c>
      <c r="D997" s="13">
        <f>[2]S1!D998</f>
        <v>0</v>
      </c>
      <c r="E997" s="26">
        <f>[2]S1!E998</f>
        <v>200</v>
      </c>
      <c r="F997" s="26">
        <f>[2]S1!F998</f>
        <v>0</v>
      </c>
      <c r="G997" s="22">
        <f>[2]S1!G998</f>
        <v>0</v>
      </c>
      <c r="H997" s="22">
        <f>[2]S1!H998</f>
        <v>0</v>
      </c>
      <c r="I997" s="22">
        <f>[2]S1!I998</f>
        <v>0</v>
      </c>
      <c r="J997" s="13">
        <f>[2]S1!J998</f>
        <v>0</v>
      </c>
      <c r="K997" s="19">
        <f>[2]S1!K998</f>
        <v>200</v>
      </c>
      <c r="L997" s="52">
        <f>[2]S1!L998</f>
        <v>0</v>
      </c>
      <c r="M997" s="58">
        <f>[2]S1!M998</f>
        <v>0</v>
      </c>
      <c r="N997" s="49">
        <f>[2]S1!P998</f>
        <v>7742016348</v>
      </c>
      <c r="O997" s="14"/>
    </row>
    <row r="998" spans="1:15" x14ac:dyDescent="0.3">
      <c r="A998" s="11">
        <v>4045</v>
      </c>
      <c r="B998" s="12" t="str">
        <f>[3]Name!E3049</f>
        <v>Mohit Kairapa</v>
      </c>
      <c r="C998" s="13">
        <f>[2]S1!C999</f>
        <v>1000</v>
      </c>
      <c r="D998" s="13">
        <f>[2]S1!D999</f>
        <v>0</v>
      </c>
      <c r="E998" s="26">
        <f>[2]S1!E999</f>
        <v>200</v>
      </c>
      <c r="F998" s="26">
        <f>[2]S1!F999</f>
        <v>0</v>
      </c>
      <c r="G998" s="22">
        <f>[2]S1!G999</f>
        <v>0</v>
      </c>
      <c r="H998" s="22">
        <f>[2]S1!H999</f>
        <v>0</v>
      </c>
      <c r="I998" s="22">
        <f>[2]S1!I999</f>
        <v>0</v>
      </c>
      <c r="J998" s="13">
        <f>[2]S1!J999</f>
        <v>0</v>
      </c>
      <c r="K998" s="19">
        <f>[2]S1!K999</f>
        <v>200</v>
      </c>
      <c r="L998" s="52">
        <f>[2]S1!L999</f>
        <v>0</v>
      </c>
      <c r="M998" s="58">
        <f>[2]S1!M999</f>
        <v>0</v>
      </c>
      <c r="N998" s="49">
        <f>[2]S1!P999</f>
        <v>7742016348</v>
      </c>
      <c r="O998" s="14"/>
    </row>
    <row r="999" spans="1:15" x14ac:dyDescent="0.3">
      <c r="A999" s="11">
        <v>4046</v>
      </c>
      <c r="B999" s="12" t="str">
        <f>[3]Name!E3050</f>
        <v>Raju Bhamniya</v>
      </c>
      <c r="C999" s="13">
        <f>[2]S1!C1000</f>
        <v>1000</v>
      </c>
      <c r="D999" s="13">
        <f>[2]S1!D1000</f>
        <v>0</v>
      </c>
      <c r="E999" s="26">
        <f>[2]S1!E1000</f>
        <v>0</v>
      </c>
      <c r="F999" s="26">
        <f>[2]S1!F1000</f>
        <v>0</v>
      </c>
      <c r="G999" s="22">
        <f>[2]S1!G1000</f>
        <v>0</v>
      </c>
      <c r="H999" s="22">
        <f>[2]S1!H1000</f>
        <v>0</v>
      </c>
      <c r="I999" s="22">
        <f>[2]S1!I1000</f>
        <v>0</v>
      </c>
      <c r="J999" s="13">
        <f>[2]S1!J1000</f>
        <v>0</v>
      </c>
      <c r="K999" s="19">
        <f>[2]S1!K1000</f>
        <v>0</v>
      </c>
      <c r="L999" s="52">
        <f>[2]S1!L1000</f>
        <v>13500</v>
      </c>
      <c r="M999" s="58">
        <f>[2]S1!M1000</f>
        <v>6</v>
      </c>
      <c r="N999" s="49">
        <f>[2]S1!P1000</f>
        <v>8306989133</v>
      </c>
      <c r="O999" s="14"/>
    </row>
    <row r="1000" spans="1:15" x14ac:dyDescent="0.3">
      <c r="A1000" s="11">
        <v>4047</v>
      </c>
      <c r="B1000" s="12" t="str">
        <f>[3]Name!E3051</f>
        <v>Manju Bhamniya</v>
      </c>
      <c r="C1000" s="13">
        <f>[2]S1!C1001</f>
        <v>1000</v>
      </c>
      <c r="D1000" s="13">
        <f>[2]S1!D1001</f>
        <v>0</v>
      </c>
      <c r="E1000" s="26">
        <f>[2]S1!E1001</f>
        <v>200</v>
      </c>
      <c r="F1000" s="26">
        <f>[2]S1!F1001</f>
        <v>0</v>
      </c>
      <c r="G1000" s="22">
        <f>[2]S1!G1001</f>
        <v>0</v>
      </c>
      <c r="H1000" s="22">
        <f>[2]S1!H1001</f>
        <v>0</v>
      </c>
      <c r="I1000" s="22">
        <f>[2]S1!I1001</f>
        <v>126</v>
      </c>
      <c r="J1000" s="13">
        <f>[2]S1!J1001</f>
        <v>0</v>
      </c>
      <c r="K1000" s="19">
        <f>[2]S1!K1001</f>
        <v>326</v>
      </c>
      <c r="L1000" s="52">
        <f>[2]S1!L1001</f>
        <v>12565</v>
      </c>
      <c r="M1000" s="58">
        <f>[2]S1!M1001</f>
        <v>6</v>
      </c>
      <c r="N1000" s="49">
        <f>[2]S1!P1001</f>
        <v>8306989133</v>
      </c>
      <c r="O1000" s="14"/>
    </row>
    <row r="1001" spans="1:15" x14ac:dyDescent="0.3">
      <c r="A1001" s="11">
        <v>4048</v>
      </c>
      <c r="B1001" s="12" t="str">
        <f>[3]Name!E3052</f>
        <v>Gopal Lal Barvad</v>
      </c>
      <c r="C1001" s="13">
        <f>[2]S1!C1002</f>
        <v>1000</v>
      </c>
      <c r="D1001" s="13">
        <f>[2]S1!D1002</f>
        <v>0</v>
      </c>
      <c r="E1001" s="26">
        <f>[2]S1!E1002</f>
        <v>200</v>
      </c>
      <c r="F1001" s="26">
        <f>[2]S1!F1002</f>
        <v>0</v>
      </c>
      <c r="G1001" s="22">
        <f>[2]S1!G1002</f>
        <v>1000</v>
      </c>
      <c r="H1001" s="22">
        <f>[2]S1!H1002</f>
        <v>0</v>
      </c>
      <c r="I1001" s="22">
        <f>[2]S1!I1002</f>
        <v>180</v>
      </c>
      <c r="J1001" s="13">
        <f>[2]S1!J1002</f>
        <v>0</v>
      </c>
      <c r="K1001" s="19">
        <f>[2]S1!K1002</f>
        <v>1380</v>
      </c>
      <c r="L1001" s="52">
        <f>[2]S1!L1002</f>
        <v>18000</v>
      </c>
      <c r="M1001" s="58">
        <f>[2]S1!M1002</f>
        <v>3</v>
      </c>
      <c r="N1001" s="49">
        <f>[2]S1!P1002</f>
        <v>9784911551</v>
      </c>
      <c r="O1001" s="14"/>
    </row>
    <row r="1002" spans="1:15" x14ac:dyDescent="0.3">
      <c r="A1002" s="11">
        <v>4049</v>
      </c>
      <c r="B1002" s="12" t="str">
        <f>[3]Name!E3053</f>
        <v>Kusumlata Baravad</v>
      </c>
      <c r="C1002" s="13">
        <f>[2]S1!C1003</f>
        <v>1000</v>
      </c>
      <c r="D1002" s="13">
        <f>[2]S1!D1003</f>
        <v>0</v>
      </c>
      <c r="E1002" s="26">
        <f>[2]S1!E1003</f>
        <v>193</v>
      </c>
      <c r="F1002" s="26">
        <f>[2]S1!F1003</f>
        <v>0</v>
      </c>
      <c r="G1002" s="22">
        <f>[2]S1!G1003</f>
        <v>1000</v>
      </c>
      <c r="H1002" s="22">
        <f>[2]S1!H1003</f>
        <v>0</v>
      </c>
      <c r="I1002" s="22">
        <f>[2]S1!I1003</f>
        <v>130</v>
      </c>
      <c r="J1002" s="13">
        <f>[2]S1!J1003</f>
        <v>0</v>
      </c>
      <c r="K1002" s="19">
        <f>[2]S1!K1003</f>
        <v>1323</v>
      </c>
      <c r="L1002" s="52">
        <f>[2]S1!L1003</f>
        <v>13000</v>
      </c>
      <c r="M1002" s="58">
        <f>[2]S1!M1003</f>
        <v>8</v>
      </c>
      <c r="N1002" s="49">
        <f>[2]S1!P1003</f>
        <v>9784575270</v>
      </c>
      <c r="O1002" s="14"/>
    </row>
    <row r="1003" spans="1:15" x14ac:dyDescent="0.3">
      <c r="A1003" s="11">
        <v>4050</v>
      </c>
      <c r="B1003" s="12" t="str">
        <f>[3]Name!E3054</f>
        <v>Kusumlata Baravad</v>
      </c>
      <c r="C1003" s="13">
        <f>[2]S1!C1004</f>
        <v>1000</v>
      </c>
      <c r="D1003" s="13">
        <f>[2]S1!D1004</f>
        <v>0</v>
      </c>
      <c r="E1003" s="26">
        <f>[2]S1!E1004</f>
        <v>200</v>
      </c>
      <c r="F1003" s="26">
        <f>[2]S1!F1004</f>
        <v>0</v>
      </c>
      <c r="G1003" s="22">
        <f>[2]S1!G1004</f>
        <v>1000</v>
      </c>
      <c r="H1003" s="22">
        <f>[2]S1!H1004</f>
        <v>0</v>
      </c>
      <c r="I1003" s="22">
        <f>[2]S1!I1004</f>
        <v>130</v>
      </c>
      <c r="J1003" s="13">
        <f>[2]S1!J1004</f>
        <v>0</v>
      </c>
      <c r="K1003" s="19">
        <f>[2]S1!K1004</f>
        <v>1330</v>
      </c>
      <c r="L1003" s="52">
        <f>[2]S1!L1004</f>
        <v>13000</v>
      </c>
      <c r="M1003" s="58">
        <f>[2]S1!M1004</f>
        <v>8</v>
      </c>
      <c r="N1003" s="49">
        <f>[2]S1!P1004</f>
        <v>9784575270</v>
      </c>
      <c r="O1003" s="14"/>
    </row>
    <row r="1004" spans="1:15" x14ac:dyDescent="0.3">
      <c r="A1004" s="11">
        <v>4051</v>
      </c>
      <c r="B1004" s="12" t="str">
        <f>[3]Name!E3055</f>
        <v>Kusumlata Baravad</v>
      </c>
      <c r="C1004" s="13">
        <f>[2]S1!C1005</f>
        <v>1000</v>
      </c>
      <c r="D1004" s="13">
        <f>[2]S1!D1005</f>
        <v>0</v>
      </c>
      <c r="E1004" s="26">
        <f>[2]S1!E1005</f>
        <v>200</v>
      </c>
      <c r="F1004" s="26">
        <f>[2]S1!F1005</f>
        <v>0</v>
      </c>
      <c r="G1004" s="22">
        <f>[2]S1!G1005</f>
        <v>1000</v>
      </c>
      <c r="H1004" s="22">
        <f>[2]S1!H1005</f>
        <v>0</v>
      </c>
      <c r="I1004" s="22">
        <f>[2]S1!I1005</f>
        <v>130</v>
      </c>
      <c r="J1004" s="13">
        <f>[2]S1!J1005</f>
        <v>0</v>
      </c>
      <c r="K1004" s="19">
        <f>[2]S1!K1005</f>
        <v>1330</v>
      </c>
      <c r="L1004" s="52">
        <f>[2]S1!L1005</f>
        <v>13000</v>
      </c>
      <c r="M1004" s="58">
        <f>[2]S1!M1005</f>
        <v>8</v>
      </c>
      <c r="N1004" s="49">
        <f>[2]S1!P1005</f>
        <v>9784575270</v>
      </c>
      <c r="O1004" s="14"/>
    </row>
    <row r="1005" spans="1:15" x14ac:dyDescent="0.3">
      <c r="A1005" s="11">
        <v>4052</v>
      </c>
      <c r="B1005" s="12" t="str">
        <f>[3]Name!E3056</f>
        <v>Suva Lal Narnoliya</v>
      </c>
      <c r="C1005" s="13">
        <f>[2]S1!C1006</f>
        <v>1000</v>
      </c>
      <c r="D1005" s="13">
        <f>[2]S1!D1006</f>
        <v>0</v>
      </c>
      <c r="E1005" s="26">
        <f>[2]S1!E1006</f>
        <v>0</v>
      </c>
      <c r="F1005" s="26">
        <f>[2]S1!F1006</f>
        <v>0</v>
      </c>
      <c r="G1005" s="22">
        <f>[2]S1!G1006</f>
        <v>1000</v>
      </c>
      <c r="H1005" s="22">
        <f>[2]S1!H1006</f>
        <v>0</v>
      </c>
      <c r="I1005" s="22">
        <f>[2]S1!I1006</f>
        <v>300</v>
      </c>
      <c r="J1005" s="13">
        <f>[2]S1!J1006</f>
        <v>0</v>
      </c>
      <c r="K1005" s="19">
        <f>[2]S1!K1006</f>
        <v>1300</v>
      </c>
      <c r="L1005" s="52">
        <f>[2]S1!L1006</f>
        <v>30000</v>
      </c>
      <c r="M1005" s="58">
        <f>[2]S1!M1006</f>
        <v>1</v>
      </c>
      <c r="N1005" s="49">
        <f>[2]S1!P1006</f>
        <v>9782323306</v>
      </c>
      <c r="O1005" s="14"/>
    </row>
    <row r="1006" spans="1:15" x14ac:dyDescent="0.3">
      <c r="A1006" s="11">
        <v>4053</v>
      </c>
      <c r="B1006" s="12" t="str">
        <f>[3]Name!E3057</f>
        <v>Gorv Narnoliya</v>
      </c>
      <c r="C1006" s="13">
        <f>[2]S1!C1007</f>
        <v>1000</v>
      </c>
      <c r="D1006" s="13">
        <f>[2]S1!D1007</f>
        <v>0</v>
      </c>
      <c r="E1006" s="26">
        <f>[2]S1!E1007</f>
        <v>0</v>
      </c>
      <c r="F1006" s="26">
        <f>[2]S1!F1007</f>
        <v>0</v>
      </c>
      <c r="G1006" s="22">
        <f>[2]S1!G1007</f>
        <v>1000</v>
      </c>
      <c r="H1006" s="22">
        <f>[2]S1!H1007</f>
        <v>0</v>
      </c>
      <c r="I1006" s="22">
        <f>[2]S1!I1007</f>
        <v>300</v>
      </c>
      <c r="J1006" s="13">
        <f>[2]S1!J1007</f>
        <v>0</v>
      </c>
      <c r="K1006" s="19">
        <f>[2]S1!K1007</f>
        <v>1300</v>
      </c>
      <c r="L1006" s="52">
        <f>[2]S1!L1007</f>
        <v>30000</v>
      </c>
      <c r="M1006" s="58">
        <f>[2]S1!M1007</f>
        <v>1</v>
      </c>
      <c r="N1006" s="49">
        <f>[2]S1!P1007</f>
        <v>9782323306</v>
      </c>
    </row>
    <row r="1007" spans="1:15" x14ac:dyDescent="0.3">
      <c r="A1007" s="11">
        <v>4054</v>
      </c>
      <c r="B1007" s="12" t="str">
        <f>[3]Name!E3058</f>
        <v>Sampati Devi Narnoliya</v>
      </c>
      <c r="C1007" s="13">
        <f>[2]S1!C1008</f>
        <v>1000</v>
      </c>
      <c r="D1007" s="13">
        <f>[2]S1!D1008</f>
        <v>0</v>
      </c>
      <c r="E1007" s="26">
        <f>[2]S1!E1008</f>
        <v>0</v>
      </c>
      <c r="F1007" s="26">
        <f>[2]S1!F1008</f>
        <v>0</v>
      </c>
      <c r="G1007" s="22">
        <f>[2]S1!G1008</f>
        <v>1000</v>
      </c>
      <c r="H1007" s="22">
        <f>[2]S1!H1008</f>
        <v>0</v>
      </c>
      <c r="I1007" s="22">
        <f>[2]S1!I1008</f>
        <v>300</v>
      </c>
      <c r="J1007" s="13">
        <f>[2]S1!J1008</f>
        <v>0</v>
      </c>
      <c r="K1007" s="19">
        <f>[2]S1!K1008</f>
        <v>1300</v>
      </c>
      <c r="L1007" s="52">
        <f>[2]S1!L1008</f>
        <v>30000</v>
      </c>
      <c r="M1007" s="58">
        <f>[2]S1!M1008</f>
        <v>1</v>
      </c>
      <c r="N1007" s="49">
        <f>[2]S1!P1008</f>
        <v>9782323306</v>
      </c>
    </row>
    <row r="1008" spans="1:15" x14ac:dyDescent="0.3">
      <c r="A1008" s="11">
        <v>4055</v>
      </c>
      <c r="B1008" s="12" t="str">
        <f>[3]Name!E3059</f>
        <v>Priyansu Narnoliya</v>
      </c>
      <c r="C1008" s="13">
        <f>[2]S1!C1009</f>
        <v>1000</v>
      </c>
      <c r="D1008" s="13">
        <f>[2]S1!D1009</f>
        <v>0</v>
      </c>
      <c r="E1008" s="26">
        <f>[2]S1!E1009</f>
        <v>0</v>
      </c>
      <c r="F1008" s="26">
        <f>[2]S1!F1009</f>
        <v>0</v>
      </c>
      <c r="G1008" s="22">
        <f>[2]S1!G1009</f>
        <v>1000</v>
      </c>
      <c r="H1008" s="22">
        <f>[2]S1!H1009</f>
        <v>0</v>
      </c>
      <c r="I1008" s="22">
        <f>[2]S1!I1009</f>
        <v>300</v>
      </c>
      <c r="J1008" s="13">
        <f>[2]S1!J1009</f>
        <v>0</v>
      </c>
      <c r="K1008" s="19">
        <f>[2]S1!K1009</f>
        <v>1300</v>
      </c>
      <c r="L1008" s="52">
        <f>[2]S1!L1009</f>
        <v>30000</v>
      </c>
      <c r="M1008" s="58">
        <f>[2]S1!M1009</f>
        <v>1</v>
      </c>
      <c r="N1008" s="49">
        <f>[2]S1!P1009</f>
        <v>9782323306</v>
      </c>
    </row>
    <row r="1009" spans="1:14" x14ac:dyDescent="0.3">
      <c r="A1009" s="11">
        <v>4056</v>
      </c>
      <c r="B1009" s="12" t="str">
        <f>[3]Name!E3060</f>
        <v>Suva Lal Narnoliya</v>
      </c>
      <c r="C1009" s="13">
        <f>[2]S1!C1010</f>
        <v>1000</v>
      </c>
      <c r="D1009" s="13">
        <f>[2]S1!D1010</f>
        <v>0</v>
      </c>
      <c r="E1009" s="26">
        <f>[2]S1!E1010</f>
        <v>0</v>
      </c>
      <c r="F1009" s="26">
        <f>[2]S1!F1010</f>
        <v>0</v>
      </c>
      <c r="G1009" s="22">
        <f>[2]S1!G1010</f>
        <v>1000</v>
      </c>
      <c r="H1009" s="22">
        <f>[2]S1!H1010</f>
        <v>0</v>
      </c>
      <c r="I1009" s="22">
        <f>[2]S1!I1010</f>
        <v>300</v>
      </c>
      <c r="J1009" s="13">
        <f>[2]S1!J1010</f>
        <v>0</v>
      </c>
      <c r="K1009" s="19">
        <f>[2]S1!K1010</f>
        <v>1300</v>
      </c>
      <c r="L1009" s="52">
        <f>[2]S1!L1010</f>
        <v>30000</v>
      </c>
      <c r="M1009" s="58">
        <f>[2]S1!M1010</f>
        <v>1</v>
      </c>
      <c r="N1009" s="49">
        <f>[2]S1!P1010</f>
        <v>9782323306</v>
      </c>
    </row>
    <row r="1010" spans="1:14" ht="2.25" customHeight="1" x14ac:dyDescent="0.3">
      <c r="A1010" s="11">
        <v>4057</v>
      </c>
      <c r="B1010" s="12" t="str">
        <f>[3]Name!E3061</f>
        <v>Gorv Narnoliya</v>
      </c>
      <c r="C1010" s="13">
        <f>[2]S1!C1011</f>
        <v>0</v>
      </c>
      <c r="D1010" s="13">
        <f>[2]S1!D1011</f>
        <v>0</v>
      </c>
      <c r="E1010" s="26">
        <f>[2]S1!E1011</f>
        <v>200</v>
      </c>
      <c r="F1010" s="26">
        <f>[2]S1!F1011</f>
        <v>0</v>
      </c>
      <c r="G1010" s="22">
        <f>[2]S1!G1011</f>
        <v>0</v>
      </c>
      <c r="H1010" s="22">
        <f>[2]S1!H1011</f>
        <v>0</v>
      </c>
      <c r="I1010" s="22">
        <f>[2]S1!I1011</f>
        <v>109</v>
      </c>
      <c r="J1010" s="13">
        <f>[2]S1!J1011</f>
        <v>0</v>
      </c>
      <c r="K1010" s="19">
        <f>[2]S1!K1011</f>
        <v>309</v>
      </c>
      <c r="L1010" s="52">
        <f>[2]S1!L1011</f>
        <v>10883</v>
      </c>
      <c r="M1010" s="58">
        <f>[2]S1!M1011</f>
        <v>3</v>
      </c>
      <c r="N1010" s="49">
        <f>[2]S1!P1011</f>
        <v>9782323306</v>
      </c>
    </row>
    <row r="1011" spans="1:14" ht="15" customHeight="1" x14ac:dyDescent="0.3">
      <c r="A1011" s="11">
        <v>4058</v>
      </c>
      <c r="B1011" s="12" t="str">
        <f>[3]Name!E3062</f>
        <v>Sampati Devi Narnoliya</v>
      </c>
      <c r="C1011" s="13">
        <f>[2]S1!C1012</f>
        <v>0</v>
      </c>
      <c r="D1011" s="13">
        <f>[2]S1!D1012</f>
        <v>0</v>
      </c>
      <c r="E1011" s="26">
        <f>[2]S1!E1012</f>
        <v>200</v>
      </c>
      <c r="F1011" s="26">
        <f>[2]S1!F1012</f>
        <v>0</v>
      </c>
      <c r="G1011" s="22">
        <f>[2]S1!G1012</f>
        <v>0</v>
      </c>
      <c r="H1011" s="22">
        <f>[2]S1!H1012</f>
        <v>0</v>
      </c>
      <c r="I1011" s="22">
        <f>[2]S1!I1012</f>
        <v>180</v>
      </c>
      <c r="J1011" s="13">
        <f>[2]S1!J1012</f>
        <v>0</v>
      </c>
      <c r="K1011" s="19">
        <f>[2]S1!K1012</f>
        <v>380</v>
      </c>
      <c r="L1011" s="52">
        <f>[2]S1!L1012</f>
        <v>18000</v>
      </c>
      <c r="M1011" s="58">
        <f>[2]S1!M1012</f>
        <v>3</v>
      </c>
      <c r="N1011" s="49">
        <f>[2]S1!P1012</f>
        <v>9782323306</v>
      </c>
    </row>
    <row r="1012" spans="1:14" ht="15" customHeight="1" x14ac:dyDescent="0.3">
      <c r="A1012" s="11">
        <v>4059</v>
      </c>
      <c r="B1012" s="12" t="str">
        <f>[3]Name!E3063</f>
        <v>Priyansu Narnoliya</v>
      </c>
      <c r="C1012" s="13">
        <f>[2]S1!C1013</f>
        <v>1000</v>
      </c>
      <c r="D1012" s="13">
        <f>[2]S1!D1013</f>
        <v>0</v>
      </c>
      <c r="E1012" s="26">
        <f>[2]S1!E1013</f>
        <v>0</v>
      </c>
      <c r="F1012" s="26">
        <f>[2]S1!F1013</f>
        <v>0</v>
      </c>
      <c r="G1012" s="22">
        <f>[2]S1!G1013</f>
        <v>1000</v>
      </c>
      <c r="H1012" s="22">
        <f>[2]S1!H1013</f>
        <v>0</v>
      </c>
      <c r="I1012" s="22">
        <f>[2]S1!I1013</f>
        <v>300</v>
      </c>
      <c r="J1012" s="13">
        <f>[2]S1!J1013</f>
        <v>0</v>
      </c>
      <c r="K1012" s="19">
        <f>[2]S1!K1013</f>
        <v>1300</v>
      </c>
      <c r="L1012" s="52">
        <f>[2]S1!L1013</f>
        <v>30000</v>
      </c>
      <c r="M1012" s="58">
        <f>[2]S1!M1013</f>
        <v>1</v>
      </c>
      <c r="N1012" s="49">
        <f>[2]S1!P1013</f>
        <v>9782323306</v>
      </c>
    </row>
    <row r="1013" spans="1:14" ht="15" customHeight="1" x14ac:dyDescent="0.3">
      <c r="A1013" s="11">
        <v>4060</v>
      </c>
      <c r="B1013" s="12" t="str">
        <f>[3]Name!E3064</f>
        <v>Sampati Devi Narnoliya</v>
      </c>
      <c r="C1013" s="13">
        <f>[2]S1!C1014</f>
        <v>1000</v>
      </c>
      <c r="D1013" s="13">
        <f>[2]S1!D1014</f>
        <v>0</v>
      </c>
      <c r="E1013" s="26">
        <f>[2]S1!E1014</f>
        <v>0</v>
      </c>
      <c r="F1013" s="26">
        <f>[2]S1!F1014</f>
        <v>0</v>
      </c>
      <c r="G1013" s="22">
        <f>[2]S1!G1014</f>
        <v>1000</v>
      </c>
      <c r="H1013" s="22">
        <f>[2]S1!H1014</f>
        <v>0</v>
      </c>
      <c r="I1013" s="22">
        <f>[2]S1!I1014</f>
        <v>300</v>
      </c>
      <c r="J1013" s="13">
        <f>[2]S1!J1014</f>
        <v>0</v>
      </c>
      <c r="K1013" s="19">
        <f>[2]S1!K1014</f>
        <v>1300</v>
      </c>
      <c r="L1013" s="52">
        <f>[2]S1!L1014</f>
        <v>30000</v>
      </c>
      <c r="M1013" s="58">
        <f>[2]S1!M1014</f>
        <v>1</v>
      </c>
      <c r="N1013" s="49">
        <f>[2]S1!P1014</f>
        <v>9782323306</v>
      </c>
    </row>
    <row r="1014" spans="1:14" ht="15" customHeight="1" x14ac:dyDescent="0.3">
      <c r="A1014" s="11">
        <v>4061</v>
      </c>
      <c r="B1014" s="12" t="str">
        <f>[3]Name!E3065</f>
        <v>Priyansu Narnoliya</v>
      </c>
      <c r="C1014" s="13">
        <f>[2]S1!C1015</f>
        <v>1000</v>
      </c>
      <c r="D1014" s="13">
        <f>[2]S1!D1015</f>
        <v>0</v>
      </c>
      <c r="E1014" s="26">
        <f>[2]S1!E1015</f>
        <v>0</v>
      </c>
      <c r="F1014" s="26">
        <f>[2]S1!F1015</f>
        <v>0</v>
      </c>
      <c r="G1014" s="22">
        <f>[2]S1!G1015</f>
        <v>1000</v>
      </c>
      <c r="H1014" s="22">
        <f>[2]S1!H1015</f>
        <v>0</v>
      </c>
      <c r="I1014" s="22">
        <f>[2]S1!I1015</f>
        <v>300</v>
      </c>
      <c r="J1014" s="13">
        <f>[2]S1!J1015</f>
        <v>0</v>
      </c>
      <c r="K1014" s="19">
        <f>[2]S1!K1015</f>
        <v>1300</v>
      </c>
      <c r="L1014" s="52">
        <f>[2]S1!L1015</f>
        <v>30000</v>
      </c>
      <c r="M1014" s="58">
        <f>[2]S1!M1015</f>
        <v>1</v>
      </c>
      <c r="N1014" s="49">
        <f>[2]S1!P1015</f>
        <v>9782323306</v>
      </c>
    </row>
    <row r="1015" spans="1:14" ht="15" customHeight="1" x14ac:dyDescent="0.3">
      <c r="A1015" s="11">
        <v>4062</v>
      </c>
      <c r="B1015" s="12" t="str">
        <f>[3]Name!E3066</f>
        <v>Dinesh Katariya</v>
      </c>
      <c r="C1015" s="13">
        <f>[2]S1!C1016</f>
        <v>0</v>
      </c>
      <c r="D1015" s="13">
        <f>[2]S1!D1016</f>
        <v>0</v>
      </c>
      <c r="E1015" s="26">
        <f>[2]S1!E1016</f>
        <v>200</v>
      </c>
      <c r="F1015" s="26">
        <f>[2]S1!F1016</f>
        <v>0</v>
      </c>
      <c r="G1015" s="22">
        <f>[2]S1!G1016</f>
        <v>0</v>
      </c>
      <c r="H1015" s="22">
        <f>[2]S1!H1016</f>
        <v>0</v>
      </c>
      <c r="I1015" s="22">
        <f>[2]S1!I1016</f>
        <v>0</v>
      </c>
      <c r="J1015" s="13">
        <f>[2]S1!J1016</f>
        <v>0</v>
      </c>
      <c r="K1015" s="19">
        <f>[2]S1!K1016</f>
        <v>200</v>
      </c>
      <c r="L1015" s="52">
        <f>[2]S1!L1016</f>
        <v>0</v>
      </c>
      <c r="M1015" s="58">
        <f>[2]S1!M1016</f>
        <v>0</v>
      </c>
      <c r="N1015" s="49">
        <f>[2]S1!P1016</f>
        <v>9799418113</v>
      </c>
    </row>
    <row r="1016" spans="1:14" ht="15" customHeight="1" x14ac:dyDescent="0.3">
      <c r="A1016" s="11">
        <v>4063</v>
      </c>
      <c r="B1016" s="12" t="str">
        <f>[3]Name!E3067</f>
        <v>Kanchan</v>
      </c>
      <c r="C1016" s="13">
        <f>[2]S1!C1017</f>
        <v>2000</v>
      </c>
      <c r="D1016" s="13">
        <f>[2]S1!D1017</f>
        <v>0</v>
      </c>
      <c r="E1016" s="26">
        <f>[2]S1!E1017</f>
        <v>200</v>
      </c>
      <c r="F1016" s="26">
        <f>[2]S1!F1017</f>
        <v>0</v>
      </c>
      <c r="G1016" s="22">
        <f>[2]S1!G1017</f>
        <v>0</v>
      </c>
      <c r="H1016" s="22">
        <f>[2]S1!H1017</f>
        <v>0</v>
      </c>
      <c r="I1016" s="22">
        <f>[2]S1!I1017</f>
        <v>33</v>
      </c>
      <c r="J1016" s="13">
        <f>[2]S1!J1017</f>
        <v>0</v>
      </c>
      <c r="K1016" s="19">
        <f>[2]S1!K1017</f>
        <v>233</v>
      </c>
      <c r="L1016" s="52">
        <f>[2]S1!L1017</f>
        <v>3338</v>
      </c>
      <c r="M1016" s="58">
        <f>[2]S1!M1017</f>
        <v>8</v>
      </c>
      <c r="N1016" s="49">
        <f>[2]S1!P1017</f>
        <v>9799418113</v>
      </c>
    </row>
    <row r="1017" spans="1:14" ht="15" customHeight="1" x14ac:dyDescent="0.3">
      <c r="A1017" s="11">
        <v>4064</v>
      </c>
      <c r="B1017" s="12" t="str">
        <f>[3]Name!E3068</f>
        <v>Khushi</v>
      </c>
      <c r="C1017" s="13">
        <f>[2]S1!C1018</f>
        <v>2000</v>
      </c>
      <c r="D1017" s="13">
        <f>[2]S1!D1018</f>
        <v>0</v>
      </c>
      <c r="E1017" s="26">
        <f>[2]S1!E1018</f>
        <v>200</v>
      </c>
      <c r="F1017" s="26">
        <f>[2]S1!F1018</f>
        <v>0</v>
      </c>
      <c r="G1017" s="22">
        <f>[2]S1!G1018</f>
        <v>2000</v>
      </c>
      <c r="H1017" s="22">
        <f>[2]S1!H1018</f>
        <v>0</v>
      </c>
      <c r="I1017" s="22">
        <f>[2]S1!I1018</f>
        <v>60</v>
      </c>
      <c r="J1017" s="13">
        <f>[2]S1!J1018</f>
        <v>0</v>
      </c>
      <c r="K1017" s="19">
        <f>[2]S1!K1018</f>
        <v>2260</v>
      </c>
      <c r="L1017" s="52">
        <f>[2]S1!L1018</f>
        <v>6000</v>
      </c>
      <c r="M1017" s="58">
        <f>[2]S1!M1018</f>
        <v>8</v>
      </c>
      <c r="N1017" s="49">
        <f>[2]S1!P1018</f>
        <v>9799418113</v>
      </c>
    </row>
    <row r="1018" spans="1:14" ht="15" customHeight="1" x14ac:dyDescent="0.3">
      <c r="A1018" s="11">
        <v>4065</v>
      </c>
      <c r="B1018" s="12" t="str">
        <f>[3]Name!E3069</f>
        <v>Mharsi</v>
      </c>
      <c r="C1018" s="13">
        <f>[2]S1!C1019</f>
        <v>2000</v>
      </c>
      <c r="D1018" s="13">
        <f>[2]S1!D1019</f>
        <v>0</v>
      </c>
      <c r="E1018" s="26">
        <f>[2]S1!E1019</f>
        <v>200</v>
      </c>
      <c r="F1018" s="26">
        <f>[2]S1!F1019</f>
        <v>0</v>
      </c>
      <c r="G1018" s="22">
        <f>[2]S1!G1019</f>
        <v>2000</v>
      </c>
      <c r="H1018" s="22">
        <f>[2]S1!H1019</f>
        <v>0</v>
      </c>
      <c r="I1018" s="22">
        <f>[2]S1!I1019</f>
        <v>60</v>
      </c>
      <c r="J1018" s="13">
        <f>[2]S1!J1019</f>
        <v>0</v>
      </c>
      <c r="K1018" s="19">
        <f>[2]S1!K1019</f>
        <v>2260</v>
      </c>
      <c r="L1018" s="52">
        <f>[2]S1!L1019</f>
        <v>6000</v>
      </c>
      <c r="M1018" s="58">
        <f>[2]S1!M1019</f>
        <v>8</v>
      </c>
      <c r="N1018" s="49">
        <f>[2]S1!P1019</f>
        <v>9799418113</v>
      </c>
    </row>
    <row r="1019" spans="1:14" ht="15" customHeight="1" x14ac:dyDescent="0.3">
      <c r="A1019" s="11">
        <v>4066</v>
      </c>
      <c r="B1019" s="12" t="str">
        <f>[3]Name!E3070</f>
        <v>Divya</v>
      </c>
      <c r="C1019" s="13">
        <f>[2]S1!C1020</f>
        <v>2000</v>
      </c>
      <c r="D1019" s="13">
        <f>[2]S1!D1020</f>
        <v>0</v>
      </c>
      <c r="E1019" s="26">
        <f>[2]S1!E1020</f>
        <v>200</v>
      </c>
      <c r="F1019" s="26">
        <f>[2]S1!F1020</f>
        <v>0</v>
      </c>
      <c r="G1019" s="22">
        <f>[2]S1!G1020</f>
        <v>2000</v>
      </c>
      <c r="H1019" s="22">
        <f>[2]S1!H1020</f>
        <v>0</v>
      </c>
      <c r="I1019" s="22">
        <f>[2]S1!I1020</f>
        <v>60</v>
      </c>
      <c r="J1019" s="13">
        <f>[2]S1!J1020</f>
        <v>0</v>
      </c>
      <c r="K1019" s="19">
        <f>[2]S1!K1020</f>
        <v>2260</v>
      </c>
      <c r="L1019" s="52">
        <f>[2]S1!L1020</f>
        <v>6000</v>
      </c>
      <c r="M1019" s="58">
        <f>[2]S1!M1020</f>
        <v>8</v>
      </c>
      <c r="N1019" s="49">
        <f>[2]S1!P1020</f>
        <v>9799418113</v>
      </c>
    </row>
    <row r="1020" spans="1:14" ht="15" customHeight="1" x14ac:dyDescent="0.3">
      <c r="A1020" s="11">
        <v>4067</v>
      </c>
      <c r="B1020" s="12" t="str">
        <f>[3]Name!E3071</f>
        <v>Rajesh Verma</v>
      </c>
      <c r="C1020" s="13">
        <f>[2]S1!C1021</f>
        <v>1000</v>
      </c>
      <c r="D1020" s="13">
        <f>[2]S1!D1021</f>
        <v>0</v>
      </c>
      <c r="E1020" s="26">
        <f>[2]S1!E1021</f>
        <v>200</v>
      </c>
      <c r="F1020" s="26">
        <f>[2]S1!F1021</f>
        <v>0</v>
      </c>
      <c r="G1020" s="22">
        <f>[2]S1!G1021</f>
        <v>1000</v>
      </c>
      <c r="H1020" s="22">
        <f>[2]S1!H1021</f>
        <v>0</v>
      </c>
      <c r="I1020" s="22">
        <f>[2]S1!I1021</f>
        <v>130</v>
      </c>
      <c r="J1020" s="13">
        <f>[2]S1!J1021</f>
        <v>0</v>
      </c>
      <c r="K1020" s="19">
        <f>[2]S1!K1021</f>
        <v>1330</v>
      </c>
      <c r="L1020" s="52">
        <f>[2]S1!L1021</f>
        <v>13000</v>
      </c>
      <c r="M1020" s="58">
        <f>[2]S1!M1021</f>
        <v>8</v>
      </c>
      <c r="N1020" s="49">
        <f>[2]S1!P1021</f>
        <v>9680689067</v>
      </c>
    </row>
    <row r="1021" spans="1:14" ht="15" customHeight="1" x14ac:dyDescent="0.3">
      <c r="A1021" s="11">
        <v>4068</v>
      </c>
      <c r="B1021" s="12" t="str">
        <f>[3]Name!E3072</f>
        <v>Kamni Verma</v>
      </c>
      <c r="C1021" s="13">
        <f>[2]S1!C1022</f>
        <v>1000</v>
      </c>
      <c r="D1021" s="13">
        <f>[2]S1!D1022</f>
        <v>0</v>
      </c>
      <c r="E1021" s="26">
        <f>[2]S1!E1022</f>
        <v>200</v>
      </c>
      <c r="F1021" s="26">
        <f>[2]S1!F1022</f>
        <v>0</v>
      </c>
      <c r="G1021" s="22">
        <f>[2]S1!G1022</f>
        <v>1000</v>
      </c>
      <c r="H1021" s="22">
        <f>[2]S1!H1022</f>
        <v>0</v>
      </c>
      <c r="I1021" s="22">
        <f>[2]S1!I1022</f>
        <v>130</v>
      </c>
      <c r="J1021" s="13">
        <f>[2]S1!J1022</f>
        <v>0</v>
      </c>
      <c r="K1021" s="19">
        <f>[2]S1!K1022</f>
        <v>1330</v>
      </c>
      <c r="L1021" s="52">
        <f>[2]S1!L1022</f>
        <v>13000</v>
      </c>
      <c r="M1021" s="58">
        <f>[2]S1!M1022</f>
        <v>8</v>
      </c>
      <c r="N1021" s="49">
        <f>[2]S1!P1022</f>
        <v>9680689067</v>
      </c>
    </row>
    <row r="1022" spans="1:14" ht="15" customHeight="1" x14ac:dyDescent="0.3">
      <c r="A1022" s="11">
        <v>4069</v>
      </c>
      <c r="B1022" s="12" t="str">
        <f>[3]Name!E3073</f>
        <v>Anjula Verma</v>
      </c>
      <c r="C1022" s="13">
        <f>[2]S1!C1023</f>
        <v>1000</v>
      </c>
      <c r="D1022" s="13">
        <f>[2]S1!D1023</f>
        <v>0</v>
      </c>
      <c r="E1022" s="26">
        <f>[2]S1!E1023</f>
        <v>200</v>
      </c>
      <c r="F1022" s="26">
        <f>[2]S1!F1023</f>
        <v>0</v>
      </c>
      <c r="G1022" s="22">
        <f>[2]S1!G1023</f>
        <v>1000</v>
      </c>
      <c r="H1022" s="22">
        <f>[2]S1!H1023</f>
        <v>0</v>
      </c>
      <c r="I1022" s="22">
        <f>[2]S1!I1023</f>
        <v>130</v>
      </c>
      <c r="J1022" s="13">
        <f>[2]S1!J1023</f>
        <v>0</v>
      </c>
      <c r="K1022" s="19">
        <f>[2]S1!K1023</f>
        <v>1330</v>
      </c>
      <c r="L1022" s="52">
        <f>[2]S1!L1023</f>
        <v>13000</v>
      </c>
      <c r="M1022" s="58">
        <f>[2]S1!M1023</f>
        <v>8</v>
      </c>
      <c r="N1022" s="49">
        <f>[2]S1!P1023</f>
        <v>9680689067</v>
      </c>
    </row>
    <row r="1023" spans="1:14" ht="15" customHeight="1" x14ac:dyDescent="0.3">
      <c r="A1023" s="11">
        <v>4070</v>
      </c>
      <c r="B1023" s="12" t="str">
        <f>[3]Name!E3074</f>
        <v>Aanndi Lal</v>
      </c>
      <c r="C1023" s="13">
        <f>[2]S1!C1024</f>
        <v>1000</v>
      </c>
      <c r="D1023" s="13">
        <f>[2]S1!D1024</f>
        <v>0</v>
      </c>
      <c r="E1023" s="26">
        <f>[2]S1!E1024</f>
        <v>200</v>
      </c>
      <c r="F1023" s="26">
        <f>[2]S1!F1024</f>
        <v>0</v>
      </c>
      <c r="G1023" s="22">
        <f>[2]S1!G1024</f>
        <v>1000</v>
      </c>
      <c r="H1023" s="22">
        <f>[2]S1!H1024</f>
        <v>0</v>
      </c>
      <c r="I1023" s="22">
        <f>[2]S1!I1024</f>
        <v>380</v>
      </c>
      <c r="J1023" s="13">
        <f>[2]S1!J1024</f>
        <v>0</v>
      </c>
      <c r="K1023" s="19">
        <f>[2]S1!K1024</f>
        <v>1580</v>
      </c>
      <c r="L1023" s="52">
        <f>[2]S1!L1024</f>
        <v>38000</v>
      </c>
      <c r="M1023" s="58">
        <f>[2]S1!M1024</f>
        <v>3</v>
      </c>
      <c r="N1023" s="49">
        <f>[2]S1!P1024</f>
        <v>9680688645</v>
      </c>
    </row>
    <row r="1024" spans="1:14" ht="15" customHeight="1" x14ac:dyDescent="0.3">
      <c r="A1024" s="11">
        <v>4071</v>
      </c>
      <c r="B1024" s="12" t="str">
        <f>[3]Name!E3075</f>
        <v>Manju Devi</v>
      </c>
      <c r="C1024" s="13">
        <f>[2]S1!C1025</f>
        <v>1000</v>
      </c>
      <c r="D1024" s="13">
        <f>[2]S1!D1025</f>
        <v>0</v>
      </c>
      <c r="E1024" s="26">
        <f>[2]S1!E1025</f>
        <v>200</v>
      </c>
      <c r="F1024" s="26">
        <f>[2]S1!F1025</f>
        <v>0</v>
      </c>
      <c r="G1024" s="22">
        <f>[2]S1!G1025</f>
        <v>1000</v>
      </c>
      <c r="H1024" s="22">
        <f>[2]S1!H1025</f>
        <v>0</v>
      </c>
      <c r="I1024" s="22">
        <f>[2]S1!I1025</f>
        <v>380</v>
      </c>
      <c r="J1024" s="13">
        <f>[2]S1!J1025</f>
        <v>0</v>
      </c>
      <c r="K1024" s="19">
        <f>[2]S1!K1025</f>
        <v>1580</v>
      </c>
      <c r="L1024" s="52">
        <f>[2]S1!L1025</f>
        <v>38000</v>
      </c>
      <c r="M1024" s="58">
        <f>[2]S1!M1025</f>
        <v>3</v>
      </c>
      <c r="N1024" s="49">
        <f>[2]S1!P1025</f>
        <v>9680688645</v>
      </c>
    </row>
    <row r="1025" spans="1:14" ht="15" customHeight="1" x14ac:dyDescent="0.3">
      <c r="A1025" s="11">
        <v>4072</v>
      </c>
      <c r="B1025" s="12" t="str">
        <f>[3]Name!E3076</f>
        <v>Gunjal</v>
      </c>
      <c r="C1025" s="13">
        <f>[2]S1!C1026</f>
        <v>1000</v>
      </c>
      <c r="D1025" s="13">
        <f>[2]S1!D1026</f>
        <v>0</v>
      </c>
      <c r="E1025" s="26">
        <f>[2]S1!E1026</f>
        <v>200</v>
      </c>
      <c r="F1025" s="26">
        <f>[2]S1!F1026</f>
        <v>0</v>
      </c>
      <c r="G1025" s="22">
        <f>[2]S1!G1026</f>
        <v>1000</v>
      </c>
      <c r="H1025" s="22">
        <f>[2]S1!H1026</f>
        <v>0</v>
      </c>
      <c r="I1025" s="22">
        <f>[2]S1!I1026</f>
        <v>380</v>
      </c>
      <c r="J1025" s="13">
        <f>[2]S1!J1026</f>
        <v>0</v>
      </c>
      <c r="K1025" s="19">
        <f>[2]S1!K1026</f>
        <v>1580</v>
      </c>
      <c r="L1025" s="52">
        <f>[2]S1!L1026</f>
        <v>38000</v>
      </c>
      <c r="M1025" s="58">
        <f>[2]S1!M1026</f>
        <v>3</v>
      </c>
      <c r="N1025" s="49">
        <f>[2]S1!P1026</f>
        <v>9680688645</v>
      </c>
    </row>
    <row r="1026" spans="1:14" ht="15" customHeight="1" x14ac:dyDescent="0.3">
      <c r="A1026" s="11">
        <v>4073</v>
      </c>
      <c r="B1026" s="12" t="str">
        <f>[3]Name!E3077</f>
        <v>khyati</v>
      </c>
      <c r="C1026" s="13">
        <f>[2]S1!C1027</f>
        <v>1000</v>
      </c>
      <c r="D1026" s="13">
        <f>[2]S1!D1027</f>
        <v>0</v>
      </c>
      <c r="E1026" s="26">
        <f>[2]S1!E1027</f>
        <v>200</v>
      </c>
      <c r="F1026" s="26">
        <f>[2]S1!F1027</f>
        <v>0</v>
      </c>
      <c r="G1026" s="22">
        <f>[2]S1!G1027</f>
        <v>1000</v>
      </c>
      <c r="H1026" s="22">
        <f>[2]S1!H1027</f>
        <v>0</v>
      </c>
      <c r="I1026" s="22">
        <f>[2]S1!I1027</f>
        <v>380</v>
      </c>
      <c r="J1026" s="13">
        <f>[2]S1!J1027</f>
        <v>0</v>
      </c>
      <c r="K1026" s="19">
        <f>[2]S1!K1027</f>
        <v>1580</v>
      </c>
      <c r="L1026" s="52">
        <f>[2]S1!L1027</f>
        <v>38000</v>
      </c>
      <c r="M1026" s="58">
        <f>[2]S1!M1027</f>
        <v>3</v>
      </c>
      <c r="N1026" s="49">
        <f>[2]S1!P1027</f>
        <v>9680688645</v>
      </c>
    </row>
    <row r="1027" spans="1:14" ht="15" customHeight="1" x14ac:dyDescent="0.3">
      <c r="A1027" s="11">
        <v>4074</v>
      </c>
      <c r="B1027" s="12" t="str">
        <f>[3]Name!E3078</f>
        <v>ghasiram</v>
      </c>
      <c r="C1027" s="13">
        <f>[2]S1!C1028</f>
        <v>1000</v>
      </c>
      <c r="D1027" s="13">
        <f>[2]S1!D1028</f>
        <v>0</v>
      </c>
      <c r="E1027" s="26">
        <f>[2]S1!E1028</f>
        <v>200</v>
      </c>
      <c r="F1027" s="26">
        <f>[2]S1!F1028</f>
        <v>0</v>
      </c>
      <c r="G1027" s="22">
        <f>[2]S1!G1028</f>
        <v>1000</v>
      </c>
      <c r="H1027" s="22">
        <f>[2]S1!H1028</f>
        <v>0</v>
      </c>
      <c r="I1027" s="22">
        <f>[2]S1!I1028</f>
        <v>380</v>
      </c>
      <c r="J1027" s="13">
        <f>[2]S1!J1028</f>
        <v>0</v>
      </c>
      <c r="K1027" s="19">
        <f>[2]S1!K1028</f>
        <v>1580</v>
      </c>
      <c r="L1027" s="52">
        <f>[2]S1!L1028</f>
        <v>38000</v>
      </c>
      <c r="M1027" s="58">
        <f>[2]S1!M1028</f>
        <v>3</v>
      </c>
      <c r="N1027" s="49">
        <f>[2]S1!P1028</f>
        <v>9680688645</v>
      </c>
    </row>
    <row r="1028" spans="1:14" ht="15" customHeight="1" x14ac:dyDescent="0.3">
      <c r="A1028" s="11">
        <v>4075</v>
      </c>
      <c r="B1028" s="12" t="str">
        <f>[3]Name!E3079</f>
        <v>Suresh Kumar Meharda</v>
      </c>
      <c r="C1028" s="13">
        <f>[2]S1!C1029</f>
        <v>1000</v>
      </c>
      <c r="D1028" s="13">
        <f>[2]S1!D1029</f>
        <v>0</v>
      </c>
      <c r="E1028" s="26">
        <f>[2]S1!E1029</f>
        <v>200</v>
      </c>
      <c r="F1028" s="26">
        <f>[2]S1!F1029</f>
        <v>0</v>
      </c>
      <c r="G1028" s="22">
        <f>[2]S1!G1029</f>
        <v>500</v>
      </c>
      <c r="H1028" s="22">
        <f>[2]S1!H1029</f>
        <v>0</v>
      </c>
      <c r="I1028" s="22">
        <f>[2]S1!I1029</f>
        <v>355</v>
      </c>
      <c r="J1028" s="13">
        <f>[2]S1!J1029</f>
        <v>0</v>
      </c>
      <c r="K1028" s="19">
        <f>[2]S1!K1029</f>
        <v>1055</v>
      </c>
      <c r="L1028" s="52">
        <f>[2]S1!L1029</f>
        <v>35500</v>
      </c>
      <c r="M1028" s="58">
        <f>[2]S1!M1029</f>
        <v>5</v>
      </c>
      <c r="N1028" s="49">
        <f>[2]S1!P1029</f>
        <v>9928365124</v>
      </c>
    </row>
    <row r="1029" spans="1:14" ht="15" customHeight="1" x14ac:dyDescent="0.3">
      <c r="A1029" s="11">
        <v>4076</v>
      </c>
      <c r="B1029" s="12" t="str">
        <f>[3]Name!E3080</f>
        <v>Harbaks Meharda</v>
      </c>
      <c r="C1029" s="13">
        <f>[2]S1!C1030</f>
        <v>1000</v>
      </c>
      <c r="D1029" s="13">
        <f>[2]S1!D1030</f>
        <v>0</v>
      </c>
      <c r="E1029" s="26">
        <f>[2]S1!E1030</f>
        <v>0</v>
      </c>
      <c r="F1029" s="26">
        <f>[2]S1!F1030</f>
        <v>0</v>
      </c>
      <c r="G1029" s="22">
        <f>[2]S1!G1030</f>
        <v>0</v>
      </c>
      <c r="H1029" s="22">
        <f>[2]S1!H1030</f>
        <v>0</v>
      </c>
      <c r="I1029" s="22">
        <f>[2]S1!I1030</f>
        <v>858</v>
      </c>
      <c r="J1029" s="13">
        <f>[2]S1!J1030</f>
        <v>0</v>
      </c>
      <c r="K1029" s="19">
        <f>[2]S1!K1030</f>
        <v>858</v>
      </c>
      <c r="L1029" s="52">
        <f>[2]S1!L1030</f>
        <v>42896</v>
      </c>
      <c r="M1029" s="58">
        <f>[2]S1!M1030</f>
        <v>5</v>
      </c>
      <c r="N1029" s="49">
        <f>[2]S1!P1030</f>
        <v>9928365124</v>
      </c>
    </row>
    <row r="1030" spans="1:14" ht="15" customHeight="1" x14ac:dyDescent="0.3">
      <c r="A1030" s="11">
        <v>4077</v>
      </c>
      <c r="B1030" s="12" t="str">
        <f>[3]Name!E3081</f>
        <v>Mali Devi Meharda</v>
      </c>
      <c r="C1030" s="13">
        <f>[2]S1!C1031</f>
        <v>1000</v>
      </c>
      <c r="D1030" s="13">
        <f>[2]S1!D1031</f>
        <v>0</v>
      </c>
      <c r="E1030" s="26">
        <f>[2]S1!E1031</f>
        <v>200</v>
      </c>
      <c r="F1030" s="26">
        <f>[2]S1!F1031</f>
        <v>0</v>
      </c>
      <c r="G1030" s="22">
        <f>[2]S1!G1031</f>
        <v>500</v>
      </c>
      <c r="H1030" s="22">
        <f>[2]S1!H1031</f>
        <v>0</v>
      </c>
      <c r="I1030" s="22">
        <f>[2]S1!I1031</f>
        <v>355</v>
      </c>
      <c r="J1030" s="13">
        <f>[2]S1!J1031</f>
        <v>0</v>
      </c>
      <c r="K1030" s="19">
        <f>[2]S1!K1031</f>
        <v>1055</v>
      </c>
      <c r="L1030" s="52">
        <f>[2]S1!L1031</f>
        <v>35500</v>
      </c>
      <c r="M1030" s="58">
        <f>[2]S1!M1031</f>
        <v>5</v>
      </c>
      <c r="N1030" s="49">
        <f>[2]S1!P1031</f>
        <v>9928365124</v>
      </c>
    </row>
    <row r="1031" spans="1:14" ht="15" customHeight="1" x14ac:dyDescent="0.3">
      <c r="A1031" s="11">
        <v>4078</v>
      </c>
      <c r="B1031" s="12" t="str">
        <f>[3]Name!E3082</f>
        <v>Harinarayan Khatti</v>
      </c>
      <c r="C1031" s="13">
        <f>[2]S1!C1032</f>
        <v>2000</v>
      </c>
      <c r="D1031" s="13">
        <f>[2]S1!D1032</f>
        <v>0</v>
      </c>
      <c r="E1031" s="26">
        <f>[2]S1!E1032</f>
        <v>200</v>
      </c>
      <c r="F1031" s="26">
        <f>[2]S1!F1032</f>
        <v>0</v>
      </c>
      <c r="G1031" s="22">
        <f>[2]S1!G1032</f>
        <v>2000</v>
      </c>
      <c r="H1031" s="22">
        <f>[2]S1!H1032</f>
        <v>0</v>
      </c>
      <c r="I1031" s="22">
        <f>[2]S1!I1032</f>
        <v>360</v>
      </c>
      <c r="J1031" s="13">
        <f>[2]S1!J1032</f>
        <v>0</v>
      </c>
      <c r="K1031" s="19">
        <f>[2]S1!K1032</f>
        <v>2560</v>
      </c>
      <c r="L1031" s="52">
        <f>[2]S1!L1032</f>
        <v>36000</v>
      </c>
      <c r="M1031" s="58">
        <f>[2]S1!M1032</f>
        <v>3</v>
      </c>
      <c r="N1031" s="49">
        <f>[2]S1!P1032</f>
        <v>91667880643</v>
      </c>
    </row>
    <row r="1032" spans="1:14" ht="15" customHeight="1" x14ac:dyDescent="0.3">
      <c r="A1032" s="11">
        <v>4079</v>
      </c>
      <c r="B1032" s="12" t="str">
        <f>[3]Name!E3083</f>
        <v>Rajendra Kumar Khatti</v>
      </c>
      <c r="C1032" s="13">
        <f>[2]S1!C1033</f>
        <v>2000</v>
      </c>
      <c r="D1032" s="13">
        <f>[2]S1!D1033</f>
        <v>0</v>
      </c>
      <c r="E1032" s="26">
        <f>[2]S1!E1033</f>
        <v>200</v>
      </c>
      <c r="F1032" s="26">
        <f>[2]S1!F1033</f>
        <v>0</v>
      </c>
      <c r="G1032" s="22">
        <f>[2]S1!G1033</f>
        <v>2000</v>
      </c>
      <c r="H1032" s="22">
        <f>[2]S1!H1033</f>
        <v>0</v>
      </c>
      <c r="I1032" s="22">
        <f>[2]S1!I1033</f>
        <v>360</v>
      </c>
      <c r="J1032" s="13">
        <f>[2]S1!J1033</f>
        <v>0</v>
      </c>
      <c r="K1032" s="19">
        <f>[2]S1!K1033</f>
        <v>2560</v>
      </c>
      <c r="L1032" s="52">
        <f>[2]S1!L1033</f>
        <v>36000</v>
      </c>
      <c r="M1032" s="58">
        <f>[2]S1!M1033</f>
        <v>3</v>
      </c>
      <c r="N1032" s="49">
        <f>[2]S1!P1033</f>
        <v>91667880643</v>
      </c>
    </row>
    <row r="1033" spans="1:14" ht="15" customHeight="1" x14ac:dyDescent="0.3">
      <c r="A1033" s="11">
        <v>4080</v>
      </c>
      <c r="B1033" s="12" t="str">
        <f>[3]Name!E3084</f>
        <v>Rampal Malinda</v>
      </c>
      <c r="C1033" s="13">
        <f>[2]S1!C1034</f>
        <v>2000</v>
      </c>
      <c r="D1033" s="13">
        <f>[2]S1!D1034</f>
        <v>0</v>
      </c>
      <c r="E1033" s="26">
        <f>[2]S1!E1034</f>
        <v>180</v>
      </c>
      <c r="F1033" s="26">
        <f>[2]S1!F1034</f>
        <v>0</v>
      </c>
      <c r="G1033" s="22">
        <f>[2]S1!G1034</f>
        <v>2000</v>
      </c>
      <c r="H1033" s="22">
        <f>[2]S1!H1034</f>
        <v>0</v>
      </c>
      <c r="I1033" s="22">
        <f>[2]S1!I1034</f>
        <v>400</v>
      </c>
      <c r="J1033" s="13">
        <f>[2]S1!J1034</f>
        <v>0</v>
      </c>
      <c r="K1033" s="19">
        <f>[2]S1!K1034</f>
        <v>2580</v>
      </c>
      <c r="L1033" s="52">
        <f>[2]S1!L1034</f>
        <v>40000</v>
      </c>
      <c r="M1033" s="58">
        <f>[2]S1!M1034</f>
        <v>1</v>
      </c>
      <c r="N1033" s="49">
        <f>[2]S1!P1034</f>
        <v>9784601232</v>
      </c>
    </row>
    <row r="1034" spans="1:14" ht="15" customHeight="1" x14ac:dyDescent="0.3">
      <c r="A1034" s="11">
        <v>4081</v>
      </c>
      <c r="B1034" s="12" t="str">
        <f>[3]Name!E3085</f>
        <v>Nirmala Devi Malinda</v>
      </c>
      <c r="C1034" s="13">
        <f>[2]S1!C1035</f>
        <v>16200</v>
      </c>
      <c r="D1034" s="13">
        <f>[2]S1!D1035</f>
        <v>0</v>
      </c>
      <c r="E1034" s="26">
        <f>[2]S1!E1035</f>
        <v>200</v>
      </c>
      <c r="F1034" s="26">
        <f>[2]S1!F1035</f>
        <v>0</v>
      </c>
      <c r="G1034" s="22">
        <f>[2]S1!G1035</f>
        <v>1800</v>
      </c>
      <c r="H1034" s="22">
        <f>[2]S1!H1035</f>
        <v>0</v>
      </c>
      <c r="I1034" s="22">
        <f>[2]S1!I1035</f>
        <v>180</v>
      </c>
      <c r="J1034" s="13">
        <f>[2]S1!J1035</f>
        <v>0</v>
      </c>
      <c r="K1034" s="19">
        <f>[2]S1!K1035</f>
        <v>2180</v>
      </c>
      <c r="L1034" s="52">
        <f>[2]S1!L1035</f>
        <v>18000</v>
      </c>
      <c r="M1034" s="58">
        <f>[2]S1!M1035</f>
        <v>5</v>
      </c>
      <c r="N1034" s="49">
        <f>[2]S1!P1035</f>
        <v>9784601232</v>
      </c>
    </row>
    <row r="1035" spans="1:14" ht="15" customHeight="1" x14ac:dyDescent="0.3">
      <c r="A1035" s="11">
        <v>4082</v>
      </c>
      <c r="B1035" s="12" t="str">
        <f>[3]Name!E3086</f>
        <v>Ravi Kumar Malinda</v>
      </c>
      <c r="C1035" s="13">
        <f>[2]S1!C1036</f>
        <v>0</v>
      </c>
      <c r="D1035" s="13">
        <f>[2]S1!D1036</f>
        <v>0</v>
      </c>
      <c r="E1035" s="26">
        <f>[2]S1!E1036</f>
        <v>200</v>
      </c>
      <c r="F1035" s="26">
        <f>[2]S1!F1036</f>
        <v>0</v>
      </c>
      <c r="G1035" s="22">
        <f>[2]S1!G1036</f>
        <v>0</v>
      </c>
      <c r="H1035" s="22">
        <f>[2]S1!H1036</f>
        <v>0</v>
      </c>
      <c r="I1035" s="22">
        <f>[2]S1!I1036</f>
        <v>0</v>
      </c>
      <c r="J1035" s="13">
        <f>[2]S1!J1036</f>
        <v>0</v>
      </c>
      <c r="K1035" s="19">
        <f>[2]S1!K1036</f>
        <v>200</v>
      </c>
      <c r="L1035" s="52">
        <f>[2]S1!L1036</f>
        <v>0</v>
      </c>
      <c r="M1035" s="58">
        <f>[2]S1!M1036</f>
        <v>0</v>
      </c>
      <c r="N1035" s="49">
        <f>[2]S1!P1036</f>
        <v>9784601232</v>
      </c>
    </row>
    <row r="1036" spans="1:14" ht="15" customHeight="1" x14ac:dyDescent="0.3">
      <c r="A1036" s="11">
        <v>4083</v>
      </c>
      <c r="B1036" s="12" t="str">
        <f>[3]Name!E3087</f>
        <v>Priti kueari Malinda</v>
      </c>
      <c r="C1036" s="13">
        <f>[2]S1!C1037</f>
        <v>0</v>
      </c>
      <c r="D1036" s="13">
        <f>[2]S1!D1037</f>
        <v>0</v>
      </c>
      <c r="E1036" s="26">
        <f>[2]S1!E1037</f>
        <v>200</v>
      </c>
      <c r="F1036" s="26">
        <f>[2]S1!F1037</f>
        <v>0</v>
      </c>
      <c r="G1036" s="22">
        <f>[2]S1!G1037</f>
        <v>0</v>
      </c>
      <c r="H1036" s="22">
        <f>[2]S1!H1037</f>
        <v>0</v>
      </c>
      <c r="I1036" s="22">
        <f>[2]S1!I1037</f>
        <v>0</v>
      </c>
      <c r="J1036" s="13">
        <f>[2]S1!J1037</f>
        <v>0</v>
      </c>
      <c r="K1036" s="19">
        <f>[2]S1!K1037</f>
        <v>200</v>
      </c>
      <c r="L1036" s="52">
        <f>[2]S1!L1037</f>
        <v>0</v>
      </c>
      <c r="M1036" s="58">
        <f>[2]S1!M1037</f>
        <v>0</v>
      </c>
      <c r="N1036" s="49">
        <f>[2]S1!P1037</f>
        <v>9784601232</v>
      </c>
    </row>
    <row r="1037" spans="1:14" ht="15" customHeight="1" x14ac:dyDescent="0.3">
      <c r="A1037" s="11">
        <v>4084</v>
      </c>
      <c r="B1037" s="12" t="str">
        <f>[3]Name!E3088</f>
        <v>Priyanka kueari Malinda</v>
      </c>
      <c r="C1037" s="13">
        <f>[2]S1!C1038</f>
        <v>0</v>
      </c>
      <c r="D1037" s="13">
        <f>[2]S1!D1038</f>
        <v>0</v>
      </c>
      <c r="E1037" s="26">
        <f>[2]S1!E1038</f>
        <v>200</v>
      </c>
      <c r="F1037" s="26">
        <f>[2]S1!F1038</f>
        <v>0</v>
      </c>
      <c r="G1037" s="22">
        <f>[2]S1!G1038</f>
        <v>0</v>
      </c>
      <c r="H1037" s="22">
        <f>[2]S1!H1038</f>
        <v>0</v>
      </c>
      <c r="I1037" s="22">
        <f>[2]S1!I1038</f>
        <v>0</v>
      </c>
      <c r="J1037" s="13">
        <f>[2]S1!J1038</f>
        <v>0</v>
      </c>
      <c r="K1037" s="19">
        <f>[2]S1!K1038</f>
        <v>200</v>
      </c>
      <c r="L1037" s="52">
        <f>[2]S1!L1038</f>
        <v>0</v>
      </c>
      <c r="M1037" s="58">
        <f>[2]S1!M1038</f>
        <v>0</v>
      </c>
      <c r="N1037" s="49">
        <f>[2]S1!P1038</f>
        <v>9784601232</v>
      </c>
    </row>
    <row r="1038" spans="1:14" ht="15" customHeight="1" x14ac:dyDescent="0.3">
      <c r="A1038" s="11">
        <v>4085</v>
      </c>
      <c r="B1038" s="12" t="str">
        <f>[3]Name!E3089</f>
        <v>Sohan Lal Bunkar</v>
      </c>
      <c r="C1038" s="13">
        <f>[2]S1!C1039</f>
        <v>0</v>
      </c>
      <c r="D1038" s="13">
        <f>[2]S1!D1039</f>
        <v>0</v>
      </c>
      <c r="E1038" s="26">
        <f>[2]S1!E1039</f>
        <v>200</v>
      </c>
      <c r="F1038" s="26">
        <f>[2]S1!F1039</f>
        <v>0</v>
      </c>
      <c r="G1038" s="22">
        <f>[2]S1!G1039</f>
        <v>0</v>
      </c>
      <c r="H1038" s="22">
        <f>[2]S1!H1039</f>
        <v>0</v>
      </c>
      <c r="I1038" s="22">
        <f>[2]S1!I1039</f>
        <v>0</v>
      </c>
      <c r="J1038" s="13">
        <f>[2]S1!J1039</f>
        <v>0</v>
      </c>
      <c r="K1038" s="19">
        <f>[2]S1!K1039</f>
        <v>200</v>
      </c>
      <c r="L1038" s="52">
        <f>[2]S1!L1039</f>
        <v>0</v>
      </c>
      <c r="M1038" s="58">
        <f>[2]S1!M1039</f>
        <v>0</v>
      </c>
      <c r="N1038" s="49">
        <f>[2]S1!P1039</f>
        <v>9352230042</v>
      </c>
    </row>
    <row r="1039" spans="1:14" ht="15" customHeight="1" x14ac:dyDescent="0.3">
      <c r="A1039" s="11">
        <v>4086</v>
      </c>
      <c r="B1039" s="12" t="str">
        <f>[3]Name!E3090</f>
        <v>Prahalad Lohiya</v>
      </c>
      <c r="C1039" s="13">
        <f>[2]S1!C1040</f>
        <v>0</v>
      </c>
      <c r="D1039" s="13">
        <f>[2]S1!D1040</f>
        <v>0</v>
      </c>
      <c r="E1039" s="26">
        <f>[2]S1!E1040</f>
        <v>200</v>
      </c>
      <c r="F1039" s="26">
        <f>[2]S1!F1040</f>
        <v>0</v>
      </c>
      <c r="G1039" s="22">
        <f>[2]S1!G1040</f>
        <v>0</v>
      </c>
      <c r="H1039" s="22">
        <f>[2]S1!H1040</f>
        <v>0</v>
      </c>
      <c r="I1039" s="22">
        <f>[2]S1!I1040</f>
        <v>0</v>
      </c>
      <c r="J1039" s="13">
        <f>[2]S1!J1040</f>
        <v>0</v>
      </c>
      <c r="K1039" s="19">
        <f>[2]S1!K1040</f>
        <v>200</v>
      </c>
      <c r="L1039" s="52">
        <f>[2]S1!L1040</f>
        <v>0</v>
      </c>
      <c r="M1039" s="58">
        <f>[2]S1!M1040</f>
        <v>0</v>
      </c>
      <c r="N1039" s="49">
        <f>[2]S1!P1040</f>
        <v>9782865220</v>
      </c>
    </row>
    <row r="1040" spans="1:14" ht="15" customHeight="1" x14ac:dyDescent="0.3">
      <c r="A1040" s="11">
        <v>4087</v>
      </c>
      <c r="B1040" s="12" t="str">
        <f>[3]Name!E3091</f>
        <v>Puran Mal Meharda</v>
      </c>
      <c r="C1040" s="13">
        <f>[2]S1!C1041</f>
        <v>16200</v>
      </c>
      <c r="D1040" s="13">
        <f>[2]S1!D1041</f>
        <v>0</v>
      </c>
      <c r="E1040" s="26">
        <f>[2]S1!E1041</f>
        <v>1000</v>
      </c>
      <c r="F1040" s="26">
        <f>[2]S1!F1041</f>
        <v>78</v>
      </c>
      <c r="G1040" s="22">
        <f>[2]S1!G1041</f>
        <v>1800</v>
      </c>
      <c r="H1040" s="22">
        <f>[2]S1!H1041</f>
        <v>71</v>
      </c>
      <c r="I1040" s="22">
        <f>[2]S1!I1041</f>
        <v>900</v>
      </c>
      <c r="J1040" s="13">
        <f>[2]S1!J1041</f>
        <v>0</v>
      </c>
      <c r="K1040" s="19">
        <f>[2]S1!K1041</f>
        <v>3849</v>
      </c>
      <c r="L1040" s="52">
        <f>[2]S1!L1041</f>
        <v>18000</v>
      </c>
      <c r="M1040" s="58">
        <f>[2]S1!M1041</f>
        <v>5</v>
      </c>
      <c r="N1040" s="49">
        <f>[2]S1!P1041</f>
        <v>9829392916</v>
      </c>
    </row>
    <row r="1041" spans="1:14" ht="15" customHeight="1" x14ac:dyDescent="0.3">
      <c r="A1041" s="11">
        <v>4088</v>
      </c>
      <c r="B1041" s="12" t="str">
        <f>[3]Name!E3092</f>
        <v>Rahul Kumar Meharda</v>
      </c>
      <c r="C1041" s="13">
        <f>[2]S1!C1042</f>
        <v>10800</v>
      </c>
      <c r="D1041" s="13">
        <f>[2]S1!D1042</f>
        <v>0</v>
      </c>
      <c r="E1041" s="26">
        <f>[2]S1!E1042</f>
        <v>984</v>
      </c>
      <c r="F1041" s="26">
        <f>[2]S1!F1042</f>
        <v>77</v>
      </c>
      <c r="G1041" s="22">
        <f>[2]S1!G1042</f>
        <v>1200</v>
      </c>
      <c r="H1041" s="22">
        <f>[2]S1!H1042</f>
        <v>46</v>
      </c>
      <c r="I1041" s="22">
        <f>[2]S1!I1042</f>
        <v>600</v>
      </c>
      <c r="J1041" s="13">
        <f>[2]S1!J1042</f>
        <v>0</v>
      </c>
      <c r="K1041" s="19">
        <f>[2]S1!K1042</f>
        <v>2907</v>
      </c>
      <c r="L1041" s="52">
        <f>[2]S1!L1042</f>
        <v>12000</v>
      </c>
      <c r="M1041" s="58">
        <f>[2]S1!M1042</f>
        <v>5</v>
      </c>
      <c r="N1041" s="49">
        <f>[2]S1!P1042</f>
        <v>9829392916</v>
      </c>
    </row>
    <row r="1042" spans="1:14" ht="15" customHeight="1" x14ac:dyDescent="0.3">
      <c r="A1042" s="11">
        <v>4089</v>
      </c>
      <c r="B1042" s="12" t="str">
        <f>[3]Name!E3093</f>
        <v>Anita Kumari Mandavara</v>
      </c>
      <c r="C1042" s="13">
        <f>[2]S1!C1043</f>
        <v>0</v>
      </c>
      <c r="D1042" s="13">
        <f>[2]S1!D1043</f>
        <v>0</v>
      </c>
      <c r="E1042" s="26">
        <f>[2]S1!E1043</f>
        <v>200</v>
      </c>
      <c r="F1042" s="26">
        <f>[2]S1!F1043</f>
        <v>0</v>
      </c>
      <c r="G1042" s="22">
        <f>[2]S1!G1043</f>
        <v>0</v>
      </c>
      <c r="H1042" s="22">
        <f>[2]S1!H1043</f>
        <v>0</v>
      </c>
      <c r="I1042" s="22">
        <f>[2]S1!I1043</f>
        <v>0</v>
      </c>
      <c r="J1042" s="13">
        <f>[2]S1!J1043</f>
        <v>0</v>
      </c>
      <c r="K1042" s="19">
        <f>[2]S1!K1043</f>
        <v>200</v>
      </c>
      <c r="L1042" s="52">
        <f>[2]S1!L1043</f>
        <v>0</v>
      </c>
      <c r="M1042" s="58">
        <f>[2]S1!M1043</f>
        <v>0</v>
      </c>
      <c r="N1042" s="49">
        <f>[2]S1!P1043</f>
        <v>9828669365</v>
      </c>
    </row>
    <row r="1043" spans="1:14" ht="15" customHeight="1" x14ac:dyDescent="0.3">
      <c r="A1043" s="11">
        <v>4090</v>
      </c>
      <c r="B1043" s="12" t="str">
        <f>[3]Name!E3094</f>
        <v>Puja Kumari Mandavara</v>
      </c>
      <c r="C1043" s="13">
        <f>[2]S1!C1044</f>
        <v>0</v>
      </c>
      <c r="D1043" s="13">
        <f>[2]S1!D1044</f>
        <v>0</v>
      </c>
      <c r="E1043" s="26">
        <f>[2]S1!E1044</f>
        <v>200</v>
      </c>
      <c r="F1043" s="26">
        <f>[2]S1!F1044</f>
        <v>0</v>
      </c>
      <c r="G1043" s="22">
        <f>[2]S1!G1044</f>
        <v>0</v>
      </c>
      <c r="H1043" s="22">
        <f>[2]S1!H1044</f>
        <v>0</v>
      </c>
      <c r="I1043" s="22">
        <f>[2]S1!I1044</f>
        <v>0</v>
      </c>
      <c r="J1043" s="13">
        <f>[2]S1!J1044</f>
        <v>0</v>
      </c>
      <c r="K1043" s="19">
        <f>[2]S1!K1044</f>
        <v>200</v>
      </c>
      <c r="L1043" s="52">
        <f>[2]S1!L1044</f>
        <v>0</v>
      </c>
      <c r="M1043" s="58">
        <f>[2]S1!M1044</f>
        <v>0</v>
      </c>
      <c r="N1043" s="49">
        <f>[2]S1!P1044</f>
        <v>9828669365</v>
      </c>
    </row>
    <row r="1044" spans="1:14" ht="15" customHeight="1" x14ac:dyDescent="0.3">
      <c r="A1044" s="11">
        <v>4091</v>
      </c>
      <c r="B1044" s="12" t="str">
        <f>[3]Name!E3095</f>
        <v>Maya Kumari Mandavara</v>
      </c>
      <c r="C1044" s="13">
        <f>[2]S1!C1045</f>
        <v>0</v>
      </c>
      <c r="D1044" s="13">
        <f>[2]S1!D1045</f>
        <v>0</v>
      </c>
      <c r="E1044" s="26">
        <f>[2]S1!E1045</f>
        <v>200</v>
      </c>
      <c r="F1044" s="26">
        <f>[2]S1!F1045</f>
        <v>0</v>
      </c>
      <c r="G1044" s="22">
        <f>[2]S1!G1045</f>
        <v>0</v>
      </c>
      <c r="H1044" s="22">
        <f>[2]S1!H1045</f>
        <v>0</v>
      </c>
      <c r="I1044" s="22">
        <f>[2]S1!I1045</f>
        <v>0</v>
      </c>
      <c r="J1044" s="13">
        <f>[2]S1!J1045</f>
        <v>0</v>
      </c>
      <c r="K1044" s="19">
        <f>[2]S1!K1045</f>
        <v>200</v>
      </c>
      <c r="L1044" s="52">
        <f>[2]S1!L1045</f>
        <v>0</v>
      </c>
      <c r="M1044" s="58">
        <f>[2]S1!M1045</f>
        <v>0</v>
      </c>
      <c r="N1044" s="49">
        <f>[2]S1!P1045</f>
        <v>9828669365</v>
      </c>
    </row>
    <row r="1045" spans="1:14" ht="15" customHeight="1" x14ac:dyDescent="0.3">
      <c r="A1045" s="11">
        <v>4092</v>
      </c>
      <c r="B1045" s="12" t="str">
        <f>[3]Name!E3096</f>
        <v>Basanti Bunkar</v>
      </c>
      <c r="C1045" s="13">
        <f>[2]S1!C1046</f>
        <v>0</v>
      </c>
      <c r="D1045" s="13">
        <f>[2]S1!D1046</f>
        <v>0</v>
      </c>
      <c r="E1045" s="26">
        <f>[2]S1!E1046</f>
        <v>139</v>
      </c>
      <c r="F1045" s="26">
        <f>[2]S1!F1046</f>
        <v>0</v>
      </c>
      <c r="G1045" s="22">
        <f>[2]S1!G1046</f>
        <v>0</v>
      </c>
      <c r="H1045" s="22">
        <f>[2]S1!H1046</f>
        <v>0</v>
      </c>
      <c r="I1045" s="22">
        <f>[2]S1!I1046</f>
        <v>0</v>
      </c>
      <c r="J1045" s="13">
        <f>[2]S1!J1046</f>
        <v>0</v>
      </c>
      <c r="K1045" s="19">
        <f>[2]S1!K1046</f>
        <v>139</v>
      </c>
      <c r="L1045" s="52">
        <f>[2]S1!L1046</f>
        <v>0</v>
      </c>
      <c r="M1045" s="58">
        <f>[2]S1!M1046</f>
        <v>0</v>
      </c>
      <c r="N1045" s="49">
        <f>[2]S1!P1046</f>
        <v>2829450337</v>
      </c>
    </row>
    <row r="1046" spans="1:14" ht="15" customHeight="1" x14ac:dyDescent="0.3">
      <c r="A1046" s="11">
        <v>4093</v>
      </c>
      <c r="B1046" s="12" t="str">
        <f>[3]Name!E3097</f>
        <v>Mukesh Kumat Bunkar</v>
      </c>
      <c r="C1046" s="13">
        <f>[2]S1!C1047</f>
        <v>0</v>
      </c>
      <c r="D1046" s="13">
        <f>[2]S1!D1047</f>
        <v>0</v>
      </c>
      <c r="E1046" s="26">
        <f>[2]S1!E1047</f>
        <v>200</v>
      </c>
      <c r="F1046" s="26">
        <f>[2]S1!F1047</f>
        <v>0</v>
      </c>
      <c r="G1046" s="22">
        <f>[2]S1!G1047</f>
        <v>0</v>
      </c>
      <c r="H1046" s="22">
        <f>[2]S1!H1047</f>
        <v>0</v>
      </c>
      <c r="I1046" s="22">
        <f>[2]S1!I1047</f>
        <v>0</v>
      </c>
      <c r="J1046" s="13">
        <f>[2]S1!J1047</f>
        <v>0</v>
      </c>
      <c r="K1046" s="19">
        <f>[2]S1!K1047</f>
        <v>200</v>
      </c>
      <c r="L1046" s="52">
        <f>[2]S1!L1047</f>
        <v>0</v>
      </c>
      <c r="M1046" s="58">
        <f>[2]S1!M1047</f>
        <v>0</v>
      </c>
      <c r="N1046" s="49">
        <f>[2]S1!P1047</f>
        <v>2829450337</v>
      </c>
    </row>
    <row r="1047" spans="1:14" ht="15" customHeight="1" x14ac:dyDescent="0.3">
      <c r="A1047" s="11">
        <v>4094</v>
      </c>
      <c r="B1047" s="12" t="str">
        <f>[3]Name!E3098</f>
        <v>Vikrm Kumar Bunkar</v>
      </c>
      <c r="C1047" s="13">
        <f>[2]S1!C1048</f>
        <v>0</v>
      </c>
      <c r="D1047" s="13">
        <f>[2]S1!D1048</f>
        <v>0</v>
      </c>
      <c r="E1047" s="26">
        <f>[2]S1!E1048</f>
        <v>200</v>
      </c>
      <c r="F1047" s="26">
        <f>[2]S1!F1048</f>
        <v>0</v>
      </c>
      <c r="G1047" s="22">
        <f>[2]S1!G1048</f>
        <v>0</v>
      </c>
      <c r="H1047" s="22">
        <f>[2]S1!H1048</f>
        <v>0</v>
      </c>
      <c r="I1047" s="22">
        <f>[2]S1!I1048</f>
        <v>0</v>
      </c>
      <c r="J1047" s="13">
        <f>[2]S1!J1048</f>
        <v>0</v>
      </c>
      <c r="K1047" s="19">
        <f>[2]S1!K1048</f>
        <v>200</v>
      </c>
      <c r="L1047" s="52">
        <f>[2]S1!L1048</f>
        <v>0</v>
      </c>
      <c r="M1047" s="58">
        <f>[2]S1!M1048</f>
        <v>0</v>
      </c>
      <c r="N1047" s="49">
        <f>[2]S1!P1048</f>
        <v>8107577831</v>
      </c>
    </row>
    <row r="1048" spans="1:14" ht="15" customHeight="1" x14ac:dyDescent="0.3">
      <c r="A1048" s="11">
        <v>4095</v>
      </c>
      <c r="B1048" s="12" t="str">
        <f>[3]Name!E3099</f>
        <v>Anil Kumar Bunkar</v>
      </c>
      <c r="C1048" s="13">
        <f>[2]S1!C1049</f>
        <v>0</v>
      </c>
      <c r="D1048" s="13">
        <f>[2]S1!D1049</f>
        <v>0</v>
      </c>
      <c r="E1048" s="26">
        <f>[2]S1!E1049</f>
        <v>200</v>
      </c>
      <c r="F1048" s="26">
        <f>[2]S1!F1049</f>
        <v>0</v>
      </c>
      <c r="G1048" s="22">
        <f>[2]S1!G1049</f>
        <v>0</v>
      </c>
      <c r="H1048" s="22">
        <f>[2]S1!H1049</f>
        <v>0</v>
      </c>
      <c r="I1048" s="22">
        <f>[2]S1!I1049</f>
        <v>0</v>
      </c>
      <c r="J1048" s="13">
        <f>[2]S1!J1049</f>
        <v>0</v>
      </c>
      <c r="K1048" s="19">
        <f>[2]S1!K1049</f>
        <v>200</v>
      </c>
      <c r="L1048" s="52">
        <f>[2]S1!L1049</f>
        <v>0</v>
      </c>
      <c r="M1048" s="58">
        <f>[2]S1!M1049</f>
        <v>0</v>
      </c>
      <c r="N1048" s="49">
        <f>[2]S1!P1049</f>
        <v>8107577831</v>
      </c>
    </row>
    <row r="1049" spans="1:14" ht="15" customHeight="1" x14ac:dyDescent="0.3">
      <c r="A1049" s="11">
        <v>4096</v>
      </c>
      <c r="B1049" s="12" t="str">
        <f>[3]Name!E3100</f>
        <v>Punam devi Bunkar</v>
      </c>
      <c r="C1049" s="13">
        <f>[2]S1!C1050</f>
        <v>16200</v>
      </c>
      <c r="D1049" s="13">
        <f>[2]S1!D1050</f>
        <v>0</v>
      </c>
      <c r="E1049" s="26">
        <f>[2]S1!E1050</f>
        <v>200</v>
      </c>
      <c r="F1049" s="26">
        <f>[2]S1!F1050</f>
        <v>0</v>
      </c>
      <c r="G1049" s="22">
        <f>[2]S1!G1050</f>
        <v>1800</v>
      </c>
      <c r="H1049" s="22">
        <f>[2]S1!H1050</f>
        <v>0</v>
      </c>
      <c r="I1049" s="22">
        <f>[2]S1!I1050</f>
        <v>180</v>
      </c>
      <c r="J1049" s="13">
        <f>[2]S1!J1050</f>
        <v>0</v>
      </c>
      <c r="K1049" s="19">
        <f>[2]S1!K1050</f>
        <v>2180</v>
      </c>
      <c r="L1049" s="52">
        <f>[2]S1!L1050</f>
        <v>18000</v>
      </c>
      <c r="M1049" s="58">
        <f>[2]S1!M1050</f>
        <v>5</v>
      </c>
      <c r="N1049" s="49">
        <f>[2]S1!P1050</f>
        <v>7877191250</v>
      </c>
    </row>
    <row r="1050" spans="1:14" ht="15" customHeight="1" x14ac:dyDescent="0.3">
      <c r="A1050" s="11">
        <v>4097</v>
      </c>
      <c r="B1050" s="12" t="str">
        <f>[3]Name!E3101</f>
        <v>Prins Kumar Bunkar</v>
      </c>
      <c r="C1050" s="13">
        <f>[2]S1!C1051</f>
        <v>1000</v>
      </c>
      <c r="D1050" s="13">
        <f>[2]S1!D1051</f>
        <v>0</v>
      </c>
      <c r="E1050" s="26">
        <f>[2]S1!E1051</f>
        <v>200</v>
      </c>
      <c r="F1050" s="26">
        <f>[2]S1!F1051</f>
        <v>0</v>
      </c>
      <c r="G1050" s="22">
        <f>[2]S1!G1051</f>
        <v>1000</v>
      </c>
      <c r="H1050" s="22">
        <f>[2]S1!H1051</f>
        <v>0</v>
      </c>
      <c r="I1050" s="22">
        <f>[2]S1!I1051</f>
        <v>380</v>
      </c>
      <c r="J1050" s="13">
        <f>[2]S1!J1051</f>
        <v>0</v>
      </c>
      <c r="K1050" s="19">
        <f>[2]S1!K1051</f>
        <v>1580</v>
      </c>
      <c r="L1050" s="52">
        <f>[2]S1!L1051</f>
        <v>38000</v>
      </c>
      <c r="M1050" s="58">
        <f>[2]S1!M1051</f>
        <v>3</v>
      </c>
      <c r="N1050" s="49">
        <f>[2]S1!P1051</f>
        <v>7877191250</v>
      </c>
    </row>
    <row r="1051" spans="1:14" ht="15" customHeight="1" x14ac:dyDescent="0.3">
      <c r="A1051" s="11">
        <v>4098</v>
      </c>
      <c r="B1051" s="12" t="str">
        <f>[3]Name!E3102</f>
        <v>Rampal Bunkar</v>
      </c>
      <c r="C1051" s="13">
        <f>[2]S1!C1052</f>
        <v>1000</v>
      </c>
      <c r="D1051" s="13">
        <f>[2]S1!D1052</f>
        <v>0</v>
      </c>
      <c r="E1051" s="26">
        <f>[2]S1!E1052</f>
        <v>200</v>
      </c>
      <c r="F1051" s="26">
        <f>[2]S1!F1052</f>
        <v>0</v>
      </c>
      <c r="G1051" s="22">
        <f>[2]S1!G1052</f>
        <v>1000</v>
      </c>
      <c r="H1051" s="22">
        <f>[2]S1!H1052</f>
        <v>0</v>
      </c>
      <c r="I1051" s="22">
        <f>[2]S1!I1052</f>
        <v>380</v>
      </c>
      <c r="J1051" s="13">
        <f>[2]S1!J1052</f>
        <v>0</v>
      </c>
      <c r="K1051" s="19">
        <f>[2]S1!K1052</f>
        <v>1580</v>
      </c>
      <c r="L1051" s="52">
        <f>[2]S1!L1052</f>
        <v>38000</v>
      </c>
      <c r="M1051" s="58">
        <f>[2]S1!M1052</f>
        <v>3</v>
      </c>
      <c r="N1051" s="49">
        <f>[2]S1!P1052</f>
        <v>7877191250</v>
      </c>
    </row>
    <row r="1052" spans="1:14" ht="15" customHeight="1" x14ac:dyDescent="0.3">
      <c r="A1052" s="11">
        <v>4099</v>
      </c>
      <c r="B1052" s="12" t="str">
        <f>[3]Name!E3103</f>
        <v>Nathi Devi Bunkar</v>
      </c>
      <c r="C1052" s="13">
        <f>[2]S1!C1053</f>
        <v>1000</v>
      </c>
      <c r="D1052" s="13">
        <f>[2]S1!D1053</f>
        <v>0</v>
      </c>
      <c r="E1052" s="26">
        <f>[2]S1!E1053</f>
        <v>200</v>
      </c>
      <c r="F1052" s="26">
        <f>[2]S1!F1053</f>
        <v>0</v>
      </c>
      <c r="G1052" s="22">
        <f>[2]S1!G1053</f>
        <v>1000</v>
      </c>
      <c r="H1052" s="22">
        <f>[2]S1!H1053</f>
        <v>0</v>
      </c>
      <c r="I1052" s="22">
        <f>[2]S1!I1053</f>
        <v>380</v>
      </c>
      <c r="J1052" s="13">
        <f>[2]S1!J1053</f>
        <v>0</v>
      </c>
      <c r="K1052" s="19">
        <f>[2]S1!K1053</f>
        <v>1580</v>
      </c>
      <c r="L1052" s="52">
        <f>[2]S1!L1053</f>
        <v>38000</v>
      </c>
      <c r="M1052" s="58">
        <f>[2]S1!M1053</f>
        <v>3</v>
      </c>
      <c r="N1052" s="49">
        <f>[2]S1!P1053</f>
        <v>7877191250</v>
      </c>
    </row>
    <row r="1053" spans="1:14" ht="15" customHeight="1" x14ac:dyDescent="0.3">
      <c r="A1053" s="11">
        <v>4100</v>
      </c>
      <c r="B1053" s="12" t="str">
        <f>[3]Name!E3104</f>
        <v>Gopal Lal Barvad</v>
      </c>
      <c r="C1053" s="13">
        <f>[2]S1!C1054</f>
        <v>1000</v>
      </c>
      <c r="D1053" s="13">
        <f>[2]S1!D1054</f>
        <v>0</v>
      </c>
      <c r="E1053" s="26">
        <f>[2]S1!E1054</f>
        <v>0</v>
      </c>
      <c r="F1053" s="26">
        <f>[2]S1!F1054</f>
        <v>0</v>
      </c>
      <c r="G1053" s="22">
        <f>[2]S1!G1054</f>
        <v>1000</v>
      </c>
      <c r="H1053" s="22">
        <f>[2]S1!H1054</f>
        <v>0</v>
      </c>
      <c r="I1053" s="22">
        <f>[2]S1!I1054</f>
        <v>490</v>
      </c>
      <c r="J1053" s="13">
        <f>[2]S1!J1054</f>
        <v>0</v>
      </c>
      <c r="K1053" s="19">
        <f>[2]S1!K1054</f>
        <v>1490</v>
      </c>
      <c r="L1053" s="52">
        <f>[2]S1!L1054</f>
        <v>49000</v>
      </c>
      <c r="M1053" s="58">
        <f>[2]S1!M1054</f>
        <v>2</v>
      </c>
      <c r="N1053" s="49">
        <f>[2]S1!P1054</f>
        <v>9784575270</v>
      </c>
    </row>
    <row r="1054" spans="1:14" ht="15" customHeight="1" x14ac:dyDescent="0.3">
      <c r="A1054" s="11">
        <v>4101</v>
      </c>
      <c r="B1054" s="12" t="str">
        <f>[3]Name!E3105</f>
        <v>kesar Devi Barvad</v>
      </c>
      <c r="C1054" s="13">
        <f>[2]S1!C1055</f>
        <v>1000</v>
      </c>
      <c r="D1054" s="13">
        <f>[2]S1!D1055</f>
        <v>0</v>
      </c>
      <c r="E1054" s="26">
        <f>[2]S1!E1055</f>
        <v>0</v>
      </c>
      <c r="F1054" s="26">
        <f>[2]S1!F1055</f>
        <v>0</v>
      </c>
      <c r="G1054" s="22">
        <f>[2]S1!G1055</f>
        <v>1000</v>
      </c>
      <c r="H1054" s="22">
        <f>[2]S1!H1055</f>
        <v>0</v>
      </c>
      <c r="I1054" s="22">
        <f>[2]S1!I1055</f>
        <v>490</v>
      </c>
      <c r="J1054" s="13">
        <f>[2]S1!J1055</f>
        <v>0</v>
      </c>
      <c r="K1054" s="19">
        <f>[2]S1!K1055</f>
        <v>1490</v>
      </c>
      <c r="L1054" s="52">
        <f>[2]S1!L1055</f>
        <v>49000</v>
      </c>
      <c r="M1054" s="58">
        <f>[2]S1!M1055</f>
        <v>2</v>
      </c>
      <c r="N1054" s="49">
        <f>[2]S1!P1055</f>
        <v>9784575270</v>
      </c>
    </row>
    <row r="1055" spans="1:14" ht="15" customHeight="1" x14ac:dyDescent="0.3">
      <c r="A1055" s="11">
        <v>4102</v>
      </c>
      <c r="B1055" s="12" t="str">
        <f>[3]Name!E3106</f>
        <v>Birdi Chand Barvad</v>
      </c>
      <c r="C1055" s="13">
        <f>[2]S1!C1056</f>
        <v>1000</v>
      </c>
      <c r="D1055" s="13">
        <f>[2]S1!D1056</f>
        <v>0</v>
      </c>
      <c r="E1055" s="26">
        <f>[2]S1!E1056</f>
        <v>0</v>
      </c>
      <c r="F1055" s="26">
        <f>[2]S1!F1056</f>
        <v>0</v>
      </c>
      <c r="G1055" s="22">
        <f>[2]S1!G1056</f>
        <v>1000</v>
      </c>
      <c r="H1055" s="22">
        <f>[2]S1!H1056</f>
        <v>0</v>
      </c>
      <c r="I1055" s="22">
        <f>[2]S1!I1056</f>
        <v>490</v>
      </c>
      <c r="J1055" s="13">
        <f>[2]S1!J1056</f>
        <v>0</v>
      </c>
      <c r="K1055" s="19">
        <f>[2]S1!K1056</f>
        <v>1490</v>
      </c>
      <c r="L1055" s="52">
        <f>[2]S1!L1056</f>
        <v>49000</v>
      </c>
      <c r="M1055" s="58">
        <f>[2]S1!M1056</f>
        <v>2</v>
      </c>
      <c r="N1055" s="49">
        <f>[2]S1!P1056</f>
        <v>9784575270</v>
      </c>
    </row>
    <row r="1056" spans="1:14" ht="15" customHeight="1" x14ac:dyDescent="0.3">
      <c r="A1056" s="11">
        <v>4103</v>
      </c>
      <c r="B1056" s="12" t="str">
        <f>[3]Name!E3107</f>
        <v>Ramesh Chand Rojada</v>
      </c>
      <c r="C1056" s="13">
        <f>[2]S1!C1057</f>
        <v>0</v>
      </c>
      <c r="D1056" s="13">
        <f>[2]S1!D1057</f>
        <v>0</v>
      </c>
      <c r="E1056" s="26">
        <f>[2]S1!E1057</f>
        <v>200</v>
      </c>
      <c r="F1056" s="26">
        <f>[2]S1!F1057</f>
        <v>0</v>
      </c>
      <c r="G1056" s="22">
        <f>[2]S1!G1057</f>
        <v>0</v>
      </c>
      <c r="H1056" s="22">
        <f>[2]S1!H1057</f>
        <v>0</v>
      </c>
      <c r="I1056" s="22">
        <f>[2]S1!I1057</f>
        <v>0</v>
      </c>
      <c r="J1056" s="13">
        <f>[2]S1!J1057</f>
        <v>0</v>
      </c>
      <c r="K1056" s="19">
        <f>[2]S1!K1057</f>
        <v>200</v>
      </c>
      <c r="L1056" s="52">
        <f>[2]S1!L1057</f>
        <v>0</v>
      </c>
      <c r="M1056" s="58">
        <f>[2]S1!M1057</f>
        <v>0</v>
      </c>
      <c r="N1056" s="49">
        <f>[2]S1!P1057</f>
        <v>8003555711</v>
      </c>
    </row>
    <row r="1057" spans="1:14" ht="15" customHeight="1" x14ac:dyDescent="0.3">
      <c r="A1057" s="11">
        <v>4104</v>
      </c>
      <c r="B1057" s="12" t="str">
        <f>[3]Name!E3108</f>
        <v>Rekha Kumari Rojada</v>
      </c>
      <c r="C1057" s="13">
        <f>[2]S1!C1058</f>
        <v>0</v>
      </c>
      <c r="D1057" s="13">
        <f>[2]S1!D1058</f>
        <v>0</v>
      </c>
      <c r="E1057" s="26">
        <f>[2]S1!E1058</f>
        <v>200</v>
      </c>
      <c r="F1057" s="26">
        <f>[2]S1!F1058</f>
        <v>0</v>
      </c>
      <c r="G1057" s="22">
        <f>[2]S1!G1058</f>
        <v>0</v>
      </c>
      <c r="H1057" s="22">
        <f>[2]S1!H1058</f>
        <v>0</v>
      </c>
      <c r="I1057" s="22">
        <f>[2]S1!I1058</f>
        <v>0</v>
      </c>
      <c r="J1057" s="13">
        <f>[2]S1!J1058</f>
        <v>0</v>
      </c>
      <c r="K1057" s="19">
        <f>[2]S1!K1058</f>
        <v>200</v>
      </c>
      <c r="L1057" s="52">
        <f>[2]S1!L1058</f>
        <v>0</v>
      </c>
      <c r="M1057" s="58">
        <f>[2]S1!M1058</f>
        <v>0</v>
      </c>
      <c r="N1057" s="49">
        <f>[2]S1!P1058</f>
        <v>8003555711</v>
      </c>
    </row>
    <row r="1058" spans="1:14" ht="15" customHeight="1" x14ac:dyDescent="0.3">
      <c r="A1058" s="11">
        <v>4105</v>
      </c>
      <c r="B1058" s="12" t="str">
        <f>[3]Name!E3109</f>
        <v>Navanita Kumari Rojada</v>
      </c>
      <c r="C1058" s="13">
        <f>[2]S1!C1059</f>
        <v>0</v>
      </c>
      <c r="D1058" s="13">
        <f>[2]S1!D1059</f>
        <v>0</v>
      </c>
      <c r="E1058" s="26">
        <f>[2]S1!E1059</f>
        <v>200</v>
      </c>
      <c r="F1058" s="26">
        <f>[2]S1!F1059</f>
        <v>0</v>
      </c>
      <c r="G1058" s="22">
        <f>[2]S1!G1059</f>
        <v>0</v>
      </c>
      <c r="H1058" s="22">
        <f>[2]S1!H1059</f>
        <v>0</v>
      </c>
      <c r="I1058" s="22">
        <f>[2]S1!I1059</f>
        <v>0</v>
      </c>
      <c r="J1058" s="13">
        <f>[2]S1!J1059</f>
        <v>0</v>
      </c>
      <c r="K1058" s="19">
        <f>[2]S1!K1059</f>
        <v>200</v>
      </c>
      <c r="L1058" s="52">
        <f>[2]S1!L1059</f>
        <v>0</v>
      </c>
      <c r="M1058" s="58">
        <f>[2]S1!M1059</f>
        <v>0</v>
      </c>
      <c r="N1058" s="49">
        <f>[2]S1!P1059</f>
        <v>8003555711</v>
      </c>
    </row>
    <row r="1059" spans="1:14" ht="15" customHeight="1" x14ac:dyDescent="0.3">
      <c r="A1059" s="11">
        <v>4106</v>
      </c>
      <c r="B1059" s="12" t="str">
        <f>[3]Name!E3110</f>
        <v>Ramji Lal Bunkar</v>
      </c>
      <c r="C1059" s="13">
        <f>[2]S1!C1060</f>
        <v>0</v>
      </c>
      <c r="D1059" s="13">
        <f>[2]S1!D1060</f>
        <v>0</v>
      </c>
      <c r="E1059" s="26">
        <f>[2]S1!E1060</f>
        <v>200</v>
      </c>
      <c r="F1059" s="26">
        <f>[2]S1!F1060</f>
        <v>0</v>
      </c>
      <c r="G1059" s="22">
        <f>[2]S1!G1060</f>
        <v>0</v>
      </c>
      <c r="H1059" s="22">
        <f>[2]S1!H1060</f>
        <v>0</v>
      </c>
      <c r="I1059" s="22">
        <f>[2]S1!I1060</f>
        <v>0</v>
      </c>
      <c r="J1059" s="13">
        <f>[2]S1!J1060</f>
        <v>0</v>
      </c>
      <c r="K1059" s="19">
        <f>[2]S1!K1060</f>
        <v>200</v>
      </c>
      <c r="L1059" s="52">
        <f>[2]S1!L1060</f>
        <v>0</v>
      </c>
      <c r="M1059" s="58">
        <f>[2]S1!M1060</f>
        <v>0</v>
      </c>
      <c r="N1059" s="49">
        <f>[2]S1!P1060</f>
        <v>9928442678</v>
      </c>
    </row>
    <row r="1060" spans="1:14" ht="15" customHeight="1" x14ac:dyDescent="0.3">
      <c r="A1060" s="11">
        <v>4107</v>
      </c>
      <c r="B1060" s="12" t="str">
        <f>[3]Name!E3111</f>
        <v>Manjhu Devi Bunkar</v>
      </c>
      <c r="C1060" s="13">
        <f>[2]S1!C1061</f>
        <v>0</v>
      </c>
      <c r="D1060" s="13">
        <f>[2]S1!D1061</f>
        <v>0</v>
      </c>
      <c r="E1060" s="26">
        <f>[2]S1!E1061</f>
        <v>200</v>
      </c>
      <c r="F1060" s="26">
        <f>[2]S1!F1061</f>
        <v>0</v>
      </c>
      <c r="G1060" s="22">
        <f>[2]S1!G1061</f>
        <v>0</v>
      </c>
      <c r="H1060" s="22">
        <f>[2]S1!H1061</f>
        <v>0</v>
      </c>
      <c r="I1060" s="22">
        <f>[2]S1!I1061</f>
        <v>0</v>
      </c>
      <c r="J1060" s="13">
        <f>[2]S1!J1061</f>
        <v>0</v>
      </c>
      <c r="K1060" s="19">
        <f>[2]S1!K1061</f>
        <v>200</v>
      </c>
      <c r="L1060" s="52">
        <f>[2]S1!L1061</f>
        <v>0</v>
      </c>
      <c r="M1060" s="58">
        <f>[2]S1!M1061</f>
        <v>0</v>
      </c>
      <c r="N1060" s="49">
        <f>[2]S1!P1061</f>
        <v>9928442678</v>
      </c>
    </row>
    <row r="1061" spans="1:14" ht="15" customHeight="1" x14ac:dyDescent="0.3">
      <c r="A1061" s="11">
        <v>4108</v>
      </c>
      <c r="B1061" s="12" t="str">
        <f>[3]Name!E3112</f>
        <v>Pavan Kumar Bunkar</v>
      </c>
      <c r="C1061" s="13">
        <f>[2]S1!C1062</f>
        <v>0</v>
      </c>
      <c r="D1061" s="13">
        <f>[2]S1!D1062</f>
        <v>0</v>
      </c>
      <c r="E1061" s="26">
        <f>[2]S1!E1062</f>
        <v>200</v>
      </c>
      <c r="F1061" s="26">
        <f>[2]S1!F1062</f>
        <v>0</v>
      </c>
      <c r="G1061" s="22">
        <f>[2]S1!G1062</f>
        <v>0</v>
      </c>
      <c r="H1061" s="22">
        <f>[2]S1!H1062</f>
        <v>0</v>
      </c>
      <c r="I1061" s="22">
        <f>[2]S1!I1062</f>
        <v>0</v>
      </c>
      <c r="J1061" s="13">
        <f>[2]S1!J1062</f>
        <v>0</v>
      </c>
      <c r="K1061" s="19">
        <f>[2]S1!K1062</f>
        <v>200</v>
      </c>
      <c r="L1061" s="52">
        <f>[2]S1!L1062</f>
        <v>0</v>
      </c>
      <c r="M1061" s="58">
        <f>[2]S1!M1062</f>
        <v>0</v>
      </c>
      <c r="N1061" s="49">
        <f>[2]S1!P1062</f>
        <v>9928442678</v>
      </c>
    </row>
    <row r="1062" spans="1:14" ht="15" customHeight="1" x14ac:dyDescent="0.3">
      <c r="A1062" s="11">
        <v>4109</v>
      </c>
      <c r="B1062" s="12" t="str">
        <f>[3]Name!E3113</f>
        <v>Surgyan Chitroliya</v>
      </c>
      <c r="C1062" s="13">
        <f>[2]S1!C1063</f>
        <v>16200</v>
      </c>
      <c r="D1062" s="13">
        <f>[2]S1!D1063</f>
        <v>0</v>
      </c>
      <c r="E1062" s="26">
        <f>[2]S1!E1063</f>
        <v>200</v>
      </c>
      <c r="F1062" s="26">
        <f>[2]S1!F1063</f>
        <v>0</v>
      </c>
      <c r="G1062" s="22">
        <f>[2]S1!G1063</f>
        <v>0</v>
      </c>
      <c r="H1062" s="22">
        <f>[2]S1!H1063</f>
        <v>0</v>
      </c>
      <c r="I1062" s="22">
        <f>[2]S1!I1063</f>
        <v>125</v>
      </c>
      <c r="J1062" s="13">
        <f>[2]S1!J1063</f>
        <v>0</v>
      </c>
      <c r="K1062" s="19">
        <f>[2]S1!K1063</f>
        <v>325</v>
      </c>
      <c r="L1062" s="52">
        <f>[2]S1!L1063</f>
        <v>12486</v>
      </c>
      <c r="M1062" s="58">
        <f>[2]S1!M1063</f>
        <v>5</v>
      </c>
      <c r="N1062" s="49">
        <f>[2]S1!P1063</f>
        <v>9166920823</v>
      </c>
    </row>
    <row r="1063" spans="1:14" ht="15" customHeight="1" x14ac:dyDescent="0.3">
      <c r="A1063" s="11">
        <v>4110</v>
      </c>
      <c r="B1063" s="12" t="str">
        <f>[3]Name!E3114</f>
        <v>Kamali Devi Chitroliya</v>
      </c>
      <c r="C1063" s="13">
        <f>[2]S1!C1064</f>
        <v>16200</v>
      </c>
      <c r="D1063" s="13">
        <f>[2]S1!D1064</f>
        <v>0</v>
      </c>
      <c r="E1063" s="26">
        <f>[2]S1!E1064</f>
        <v>200</v>
      </c>
      <c r="F1063" s="26">
        <f>[2]S1!F1064</f>
        <v>0</v>
      </c>
      <c r="G1063" s="22">
        <f>[2]S1!G1064</f>
        <v>0</v>
      </c>
      <c r="H1063" s="22">
        <f>[2]S1!H1064</f>
        <v>0</v>
      </c>
      <c r="I1063" s="22">
        <f>[2]S1!I1064</f>
        <v>160</v>
      </c>
      <c r="J1063" s="13">
        <f>[2]S1!J1064</f>
        <v>0</v>
      </c>
      <c r="K1063" s="19">
        <f>[2]S1!K1064</f>
        <v>360</v>
      </c>
      <c r="L1063" s="52">
        <f>[2]S1!L1064</f>
        <v>16000</v>
      </c>
      <c r="M1063" s="58">
        <f>[2]S1!M1064</f>
        <v>5</v>
      </c>
      <c r="N1063" s="49">
        <f>[2]S1!P1064</f>
        <v>9166920823</v>
      </c>
    </row>
    <row r="1064" spans="1:14" ht="15" customHeight="1" x14ac:dyDescent="0.3">
      <c r="A1064" s="11">
        <v>4111</v>
      </c>
      <c r="B1064" s="12" t="str">
        <f>[3]Name!E3115</f>
        <v>Dipak Kumar Chitroliya</v>
      </c>
      <c r="C1064" s="13">
        <f>[2]S1!C1065</f>
        <v>1000</v>
      </c>
      <c r="D1064" s="13">
        <f>[2]S1!D1065</f>
        <v>0</v>
      </c>
      <c r="E1064" s="26">
        <f>[2]S1!E1065</f>
        <v>200</v>
      </c>
      <c r="F1064" s="26">
        <f>[2]S1!F1065</f>
        <v>0</v>
      </c>
      <c r="G1064" s="22">
        <f>[2]S1!G1065</f>
        <v>1000</v>
      </c>
      <c r="H1064" s="22">
        <f>[2]S1!H1065</f>
        <v>0</v>
      </c>
      <c r="I1064" s="22">
        <f>[2]S1!I1065</f>
        <v>390</v>
      </c>
      <c r="J1064" s="13">
        <f>[2]S1!J1065</f>
        <v>0</v>
      </c>
      <c r="K1064" s="19">
        <f>[2]S1!K1065</f>
        <v>1590</v>
      </c>
      <c r="L1064" s="52">
        <f>[2]S1!L1065</f>
        <v>39000</v>
      </c>
      <c r="M1064" s="58">
        <f>[2]S1!M1065</f>
        <v>2</v>
      </c>
      <c r="N1064" s="49">
        <f>[2]S1!P1065</f>
        <v>9166920823</v>
      </c>
    </row>
    <row r="1065" spans="1:14" ht="15" customHeight="1" x14ac:dyDescent="0.3">
      <c r="A1065" s="11">
        <v>4112</v>
      </c>
      <c r="B1065" s="12" t="str">
        <f>[3]Name!E3116</f>
        <v>Kajal Chitroliya</v>
      </c>
      <c r="C1065" s="13">
        <f>[2]S1!C1066</f>
        <v>1000</v>
      </c>
      <c r="D1065" s="13">
        <f>[2]S1!D1066</f>
        <v>0</v>
      </c>
      <c r="E1065" s="26">
        <f>[2]S1!E1066</f>
        <v>200</v>
      </c>
      <c r="F1065" s="26">
        <f>[2]S1!F1066</f>
        <v>0</v>
      </c>
      <c r="G1065" s="22">
        <f>[2]S1!G1066</f>
        <v>1000</v>
      </c>
      <c r="H1065" s="22">
        <f>[2]S1!H1066</f>
        <v>0</v>
      </c>
      <c r="I1065" s="22">
        <f>[2]S1!I1066</f>
        <v>390</v>
      </c>
      <c r="J1065" s="13">
        <f>[2]S1!J1066</f>
        <v>0</v>
      </c>
      <c r="K1065" s="19">
        <f>[2]S1!K1066</f>
        <v>1590</v>
      </c>
      <c r="L1065" s="52">
        <f>[2]S1!L1066</f>
        <v>39000</v>
      </c>
      <c r="M1065" s="58">
        <f>[2]S1!M1066</f>
        <v>2</v>
      </c>
      <c r="N1065" s="49">
        <f>[2]S1!P1066</f>
        <v>9166920823</v>
      </c>
    </row>
    <row r="1066" spans="1:14" ht="15" customHeight="1" x14ac:dyDescent="0.3">
      <c r="A1066" s="11">
        <v>4113</v>
      </c>
      <c r="B1066" s="12" t="str">
        <f>[3]Name!E3117</f>
        <v>Prem Devi Chitroliya</v>
      </c>
      <c r="C1066" s="13">
        <f>[2]S1!C1067</f>
        <v>1000</v>
      </c>
      <c r="D1066" s="13">
        <f>[2]S1!D1067</f>
        <v>0</v>
      </c>
      <c r="E1066" s="26">
        <f>[2]S1!E1067</f>
        <v>200</v>
      </c>
      <c r="F1066" s="26">
        <f>[2]S1!F1067</f>
        <v>0</v>
      </c>
      <c r="G1066" s="22">
        <f>[2]S1!G1067</f>
        <v>1000</v>
      </c>
      <c r="H1066" s="22">
        <f>[2]S1!H1067</f>
        <v>0</v>
      </c>
      <c r="I1066" s="22">
        <f>[2]S1!I1067</f>
        <v>390</v>
      </c>
      <c r="J1066" s="13">
        <f>[2]S1!J1067</f>
        <v>0</v>
      </c>
      <c r="K1066" s="19">
        <f>[2]S1!K1067</f>
        <v>1590</v>
      </c>
      <c r="L1066" s="52">
        <f>[2]S1!L1067</f>
        <v>39000</v>
      </c>
      <c r="M1066" s="58">
        <f>[2]S1!M1067</f>
        <v>2</v>
      </c>
      <c r="N1066" s="49">
        <f>[2]S1!P1067</f>
        <v>9166920823</v>
      </c>
    </row>
    <row r="1067" spans="1:14" ht="15" customHeight="1" x14ac:dyDescent="0.3">
      <c r="A1067" s="11">
        <v>4114</v>
      </c>
      <c r="B1067" s="12" t="str">
        <f>[3]Name!E3118</f>
        <v>Muli Devi Meharda</v>
      </c>
      <c r="C1067" s="13">
        <f>[2]S1!C1068</f>
        <v>500</v>
      </c>
      <c r="D1067" s="13">
        <f>[2]S1!D1068</f>
        <v>0</v>
      </c>
      <c r="E1067" s="26">
        <f>[2]S1!E1068</f>
        <v>200</v>
      </c>
      <c r="F1067" s="26">
        <f>[2]S1!F1068</f>
        <v>0</v>
      </c>
      <c r="G1067" s="22">
        <f>[2]S1!G1068</f>
        <v>500</v>
      </c>
      <c r="H1067" s="22">
        <f>[2]S1!H1068</f>
        <v>0</v>
      </c>
      <c r="I1067" s="22">
        <f>[2]S1!I1068</f>
        <v>395</v>
      </c>
      <c r="J1067" s="13">
        <f>[2]S1!J1068</f>
        <v>0</v>
      </c>
      <c r="K1067" s="19">
        <f>[2]S1!K1068</f>
        <v>1095</v>
      </c>
      <c r="L1067" s="52">
        <f>[2]S1!L1068</f>
        <v>39500</v>
      </c>
      <c r="M1067" s="58">
        <f>[2]S1!M1068</f>
        <v>2</v>
      </c>
      <c r="N1067" s="49">
        <f>[2]S1!P1068</f>
        <v>9928695433</v>
      </c>
    </row>
    <row r="1068" spans="1:14" ht="15" customHeight="1" x14ac:dyDescent="0.3">
      <c r="A1068" s="11">
        <v>4115</v>
      </c>
      <c r="B1068" s="12" t="str">
        <f>[3]Name!E3119</f>
        <v>Visnu Kumar Meharda</v>
      </c>
      <c r="C1068" s="13">
        <f>[2]S1!C1069</f>
        <v>500</v>
      </c>
      <c r="D1068" s="13">
        <f>[2]S1!D1069</f>
        <v>0</v>
      </c>
      <c r="E1068" s="26">
        <f>[2]S1!E1069</f>
        <v>200</v>
      </c>
      <c r="F1068" s="26">
        <f>[2]S1!F1069</f>
        <v>0</v>
      </c>
      <c r="G1068" s="22">
        <f>[2]S1!G1069</f>
        <v>500</v>
      </c>
      <c r="H1068" s="22">
        <f>[2]S1!H1069</f>
        <v>0</v>
      </c>
      <c r="I1068" s="22">
        <f>[2]S1!I1069</f>
        <v>395</v>
      </c>
      <c r="J1068" s="13">
        <f>[2]S1!J1069</f>
        <v>0</v>
      </c>
      <c r="K1068" s="19">
        <f>[2]S1!K1069</f>
        <v>1095</v>
      </c>
      <c r="L1068" s="52">
        <f>[2]S1!L1069</f>
        <v>39500</v>
      </c>
      <c r="M1068" s="58">
        <f>[2]S1!M1069</f>
        <v>2</v>
      </c>
      <c r="N1068" s="49">
        <f>[2]S1!P1069</f>
        <v>9928695433</v>
      </c>
    </row>
    <row r="1069" spans="1:14" ht="15" customHeight="1" x14ac:dyDescent="0.3">
      <c r="A1069" s="11">
        <v>4116</v>
      </c>
      <c r="B1069" s="12" t="str">
        <f>[3]Name!E3120</f>
        <v>Ganraj Meharda</v>
      </c>
      <c r="C1069" s="13">
        <f>[2]S1!C1070</f>
        <v>500</v>
      </c>
      <c r="D1069" s="13">
        <f>[2]S1!D1070</f>
        <v>0</v>
      </c>
      <c r="E1069" s="26">
        <f>[2]S1!E1070</f>
        <v>200</v>
      </c>
      <c r="F1069" s="26">
        <f>[2]S1!F1070</f>
        <v>0</v>
      </c>
      <c r="G1069" s="22">
        <f>[2]S1!G1070</f>
        <v>500</v>
      </c>
      <c r="H1069" s="22">
        <f>[2]S1!H1070</f>
        <v>0</v>
      </c>
      <c r="I1069" s="22">
        <f>[2]S1!I1070</f>
        <v>395</v>
      </c>
      <c r="J1069" s="13">
        <f>[2]S1!J1070</f>
        <v>0</v>
      </c>
      <c r="K1069" s="19">
        <f>[2]S1!K1070</f>
        <v>1095</v>
      </c>
      <c r="L1069" s="52">
        <f>[2]S1!L1070</f>
        <v>39500</v>
      </c>
      <c r="M1069" s="58">
        <f>[2]S1!M1070</f>
        <v>2</v>
      </c>
      <c r="N1069" s="49">
        <f>[2]S1!P1070</f>
        <v>9928695433</v>
      </c>
    </row>
    <row r="1070" spans="1:14" ht="15" customHeight="1" x14ac:dyDescent="0.3">
      <c r="A1070" s="11">
        <v>4117</v>
      </c>
      <c r="B1070" s="12" t="str">
        <f>[3]Name!E3121</f>
        <v>Ramesh Chand Budgaya</v>
      </c>
      <c r="C1070" s="13">
        <f>[2]S1!C1071</f>
        <v>16200</v>
      </c>
      <c r="D1070" s="13">
        <f>[2]S1!D1071</f>
        <v>0</v>
      </c>
      <c r="E1070" s="26">
        <f>[2]S1!E1071</f>
        <v>200</v>
      </c>
      <c r="F1070" s="26">
        <f>[2]S1!F1071</f>
        <v>0</v>
      </c>
      <c r="G1070" s="22">
        <f>[2]S1!G1071</f>
        <v>1800</v>
      </c>
      <c r="H1070" s="22">
        <f>[2]S1!H1071</f>
        <v>0</v>
      </c>
      <c r="I1070" s="22">
        <f>[2]S1!I1071</f>
        <v>180</v>
      </c>
      <c r="J1070" s="13">
        <f>[2]S1!J1071</f>
        <v>0</v>
      </c>
      <c r="K1070" s="19">
        <f>[2]S1!K1071</f>
        <v>2180</v>
      </c>
      <c r="L1070" s="52">
        <f>[2]S1!L1071</f>
        <v>18000</v>
      </c>
      <c r="M1070" s="58">
        <f>[2]S1!M1071</f>
        <v>5</v>
      </c>
      <c r="N1070" s="49">
        <f>[2]S1!P1071</f>
        <v>9116421345</v>
      </c>
    </row>
    <row r="1071" spans="1:14" ht="15" customHeight="1" x14ac:dyDescent="0.3">
      <c r="A1071" s="11">
        <v>4118</v>
      </c>
      <c r="B1071" s="12" t="str">
        <f>[3]Name!E3122</f>
        <v>Tulasi Devi Budgaya</v>
      </c>
      <c r="C1071" s="13">
        <f>[2]S1!C1072</f>
        <v>16200</v>
      </c>
      <c r="D1071" s="13">
        <f>[2]S1!D1072</f>
        <v>0</v>
      </c>
      <c r="E1071" s="26">
        <f>[2]S1!E1072</f>
        <v>200</v>
      </c>
      <c r="F1071" s="26">
        <f>[2]S1!F1072</f>
        <v>0</v>
      </c>
      <c r="G1071" s="22">
        <f>[2]S1!G1072</f>
        <v>1800</v>
      </c>
      <c r="H1071" s="22">
        <f>[2]S1!H1072</f>
        <v>0</v>
      </c>
      <c r="I1071" s="22">
        <f>[2]S1!I1072</f>
        <v>180</v>
      </c>
      <c r="J1071" s="13">
        <f>[2]S1!J1072</f>
        <v>0</v>
      </c>
      <c r="K1071" s="19">
        <f>[2]S1!K1072</f>
        <v>2180</v>
      </c>
      <c r="L1071" s="52">
        <f>[2]S1!L1072</f>
        <v>18000</v>
      </c>
      <c r="M1071" s="58">
        <f>[2]S1!M1072</f>
        <v>5</v>
      </c>
      <c r="N1071" s="49">
        <f>[2]S1!P1072</f>
        <v>9116421345</v>
      </c>
    </row>
    <row r="1072" spans="1:14" ht="15" customHeight="1" x14ac:dyDescent="0.3">
      <c r="A1072" s="11">
        <v>4119</v>
      </c>
      <c r="B1072" s="12" t="str">
        <f>[3]Name!E3123</f>
        <v>Sarvan Kumar Budgaya</v>
      </c>
      <c r="C1072" s="13">
        <f>[2]S1!C1073</f>
        <v>7500</v>
      </c>
      <c r="D1072" s="13">
        <f>[2]S1!D1073</f>
        <v>0</v>
      </c>
      <c r="E1072" s="26">
        <f>[2]S1!E1073</f>
        <v>200</v>
      </c>
      <c r="F1072" s="26">
        <f>[2]S1!F1073</f>
        <v>0</v>
      </c>
      <c r="G1072" s="22">
        <f>[2]S1!G1073</f>
        <v>0</v>
      </c>
      <c r="H1072" s="22">
        <f>[2]S1!H1073</f>
        <v>0</v>
      </c>
      <c r="I1072" s="22">
        <f>[2]S1!I1073</f>
        <v>17</v>
      </c>
      <c r="J1072" s="13">
        <f>[2]S1!J1073</f>
        <v>0</v>
      </c>
      <c r="K1072" s="19">
        <f>[2]S1!K1073</f>
        <v>217</v>
      </c>
      <c r="L1072" s="52">
        <f>[2]S1!L1073</f>
        <v>1670</v>
      </c>
      <c r="M1072" s="58">
        <f>[2]S1!M1073</f>
        <v>5</v>
      </c>
      <c r="N1072" s="49">
        <f>[2]S1!P1073</f>
        <v>9116421345</v>
      </c>
    </row>
    <row r="1073" spans="1:14" ht="15" customHeight="1" x14ac:dyDescent="0.3">
      <c r="A1073" s="11">
        <v>4120</v>
      </c>
      <c r="B1073" s="12" t="str">
        <f>[3]Name!E3124</f>
        <v>Jitesh Bunkar</v>
      </c>
      <c r="C1073" s="13">
        <f>[2]S1!C1074</f>
        <v>16200</v>
      </c>
      <c r="D1073" s="13">
        <f>[2]S1!D1074</f>
        <v>0</v>
      </c>
      <c r="E1073" s="26">
        <f>[2]S1!E1074</f>
        <v>200</v>
      </c>
      <c r="F1073" s="26">
        <f>[2]S1!F1074</f>
        <v>2</v>
      </c>
      <c r="G1073" s="22">
        <f>[2]S1!G1074</f>
        <v>1800</v>
      </c>
      <c r="H1073" s="22">
        <f>[2]S1!H1074</f>
        <v>2</v>
      </c>
      <c r="I1073" s="22">
        <f>[2]S1!I1074</f>
        <v>180</v>
      </c>
      <c r="J1073" s="13">
        <f>[2]S1!J1074</f>
        <v>0</v>
      </c>
      <c r="K1073" s="19">
        <f>[2]S1!K1074</f>
        <v>2184</v>
      </c>
      <c r="L1073" s="52">
        <f>[2]S1!L1074</f>
        <v>18000</v>
      </c>
      <c r="M1073" s="58">
        <f>[2]S1!M1074</f>
        <v>5</v>
      </c>
      <c r="N1073" s="49">
        <f>[2]S1!P1074</f>
        <v>9887287886</v>
      </c>
    </row>
    <row r="1074" spans="1:14" ht="15" customHeight="1" x14ac:dyDescent="0.3">
      <c r="A1074" s="11">
        <v>4121</v>
      </c>
      <c r="B1074" s="12" t="str">
        <f>[3]Name!E3125</f>
        <v>Munni Devi Bunkar</v>
      </c>
      <c r="C1074" s="13">
        <f>[2]S1!C1075</f>
        <v>16200</v>
      </c>
      <c r="D1074" s="13">
        <f>[2]S1!D1075</f>
        <v>0</v>
      </c>
      <c r="E1074" s="26">
        <f>[2]S1!E1075</f>
        <v>200</v>
      </c>
      <c r="F1074" s="26">
        <f>[2]S1!F1075</f>
        <v>2</v>
      </c>
      <c r="G1074" s="22">
        <f>[2]S1!G1075</f>
        <v>0</v>
      </c>
      <c r="H1074" s="22">
        <f>[2]S1!H1075</f>
        <v>0</v>
      </c>
      <c r="I1074" s="22">
        <f>[2]S1!I1075</f>
        <v>90</v>
      </c>
      <c r="J1074" s="13">
        <f>[2]S1!J1075</f>
        <v>0</v>
      </c>
      <c r="K1074" s="19">
        <f>[2]S1!K1075</f>
        <v>292</v>
      </c>
      <c r="L1074" s="52">
        <f>[2]S1!L1075</f>
        <v>9000</v>
      </c>
      <c r="M1074" s="58">
        <f>[2]S1!M1075</f>
        <v>5</v>
      </c>
      <c r="N1074" s="49">
        <f>[2]S1!P1075</f>
        <v>9887287886</v>
      </c>
    </row>
    <row r="1075" spans="1:14" ht="15" customHeight="1" x14ac:dyDescent="0.3">
      <c r="A1075" s="11">
        <v>4122</v>
      </c>
      <c r="B1075" s="12" t="str">
        <f>[3]Name!E3126</f>
        <v>Jitesh Bunkar</v>
      </c>
      <c r="C1075" s="13">
        <f>[2]S1!C1076</f>
        <v>2000</v>
      </c>
      <c r="D1075" s="13">
        <f>[2]S1!D1076</f>
        <v>0</v>
      </c>
      <c r="E1075" s="26">
        <f>[2]S1!E1076</f>
        <v>200</v>
      </c>
      <c r="F1075" s="26">
        <f>[2]S1!F1076</f>
        <v>2</v>
      </c>
      <c r="G1075" s="22">
        <f>[2]S1!G1076</f>
        <v>0</v>
      </c>
      <c r="H1075" s="22">
        <f>[2]S1!H1076</f>
        <v>25</v>
      </c>
      <c r="I1075" s="22">
        <f>[2]S1!I1076</f>
        <v>319</v>
      </c>
      <c r="J1075" s="13">
        <f>[2]S1!J1076</f>
        <v>0</v>
      </c>
      <c r="K1075" s="19">
        <f>[2]S1!K1076</f>
        <v>546</v>
      </c>
      <c r="L1075" s="52">
        <f>[2]S1!L1076</f>
        <v>31827</v>
      </c>
      <c r="M1075" s="58">
        <f>[2]S1!M1076</f>
        <v>4</v>
      </c>
      <c r="N1075" s="49">
        <f>[2]S1!P1076</f>
        <v>9887287886</v>
      </c>
    </row>
    <row r="1076" spans="1:14" ht="15" customHeight="1" x14ac:dyDescent="0.3">
      <c r="A1076" s="11">
        <v>4123</v>
      </c>
      <c r="B1076" s="12" t="str">
        <f>[3]Name!E3127</f>
        <v>Ram Avatar Tadeda</v>
      </c>
      <c r="C1076" s="13">
        <f>[2]S1!C1077</f>
        <v>16200</v>
      </c>
      <c r="D1076" s="13">
        <f>[2]S1!D1077</f>
        <v>0</v>
      </c>
      <c r="E1076" s="26">
        <f>[2]S1!E1077</f>
        <v>200</v>
      </c>
      <c r="F1076" s="26">
        <f>[2]S1!F1077</f>
        <v>0</v>
      </c>
      <c r="G1076" s="22">
        <f>[2]S1!G1077</f>
        <v>1626</v>
      </c>
      <c r="H1076" s="22">
        <f>[2]S1!H1077</f>
        <v>0</v>
      </c>
      <c r="I1076" s="22">
        <f>[2]S1!I1077</f>
        <v>178</v>
      </c>
      <c r="J1076" s="13">
        <f>[2]S1!J1077</f>
        <v>0</v>
      </c>
      <c r="K1076" s="19">
        <f>[2]S1!K1077</f>
        <v>2004</v>
      </c>
      <c r="L1076" s="52">
        <f>[2]S1!L1077</f>
        <v>17826</v>
      </c>
      <c r="M1076" s="58">
        <f>[2]S1!M1077</f>
        <v>5</v>
      </c>
      <c r="N1076" s="49">
        <f>[2]S1!P1077</f>
        <v>9828209521</v>
      </c>
    </row>
    <row r="1077" spans="1:14" ht="15" customHeight="1" x14ac:dyDescent="0.3">
      <c r="A1077" s="11">
        <v>4124</v>
      </c>
      <c r="B1077" s="12" t="str">
        <f>[3]Name!E3128</f>
        <v>Samir Tadeda</v>
      </c>
      <c r="C1077" s="13">
        <f>[2]S1!C1078</f>
        <v>16200</v>
      </c>
      <c r="D1077" s="13">
        <f>[2]S1!D1078</f>
        <v>0</v>
      </c>
      <c r="E1077" s="26">
        <f>[2]S1!E1078</f>
        <v>200</v>
      </c>
      <c r="F1077" s="26">
        <f>[2]S1!F1078</f>
        <v>0</v>
      </c>
      <c r="G1077" s="22">
        <f>[2]S1!G1078</f>
        <v>1800</v>
      </c>
      <c r="H1077" s="22">
        <f>[2]S1!H1078</f>
        <v>0</v>
      </c>
      <c r="I1077" s="22">
        <f>[2]S1!I1078</f>
        <v>180</v>
      </c>
      <c r="J1077" s="13">
        <f>[2]S1!J1078</f>
        <v>0</v>
      </c>
      <c r="K1077" s="19">
        <f>[2]S1!K1078</f>
        <v>2180</v>
      </c>
      <c r="L1077" s="52">
        <f>[2]S1!L1078</f>
        <v>18000</v>
      </c>
      <c r="M1077" s="58">
        <f>[2]S1!M1078</f>
        <v>5</v>
      </c>
      <c r="N1077" s="49">
        <f>[2]S1!P1078</f>
        <v>9828209521</v>
      </c>
    </row>
    <row r="1078" spans="1:14" ht="15" customHeight="1" x14ac:dyDescent="0.3">
      <c r="A1078" s="11">
        <v>4125</v>
      </c>
      <c r="B1078" s="12" t="str">
        <f>[3]Name!E3129</f>
        <v>Govind Ran Bagadi</v>
      </c>
      <c r="C1078" s="13">
        <f>[2]S1!C1079</f>
        <v>16200</v>
      </c>
      <c r="D1078" s="13">
        <f>[2]S1!D1079</f>
        <v>0</v>
      </c>
      <c r="E1078" s="26">
        <f>[2]S1!E1079</f>
        <v>200</v>
      </c>
      <c r="F1078" s="26">
        <f>[2]S1!F1079</f>
        <v>0</v>
      </c>
      <c r="G1078" s="22">
        <f>[2]S1!G1079</f>
        <v>1092</v>
      </c>
      <c r="H1078" s="22">
        <f>[2]S1!H1079</f>
        <v>0</v>
      </c>
      <c r="I1078" s="22">
        <f>[2]S1!I1079</f>
        <v>173</v>
      </c>
      <c r="J1078" s="13">
        <f>[2]S1!J1079</f>
        <v>0</v>
      </c>
      <c r="K1078" s="19">
        <f>[2]S1!K1079</f>
        <v>1465</v>
      </c>
      <c r="L1078" s="52">
        <f>[2]S1!L1079</f>
        <v>17292</v>
      </c>
      <c r="M1078" s="58">
        <f>[2]S1!M1079</f>
        <v>5</v>
      </c>
      <c r="N1078" s="49">
        <f>[2]S1!P1079</f>
        <v>9602489968</v>
      </c>
    </row>
    <row r="1079" spans="1:14" ht="15" customHeight="1" x14ac:dyDescent="0.3">
      <c r="A1079" s="11">
        <v>4126</v>
      </c>
      <c r="B1079" s="12" t="str">
        <f>[3]Name!E3130</f>
        <v>Chandni Bagadi</v>
      </c>
      <c r="C1079" s="13">
        <f>[2]S1!C1080</f>
        <v>16200</v>
      </c>
      <c r="D1079" s="13">
        <f>[2]S1!D1080</f>
        <v>0</v>
      </c>
      <c r="E1079" s="26">
        <f>[2]S1!E1080</f>
        <v>200</v>
      </c>
      <c r="F1079" s="26">
        <f>[2]S1!F1080</f>
        <v>0</v>
      </c>
      <c r="G1079" s="22">
        <f>[2]S1!G1080</f>
        <v>1800</v>
      </c>
      <c r="H1079" s="22">
        <f>[2]S1!H1080</f>
        <v>0</v>
      </c>
      <c r="I1079" s="22">
        <f>[2]S1!I1080</f>
        <v>180</v>
      </c>
      <c r="J1079" s="13">
        <f>[2]S1!J1080</f>
        <v>0</v>
      </c>
      <c r="K1079" s="19">
        <f>[2]S1!K1080</f>
        <v>2180</v>
      </c>
      <c r="L1079" s="52">
        <f>[2]S1!L1080</f>
        <v>18000</v>
      </c>
      <c r="M1079" s="58">
        <f>[2]S1!M1080</f>
        <v>5</v>
      </c>
      <c r="N1079" s="49">
        <f>[2]S1!P1080</f>
        <v>9602489968</v>
      </c>
    </row>
    <row r="1080" spans="1:14" ht="15" customHeight="1" x14ac:dyDescent="0.3">
      <c r="A1080" s="11">
        <v>4127</v>
      </c>
      <c r="B1080" s="12" t="str">
        <f>[3]Name!E3131</f>
        <v>Sanni Bagadi</v>
      </c>
      <c r="C1080" s="13">
        <f>[2]S1!C1081</f>
        <v>16200</v>
      </c>
      <c r="D1080" s="13">
        <f>[2]S1!D1081</f>
        <v>0</v>
      </c>
      <c r="E1080" s="26">
        <f>[2]S1!E1081</f>
        <v>200</v>
      </c>
      <c r="F1080" s="26">
        <f>[2]S1!F1081</f>
        <v>0</v>
      </c>
      <c r="G1080" s="22">
        <f>[2]S1!G1081</f>
        <v>1800</v>
      </c>
      <c r="H1080" s="22">
        <f>[2]S1!H1081</f>
        <v>0</v>
      </c>
      <c r="I1080" s="22">
        <f>[2]S1!I1081</f>
        <v>180</v>
      </c>
      <c r="J1080" s="13">
        <f>[2]S1!J1081</f>
        <v>0</v>
      </c>
      <c r="K1080" s="19">
        <f>[2]S1!K1081</f>
        <v>2180</v>
      </c>
      <c r="L1080" s="52">
        <f>[2]S1!L1081</f>
        <v>18000</v>
      </c>
      <c r="M1080" s="58">
        <f>[2]S1!M1081</f>
        <v>5</v>
      </c>
      <c r="N1080" s="49">
        <f>[2]S1!P1081</f>
        <v>9602489968</v>
      </c>
    </row>
    <row r="1081" spans="1:14" ht="15" customHeight="1" x14ac:dyDescent="0.3">
      <c r="A1081" s="11">
        <v>4128</v>
      </c>
      <c r="B1081" s="12" t="str">
        <f>[3]Name!E3132</f>
        <v>Rampyari Bagadi</v>
      </c>
      <c r="C1081" s="13">
        <f>[2]S1!C1082</f>
        <v>1000</v>
      </c>
      <c r="D1081" s="13">
        <f>[2]S1!D1082</f>
        <v>0</v>
      </c>
      <c r="E1081" s="26">
        <f>[2]S1!E1082</f>
        <v>0</v>
      </c>
      <c r="F1081" s="26">
        <f>[2]S1!F1082</f>
        <v>0</v>
      </c>
      <c r="G1081" s="22">
        <f>[2]S1!G1082</f>
        <v>1000</v>
      </c>
      <c r="H1081" s="22">
        <f>[2]S1!H1082</f>
        <v>0</v>
      </c>
      <c r="I1081" s="22">
        <f>[2]S1!I1082</f>
        <v>460</v>
      </c>
      <c r="J1081" s="13">
        <f>[2]S1!J1082</f>
        <v>0</v>
      </c>
      <c r="K1081" s="19">
        <f>[2]S1!K1082</f>
        <v>1460</v>
      </c>
      <c r="L1081" s="52">
        <f>[2]S1!L1082</f>
        <v>46000</v>
      </c>
      <c r="M1081" s="58">
        <f>[2]S1!M1082</f>
        <v>5</v>
      </c>
      <c r="N1081" s="49">
        <f>[2]S1!P1082</f>
        <v>9602489968</v>
      </c>
    </row>
    <row r="1082" spans="1:14" ht="15" customHeight="1" x14ac:dyDescent="0.3">
      <c r="A1082" s="11">
        <v>4129</v>
      </c>
      <c r="B1082" s="12" t="str">
        <f>[3]Name!E3133</f>
        <v>Om Prakash Bagadi</v>
      </c>
      <c r="C1082" s="13">
        <f>[2]S1!C1083</f>
        <v>1000</v>
      </c>
      <c r="D1082" s="13">
        <f>[2]S1!D1083</f>
        <v>0</v>
      </c>
      <c r="E1082" s="26">
        <f>[2]S1!E1083</f>
        <v>200</v>
      </c>
      <c r="F1082" s="26">
        <f>[2]S1!F1083</f>
        <v>0</v>
      </c>
      <c r="G1082" s="22">
        <f>[2]S1!G1083</f>
        <v>1000</v>
      </c>
      <c r="H1082" s="22">
        <f>[2]S1!H1083</f>
        <v>0</v>
      </c>
      <c r="I1082" s="22">
        <f>[2]S1!I1083</f>
        <v>360</v>
      </c>
      <c r="J1082" s="13">
        <f>[2]S1!J1083</f>
        <v>0</v>
      </c>
      <c r="K1082" s="19">
        <f>[2]S1!K1083</f>
        <v>1560</v>
      </c>
      <c r="L1082" s="52">
        <f>[2]S1!L1083</f>
        <v>36000</v>
      </c>
      <c r="M1082" s="58">
        <f>[2]S1!M1083</f>
        <v>5</v>
      </c>
      <c r="N1082" s="49">
        <f>[2]S1!P1083</f>
        <v>9602489968</v>
      </c>
    </row>
    <row r="1083" spans="1:14" ht="15" customHeight="1" x14ac:dyDescent="0.3">
      <c r="A1083" s="11">
        <v>4130</v>
      </c>
      <c r="B1083" s="12" t="str">
        <f>[3]Name!E3134</f>
        <v>harinarayan Bagadi</v>
      </c>
      <c r="C1083" s="13">
        <f>[2]S1!C1084</f>
        <v>1000</v>
      </c>
      <c r="D1083" s="13">
        <f>[2]S1!D1084</f>
        <v>0</v>
      </c>
      <c r="E1083" s="26">
        <f>[2]S1!E1084</f>
        <v>200</v>
      </c>
      <c r="F1083" s="26">
        <f>[2]S1!F1084</f>
        <v>0</v>
      </c>
      <c r="G1083" s="22">
        <f>[2]S1!G1084</f>
        <v>1000</v>
      </c>
      <c r="H1083" s="22">
        <f>[2]S1!H1084</f>
        <v>0</v>
      </c>
      <c r="I1083" s="22">
        <f>[2]S1!I1084</f>
        <v>360</v>
      </c>
      <c r="J1083" s="13">
        <f>[2]S1!J1084</f>
        <v>0</v>
      </c>
      <c r="K1083" s="19">
        <f>[2]S1!K1084</f>
        <v>1560</v>
      </c>
      <c r="L1083" s="52">
        <f>[2]S1!L1084</f>
        <v>36000</v>
      </c>
      <c r="M1083" s="58">
        <f>[2]S1!M1084</f>
        <v>5</v>
      </c>
      <c r="N1083" s="49">
        <f>[2]S1!P1084</f>
        <v>9602489968</v>
      </c>
    </row>
    <row r="1084" spans="1:14" ht="15" customHeight="1" x14ac:dyDescent="0.3">
      <c r="A1084" s="11">
        <v>4131</v>
      </c>
      <c r="B1084" s="12" t="str">
        <f>[3]Name!E3135</f>
        <v>Rajendra prasad Bagadi</v>
      </c>
      <c r="C1084" s="13">
        <f>[2]S1!C1085</f>
        <v>1000</v>
      </c>
      <c r="D1084" s="13">
        <f>[2]S1!D1085</f>
        <v>0</v>
      </c>
      <c r="E1084" s="26">
        <f>[2]S1!E1085</f>
        <v>200</v>
      </c>
      <c r="F1084" s="26">
        <f>[2]S1!F1085</f>
        <v>0</v>
      </c>
      <c r="G1084" s="22">
        <f>[2]S1!G1085</f>
        <v>1000</v>
      </c>
      <c r="H1084" s="22">
        <f>[2]S1!H1085</f>
        <v>0</v>
      </c>
      <c r="I1084" s="22">
        <f>[2]S1!I1085</f>
        <v>360</v>
      </c>
      <c r="J1084" s="13">
        <f>[2]S1!J1085</f>
        <v>0</v>
      </c>
      <c r="K1084" s="19">
        <f>[2]S1!K1085</f>
        <v>1560</v>
      </c>
      <c r="L1084" s="52">
        <f>[2]S1!L1085</f>
        <v>36000</v>
      </c>
      <c r="M1084" s="58">
        <f>[2]S1!M1085</f>
        <v>5</v>
      </c>
      <c r="N1084" s="49">
        <f>[2]S1!P1085</f>
        <v>9602489968</v>
      </c>
    </row>
    <row r="1085" spans="1:14" ht="15" customHeight="1" x14ac:dyDescent="0.3">
      <c r="A1085" s="11">
        <v>4132</v>
      </c>
      <c r="B1085" s="12" t="str">
        <f>[3]Name!E3136</f>
        <v>Sankar Lal Ladna</v>
      </c>
      <c r="C1085" s="13">
        <f>[2]S1!C1086</f>
        <v>16200</v>
      </c>
      <c r="D1085" s="13">
        <f>[2]S1!D1086</f>
        <v>0</v>
      </c>
      <c r="E1085" s="26">
        <f>[2]S1!E1086</f>
        <v>200</v>
      </c>
      <c r="F1085" s="26">
        <f>[2]S1!F1086</f>
        <v>0</v>
      </c>
      <c r="G1085" s="22">
        <f>[2]S1!G1086</f>
        <v>0</v>
      </c>
      <c r="H1085" s="22">
        <f>[2]S1!H1086</f>
        <v>0</v>
      </c>
      <c r="I1085" s="22">
        <f>[2]S1!I1086</f>
        <v>4</v>
      </c>
      <c r="J1085" s="13">
        <f>[2]S1!J1086</f>
        <v>0</v>
      </c>
      <c r="K1085" s="19">
        <f>[2]S1!K1086</f>
        <v>204</v>
      </c>
      <c r="L1085" s="52">
        <f>[2]S1!L1086</f>
        <v>408</v>
      </c>
      <c r="M1085" s="58">
        <f>[2]S1!M1086</f>
        <v>5</v>
      </c>
      <c r="N1085" s="49">
        <f>[2]S1!P1086</f>
        <v>9352540044</v>
      </c>
    </row>
    <row r="1086" spans="1:14" ht="15" customHeight="1" x14ac:dyDescent="0.3">
      <c r="A1086" s="11">
        <v>4133</v>
      </c>
      <c r="B1086" s="12" t="str">
        <f>[3]Name!E3137</f>
        <v>Ritu Kumari Ladna</v>
      </c>
      <c r="C1086" s="13">
        <f>[2]S1!C1087</f>
        <v>6000</v>
      </c>
      <c r="D1086" s="13">
        <f>[2]S1!D1087</f>
        <v>0</v>
      </c>
      <c r="E1086" s="26">
        <f>[2]S1!E1087</f>
        <v>0</v>
      </c>
      <c r="F1086" s="26">
        <f>[2]S1!F1087</f>
        <v>0</v>
      </c>
      <c r="G1086" s="22">
        <f>[2]S1!G1087</f>
        <v>6000</v>
      </c>
      <c r="H1086" s="22">
        <f>[2]S1!H1087</f>
        <v>0</v>
      </c>
      <c r="I1086" s="22">
        <f>[2]S1!I1087</f>
        <v>480</v>
      </c>
      <c r="J1086" s="13">
        <f>[2]S1!J1087</f>
        <v>0</v>
      </c>
      <c r="K1086" s="19">
        <f>[2]S1!K1087</f>
        <v>6480</v>
      </c>
      <c r="L1086" s="52">
        <f>[2]S1!L1087</f>
        <v>48000</v>
      </c>
      <c r="M1086" s="58">
        <f>[2]S1!M1087</f>
        <v>3</v>
      </c>
      <c r="N1086" s="49">
        <f>[2]S1!P1087</f>
        <v>9352540044</v>
      </c>
    </row>
    <row r="1087" spans="1:14" ht="15" customHeight="1" x14ac:dyDescent="0.3">
      <c r="A1087" s="11">
        <v>4134</v>
      </c>
      <c r="B1087" s="12" t="str">
        <f>[3]Name!E3138</f>
        <v>Rahul Kumar Ladna</v>
      </c>
      <c r="C1087" s="13">
        <f>[2]S1!C1088</f>
        <v>6000</v>
      </c>
      <c r="D1087" s="13">
        <f>[2]S1!D1088</f>
        <v>0</v>
      </c>
      <c r="E1087" s="26">
        <f>[2]S1!E1088</f>
        <v>0</v>
      </c>
      <c r="F1087" s="26">
        <f>[2]S1!F1088</f>
        <v>0</v>
      </c>
      <c r="G1087" s="22">
        <f>[2]S1!G1088</f>
        <v>6000</v>
      </c>
      <c r="H1087" s="22">
        <f>[2]S1!H1088</f>
        <v>0</v>
      </c>
      <c r="I1087" s="22">
        <f>[2]S1!I1088</f>
        <v>480</v>
      </c>
      <c r="J1087" s="13">
        <f>[2]S1!J1088</f>
        <v>0</v>
      </c>
      <c r="K1087" s="19">
        <f>[2]S1!K1088</f>
        <v>6480</v>
      </c>
      <c r="L1087" s="52">
        <f>[2]S1!L1088</f>
        <v>48000</v>
      </c>
      <c r="M1087" s="58">
        <f>[2]S1!M1088</f>
        <v>3</v>
      </c>
      <c r="N1087" s="49">
        <f>[2]S1!P1088</f>
        <v>9352540044</v>
      </c>
    </row>
    <row r="1088" spans="1:14" ht="15" customHeight="1" x14ac:dyDescent="0.3">
      <c r="A1088" s="11">
        <v>4135</v>
      </c>
      <c r="B1088" s="12" t="str">
        <f>[3]Name!E3139</f>
        <v>Manish Kumar Ladna</v>
      </c>
      <c r="C1088" s="13">
        <f>[2]S1!C1089</f>
        <v>6000</v>
      </c>
      <c r="D1088" s="13">
        <f>[2]S1!D1089</f>
        <v>0</v>
      </c>
      <c r="E1088" s="26">
        <f>[2]S1!E1089</f>
        <v>0</v>
      </c>
      <c r="F1088" s="26">
        <f>[2]S1!F1089</f>
        <v>0</v>
      </c>
      <c r="G1088" s="22">
        <f>[2]S1!G1089</f>
        <v>6000</v>
      </c>
      <c r="H1088" s="22">
        <f>[2]S1!H1089</f>
        <v>0</v>
      </c>
      <c r="I1088" s="22">
        <f>[2]S1!I1089</f>
        <v>480</v>
      </c>
      <c r="J1088" s="13">
        <f>[2]S1!J1089</f>
        <v>0</v>
      </c>
      <c r="K1088" s="19">
        <f>[2]S1!K1089</f>
        <v>6480</v>
      </c>
      <c r="L1088" s="52">
        <f>[2]S1!L1089</f>
        <v>48000</v>
      </c>
      <c r="M1088" s="58">
        <f>[2]S1!M1089</f>
        <v>3</v>
      </c>
      <c r="N1088" s="49">
        <f>[2]S1!P1089</f>
        <v>9352540044</v>
      </c>
    </row>
    <row r="1089" spans="1:14" ht="15" customHeight="1" x14ac:dyDescent="0.3">
      <c r="A1089" s="11">
        <v>4136</v>
      </c>
      <c r="B1089" s="12" t="str">
        <f>[3]Name!E3140</f>
        <v>Gorav Kumar Ladna</v>
      </c>
      <c r="C1089" s="13">
        <f>[2]S1!C1090</f>
        <v>6000</v>
      </c>
      <c r="D1089" s="13">
        <f>[2]S1!D1090</f>
        <v>0</v>
      </c>
      <c r="E1089" s="26">
        <f>[2]S1!E1090</f>
        <v>0</v>
      </c>
      <c r="F1089" s="26">
        <f>[2]S1!F1090</f>
        <v>0</v>
      </c>
      <c r="G1089" s="22">
        <f>[2]S1!G1090</f>
        <v>6000</v>
      </c>
      <c r="H1089" s="22">
        <f>[2]S1!H1090</f>
        <v>0</v>
      </c>
      <c r="I1089" s="22">
        <f>[2]S1!I1090</f>
        <v>480</v>
      </c>
      <c r="J1089" s="13">
        <f>[2]S1!J1090</f>
        <v>0</v>
      </c>
      <c r="K1089" s="19">
        <f>[2]S1!K1090</f>
        <v>6480</v>
      </c>
      <c r="L1089" s="52">
        <f>[2]S1!L1090</f>
        <v>48000</v>
      </c>
      <c r="M1089" s="58">
        <f>[2]S1!M1090</f>
        <v>3</v>
      </c>
      <c r="N1089" s="49">
        <f>[2]S1!P1090</f>
        <v>9352540044</v>
      </c>
    </row>
    <row r="1090" spans="1:14" ht="15" customHeight="1" x14ac:dyDescent="0.3">
      <c r="A1090" s="11">
        <v>4137</v>
      </c>
      <c r="B1090" s="12" t="str">
        <f>[3]Name!E3141</f>
        <v>Sankar Lal Ladna</v>
      </c>
      <c r="C1090" s="13">
        <f>[2]S1!C1091</f>
        <v>6000</v>
      </c>
      <c r="D1090" s="13">
        <f>[2]S1!D1091</f>
        <v>0</v>
      </c>
      <c r="E1090" s="26">
        <f>[2]S1!E1091</f>
        <v>0</v>
      </c>
      <c r="F1090" s="26">
        <f>[2]S1!F1091</f>
        <v>0</v>
      </c>
      <c r="G1090" s="22">
        <f>[2]S1!G1091</f>
        <v>6000</v>
      </c>
      <c r="H1090" s="22">
        <f>[2]S1!H1091</f>
        <v>0</v>
      </c>
      <c r="I1090" s="22">
        <f>[2]S1!I1091</f>
        <v>480</v>
      </c>
      <c r="J1090" s="13">
        <f>[2]S1!J1091</f>
        <v>0</v>
      </c>
      <c r="K1090" s="19">
        <f>[2]S1!K1091</f>
        <v>6480</v>
      </c>
      <c r="L1090" s="52">
        <f>[2]S1!L1091</f>
        <v>48000</v>
      </c>
      <c r="M1090" s="58">
        <f>[2]S1!M1091</f>
        <v>3</v>
      </c>
      <c r="N1090" s="49">
        <f>[2]S1!P1091</f>
        <v>9352540044</v>
      </c>
    </row>
    <row r="1091" spans="1:14" ht="15" customHeight="1" x14ac:dyDescent="0.3">
      <c r="A1091" s="11">
        <v>4138</v>
      </c>
      <c r="B1091" s="12" t="str">
        <f>[3]Name!E3142</f>
        <v>Sampat Kumar Ladna</v>
      </c>
      <c r="C1091" s="13">
        <f>[2]S1!C1092</f>
        <v>6000</v>
      </c>
      <c r="D1091" s="13">
        <f>[2]S1!D1092</f>
        <v>0</v>
      </c>
      <c r="E1091" s="26">
        <f>[2]S1!E1092</f>
        <v>0</v>
      </c>
      <c r="F1091" s="26">
        <f>[2]S1!F1092</f>
        <v>0</v>
      </c>
      <c r="G1091" s="22">
        <f>[2]S1!G1092</f>
        <v>6000</v>
      </c>
      <c r="H1091" s="22">
        <f>[2]S1!H1092</f>
        <v>0</v>
      </c>
      <c r="I1091" s="22">
        <f>[2]S1!I1092</f>
        <v>480</v>
      </c>
      <c r="J1091" s="13">
        <f>[2]S1!J1092</f>
        <v>0</v>
      </c>
      <c r="K1091" s="19">
        <f>[2]S1!K1092</f>
        <v>6480</v>
      </c>
      <c r="L1091" s="52">
        <f>[2]S1!L1092</f>
        <v>48000</v>
      </c>
      <c r="M1091" s="58">
        <f>[2]S1!M1092</f>
        <v>3</v>
      </c>
      <c r="N1091" s="49">
        <f>[2]S1!P1092</f>
        <v>9352540044</v>
      </c>
    </row>
    <row r="1092" spans="1:14" ht="15" customHeight="1" x14ac:dyDescent="0.3">
      <c r="A1092" s="11">
        <v>4139</v>
      </c>
      <c r="B1092" s="12" t="str">
        <f>[3]Name!E3143</f>
        <v>Ritu Kumari Ladna</v>
      </c>
      <c r="C1092" s="13">
        <f>[2]S1!C1093</f>
        <v>6000</v>
      </c>
      <c r="D1092" s="13">
        <f>[2]S1!D1093</f>
        <v>0</v>
      </c>
      <c r="E1092" s="26">
        <f>[2]S1!E1093</f>
        <v>0</v>
      </c>
      <c r="F1092" s="26">
        <f>[2]S1!F1093</f>
        <v>0</v>
      </c>
      <c r="G1092" s="22">
        <f>[2]S1!G1093</f>
        <v>6000</v>
      </c>
      <c r="H1092" s="22">
        <f>[2]S1!H1093</f>
        <v>0</v>
      </c>
      <c r="I1092" s="22">
        <f>[2]S1!I1093</f>
        <v>420</v>
      </c>
      <c r="J1092" s="13">
        <f>[2]S1!J1093</f>
        <v>0</v>
      </c>
      <c r="K1092" s="19">
        <f>[2]S1!K1093</f>
        <v>6420</v>
      </c>
      <c r="L1092" s="52">
        <f>[2]S1!L1093</f>
        <v>42000</v>
      </c>
      <c r="M1092" s="58">
        <f>[2]S1!M1093</f>
        <v>4</v>
      </c>
      <c r="N1092" s="49">
        <f>[2]S1!P1093</f>
        <v>9352540044</v>
      </c>
    </row>
    <row r="1093" spans="1:14" ht="15" customHeight="1" x14ac:dyDescent="0.3">
      <c r="A1093" s="11">
        <v>4140</v>
      </c>
      <c r="B1093" s="12" t="str">
        <f>[3]Name!E3144</f>
        <v>Lokesh Kumar Ladna</v>
      </c>
      <c r="C1093" s="13">
        <f>[2]S1!C1094</f>
        <v>6000</v>
      </c>
      <c r="D1093" s="13">
        <f>[2]S1!D1094</f>
        <v>0</v>
      </c>
      <c r="E1093" s="26">
        <f>[2]S1!E1094</f>
        <v>0</v>
      </c>
      <c r="F1093" s="26">
        <f>[2]S1!F1094</f>
        <v>0</v>
      </c>
      <c r="G1093" s="22">
        <f>[2]S1!G1094</f>
        <v>6000</v>
      </c>
      <c r="H1093" s="22">
        <f>[2]S1!H1094</f>
        <v>0</v>
      </c>
      <c r="I1093" s="22">
        <f>[2]S1!I1094</f>
        <v>420</v>
      </c>
      <c r="J1093" s="13">
        <f>[2]S1!J1094</f>
        <v>0</v>
      </c>
      <c r="K1093" s="19">
        <f>[2]S1!K1094</f>
        <v>6420</v>
      </c>
      <c r="L1093" s="52">
        <f>[2]S1!L1094</f>
        <v>42000</v>
      </c>
      <c r="M1093" s="58">
        <f>[2]S1!M1094</f>
        <v>4</v>
      </c>
      <c r="N1093" s="49">
        <f>[2]S1!P1094</f>
        <v>9352540044</v>
      </c>
    </row>
    <row r="1094" spans="1:14" ht="15" customHeight="1" x14ac:dyDescent="0.3">
      <c r="A1094" s="11">
        <v>4141</v>
      </c>
      <c r="B1094" s="12" t="str">
        <f>[3]Name!E3145</f>
        <v>Sankar Lal Bagamar</v>
      </c>
      <c r="C1094" s="13">
        <f>[2]S1!C1095</f>
        <v>0</v>
      </c>
      <c r="D1094" s="13">
        <f>[2]S1!D1095</f>
        <v>0</v>
      </c>
      <c r="E1094" s="26">
        <f>[2]S1!E1095</f>
        <v>200</v>
      </c>
      <c r="F1094" s="26">
        <f>[2]S1!F1095</f>
        <v>2</v>
      </c>
      <c r="G1094" s="22">
        <f>[2]S1!G1095</f>
        <v>0</v>
      </c>
      <c r="H1094" s="22">
        <f>[2]S1!H1095</f>
        <v>0</v>
      </c>
      <c r="I1094" s="22">
        <f>[2]S1!I1095</f>
        <v>0</v>
      </c>
      <c r="J1094" s="13">
        <f>[2]S1!J1095</f>
        <v>0</v>
      </c>
      <c r="K1094" s="19">
        <f>[2]S1!K1095</f>
        <v>202</v>
      </c>
      <c r="L1094" s="52">
        <f>[2]S1!L1095</f>
        <v>0</v>
      </c>
      <c r="M1094" s="58">
        <f>[2]S1!M1095</f>
        <v>0</v>
      </c>
      <c r="N1094" s="49">
        <f>[2]S1!P1095</f>
        <v>9982361246</v>
      </c>
    </row>
    <row r="1095" spans="1:14" ht="15" customHeight="1" x14ac:dyDescent="0.3">
      <c r="A1095" s="11">
        <v>4142</v>
      </c>
      <c r="B1095" s="12" t="str">
        <f>[3]Name!E3146</f>
        <v>Maya Devi Bagmar</v>
      </c>
      <c r="C1095" s="13">
        <f>[2]S1!C1096</f>
        <v>0</v>
      </c>
      <c r="D1095" s="13">
        <f>[2]S1!D1096</f>
        <v>0</v>
      </c>
      <c r="E1095" s="26">
        <f>[2]S1!E1096</f>
        <v>200</v>
      </c>
      <c r="F1095" s="26">
        <f>[2]S1!F1096</f>
        <v>2</v>
      </c>
      <c r="G1095" s="22">
        <f>[2]S1!G1096</f>
        <v>0</v>
      </c>
      <c r="H1095" s="22">
        <f>[2]S1!H1096</f>
        <v>0</v>
      </c>
      <c r="I1095" s="22">
        <f>[2]S1!I1096</f>
        <v>0</v>
      </c>
      <c r="J1095" s="13">
        <f>[2]S1!J1096</f>
        <v>0</v>
      </c>
      <c r="K1095" s="19">
        <f>[2]S1!K1096</f>
        <v>202</v>
      </c>
      <c r="L1095" s="52">
        <f>[2]S1!L1096</f>
        <v>0</v>
      </c>
      <c r="M1095" s="58">
        <f>[2]S1!M1096</f>
        <v>0</v>
      </c>
      <c r="N1095" s="49">
        <f>[2]S1!P1096</f>
        <v>9982361246</v>
      </c>
    </row>
    <row r="1096" spans="1:14" ht="15" customHeight="1" x14ac:dyDescent="0.3">
      <c r="A1096" s="11">
        <v>4143</v>
      </c>
      <c r="B1096" s="12" t="str">
        <f>[3]Name!E3147</f>
        <v>Soniya Kumari Bagmar</v>
      </c>
      <c r="C1096" s="13">
        <f>[2]S1!C1097</f>
        <v>0</v>
      </c>
      <c r="D1096" s="13">
        <f>[2]S1!D1097</f>
        <v>0</v>
      </c>
      <c r="E1096" s="26">
        <f>[2]S1!E1097</f>
        <v>200</v>
      </c>
      <c r="F1096" s="26">
        <f>[2]S1!F1097</f>
        <v>2</v>
      </c>
      <c r="G1096" s="22">
        <f>[2]S1!G1097</f>
        <v>0</v>
      </c>
      <c r="H1096" s="22">
        <f>[2]S1!H1097</f>
        <v>0</v>
      </c>
      <c r="I1096" s="22">
        <f>[2]S1!I1097</f>
        <v>0</v>
      </c>
      <c r="J1096" s="13">
        <f>[2]S1!J1097</f>
        <v>0</v>
      </c>
      <c r="K1096" s="19">
        <f>[2]S1!K1097</f>
        <v>202</v>
      </c>
      <c r="L1096" s="52">
        <f>[2]S1!L1097</f>
        <v>0</v>
      </c>
      <c r="M1096" s="58">
        <f>[2]S1!M1097</f>
        <v>0</v>
      </c>
      <c r="N1096" s="49">
        <f>[2]S1!P1097</f>
        <v>9982361246</v>
      </c>
    </row>
    <row r="1097" spans="1:14" ht="15" customHeight="1" x14ac:dyDescent="0.3">
      <c r="A1097" s="11">
        <v>4144</v>
      </c>
      <c r="B1097" s="12" t="str">
        <f>[3]Name!E3148</f>
        <v>Priya Kumari Bagmar</v>
      </c>
      <c r="C1097" s="13">
        <f>[2]S1!C1098</f>
        <v>0</v>
      </c>
      <c r="D1097" s="13">
        <f>[2]S1!D1098</f>
        <v>0</v>
      </c>
      <c r="E1097" s="26">
        <f>[2]S1!E1098</f>
        <v>200</v>
      </c>
      <c r="F1097" s="26">
        <f>[2]S1!F1098</f>
        <v>2</v>
      </c>
      <c r="G1097" s="22">
        <f>[2]S1!G1098</f>
        <v>0</v>
      </c>
      <c r="H1097" s="22">
        <f>[2]S1!H1098</f>
        <v>0</v>
      </c>
      <c r="I1097" s="22">
        <f>[2]S1!I1098</f>
        <v>0</v>
      </c>
      <c r="J1097" s="13">
        <f>[2]S1!J1098</f>
        <v>0</v>
      </c>
      <c r="K1097" s="19">
        <f>[2]S1!K1098</f>
        <v>202</v>
      </c>
      <c r="L1097" s="52">
        <f>[2]S1!L1098</f>
        <v>0</v>
      </c>
      <c r="M1097" s="58">
        <f>[2]S1!M1098</f>
        <v>0</v>
      </c>
      <c r="N1097" s="49">
        <f>[2]S1!P1098</f>
        <v>9982361246</v>
      </c>
    </row>
    <row r="1098" spans="1:14" ht="15" customHeight="1" x14ac:dyDescent="0.3">
      <c r="A1098" s="11">
        <v>4145</v>
      </c>
      <c r="B1098" s="12" t="str">
        <f>[3]Name!E3149</f>
        <v>Prahalad Ladana</v>
      </c>
      <c r="C1098" s="13">
        <f>[2]S1!C1099</f>
        <v>16200</v>
      </c>
      <c r="D1098" s="13">
        <f>[2]S1!D1099</f>
        <v>0</v>
      </c>
      <c r="E1098" s="26">
        <f>[2]S1!E1099</f>
        <v>200</v>
      </c>
      <c r="F1098" s="26">
        <f>[2]S1!F1099</f>
        <v>0</v>
      </c>
      <c r="G1098" s="22">
        <f>[2]S1!G1099</f>
        <v>0</v>
      </c>
      <c r="H1098" s="22">
        <f>[2]S1!H1099</f>
        <v>0</v>
      </c>
      <c r="I1098" s="22">
        <f>[2]S1!I1099</f>
        <v>141</v>
      </c>
      <c r="J1098" s="13">
        <f>[2]S1!J1099</f>
        <v>0</v>
      </c>
      <c r="K1098" s="19">
        <f>[2]S1!K1099</f>
        <v>341</v>
      </c>
      <c r="L1098" s="52">
        <f>[2]S1!L1099</f>
        <v>14092</v>
      </c>
      <c r="M1098" s="58">
        <f>[2]S1!M1099</f>
        <v>5</v>
      </c>
      <c r="N1098" s="49">
        <f>[2]S1!P1099</f>
        <v>9828072198</v>
      </c>
    </row>
    <row r="1099" spans="1:14" ht="15" customHeight="1" x14ac:dyDescent="0.3">
      <c r="A1099" s="11">
        <v>4146</v>
      </c>
      <c r="B1099" s="12" t="str">
        <f>[3]Name!E3150</f>
        <v>Vimala Devi Ladana</v>
      </c>
      <c r="C1099" s="13">
        <f>[2]S1!C1100</f>
        <v>16200</v>
      </c>
      <c r="D1099" s="13">
        <f>[2]S1!D1100</f>
        <v>0</v>
      </c>
      <c r="E1099" s="26">
        <f>[2]S1!E1100</f>
        <v>200</v>
      </c>
      <c r="F1099" s="26">
        <f>[2]S1!F1100</f>
        <v>0</v>
      </c>
      <c r="G1099" s="22">
        <f>[2]S1!G1100</f>
        <v>0</v>
      </c>
      <c r="H1099" s="22">
        <f>[2]S1!H1100</f>
        <v>0</v>
      </c>
      <c r="I1099" s="22">
        <f>[2]S1!I1100</f>
        <v>150</v>
      </c>
      <c r="J1099" s="13">
        <f>[2]S1!J1100</f>
        <v>0</v>
      </c>
      <c r="K1099" s="19">
        <f>[2]S1!K1100</f>
        <v>350</v>
      </c>
      <c r="L1099" s="52">
        <f>[2]S1!L1100</f>
        <v>15000</v>
      </c>
      <c r="M1099" s="58">
        <f>[2]S1!M1100</f>
        <v>5</v>
      </c>
      <c r="N1099" s="49">
        <f>[2]S1!P1100</f>
        <v>9828072198</v>
      </c>
    </row>
    <row r="1100" spans="1:14" ht="15" customHeight="1" x14ac:dyDescent="0.3">
      <c r="A1100" s="11">
        <v>4147</v>
      </c>
      <c r="B1100" s="12" t="str">
        <f>[3]Name!E3151</f>
        <v>Lokesh Kumar Ladana</v>
      </c>
      <c r="C1100" s="13">
        <f>[2]S1!C1101</f>
        <v>16200</v>
      </c>
      <c r="D1100" s="13">
        <f>[2]S1!D1101</f>
        <v>0</v>
      </c>
      <c r="E1100" s="26">
        <f>[2]S1!E1101</f>
        <v>200</v>
      </c>
      <c r="F1100" s="26">
        <f>[2]S1!F1101</f>
        <v>0</v>
      </c>
      <c r="G1100" s="22">
        <f>[2]S1!G1101</f>
        <v>0</v>
      </c>
      <c r="H1100" s="22">
        <f>[2]S1!H1101</f>
        <v>0</v>
      </c>
      <c r="I1100" s="22">
        <f>[2]S1!I1101</f>
        <v>151</v>
      </c>
      <c r="J1100" s="13">
        <f>[2]S1!J1101</f>
        <v>0</v>
      </c>
      <c r="K1100" s="19">
        <f>[2]S1!K1101</f>
        <v>351</v>
      </c>
      <c r="L1100" s="52">
        <f>[2]S1!L1101</f>
        <v>15143</v>
      </c>
      <c r="M1100" s="58">
        <f>[2]S1!M1101</f>
        <v>5</v>
      </c>
      <c r="N1100" s="49">
        <f>[2]S1!P1101</f>
        <v>9828072198</v>
      </c>
    </row>
    <row r="1101" spans="1:14" ht="15" customHeight="1" x14ac:dyDescent="0.3">
      <c r="A1101" s="11">
        <v>4148</v>
      </c>
      <c r="B1101" s="12" t="str">
        <f>[3]Name!E3152</f>
        <v>Dayal Meharda</v>
      </c>
      <c r="C1101" s="13">
        <f>[2]S1!C1102</f>
        <v>0</v>
      </c>
      <c r="D1101" s="13">
        <f>[2]S1!D1102</f>
        <v>0</v>
      </c>
      <c r="E1101" s="26">
        <f>[2]S1!E1102</f>
        <v>200</v>
      </c>
      <c r="F1101" s="26">
        <f>[2]S1!F1102</f>
        <v>0</v>
      </c>
      <c r="G1101" s="22">
        <f>[2]S1!G1102</f>
        <v>0</v>
      </c>
      <c r="H1101" s="22">
        <f>[2]S1!H1102</f>
        <v>0</v>
      </c>
      <c r="I1101" s="22">
        <f>[2]S1!I1102</f>
        <v>400</v>
      </c>
      <c r="J1101" s="13">
        <f>[2]S1!J1102</f>
        <v>0</v>
      </c>
      <c r="K1101" s="19">
        <f>[2]S1!K1102</f>
        <v>600</v>
      </c>
      <c r="L1101" s="52">
        <f>[2]S1!L1102</f>
        <v>40000</v>
      </c>
      <c r="M1101" s="58">
        <f>[2]S1!M1102</f>
        <v>2</v>
      </c>
      <c r="N1101" s="49">
        <f>[2]S1!P1102</f>
        <v>8824990821</v>
      </c>
    </row>
    <row r="1102" spans="1:14" ht="15" customHeight="1" x14ac:dyDescent="0.3">
      <c r="A1102" s="11">
        <v>4149</v>
      </c>
      <c r="B1102" s="12" t="str">
        <f>[3]Name!E3153</f>
        <v>Aarati Devi Meharda</v>
      </c>
      <c r="C1102" s="13">
        <f>[2]S1!C1103</f>
        <v>0</v>
      </c>
      <c r="D1102" s="13">
        <f>[2]S1!D1103</f>
        <v>0</v>
      </c>
      <c r="E1102" s="26">
        <f>[2]S1!E1103</f>
        <v>200</v>
      </c>
      <c r="F1102" s="26">
        <f>[2]S1!F1103</f>
        <v>0</v>
      </c>
      <c r="G1102" s="22">
        <f>[2]S1!G1103</f>
        <v>0</v>
      </c>
      <c r="H1102" s="22">
        <f>[2]S1!H1103</f>
        <v>0</v>
      </c>
      <c r="I1102" s="22">
        <f>[2]S1!I1103</f>
        <v>400</v>
      </c>
      <c r="J1102" s="13">
        <f>[2]S1!J1103</f>
        <v>0</v>
      </c>
      <c r="K1102" s="19">
        <f>[2]S1!K1103</f>
        <v>600</v>
      </c>
      <c r="L1102" s="52">
        <f>[2]S1!L1103</f>
        <v>40000</v>
      </c>
      <c r="M1102" s="58">
        <f>[2]S1!M1103</f>
        <v>2</v>
      </c>
      <c r="N1102" s="49">
        <f>[2]S1!P1103</f>
        <v>8824990821</v>
      </c>
    </row>
    <row r="1103" spans="1:14" ht="15" customHeight="1" x14ac:dyDescent="0.3">
      <c r="A1103" s="11">
        <v>4150</v>
      </c>
      <c r="B1103" s="12" t="str">
        <f>[3]Name!E3154</f>
        <v>Ajay Kumar Meharda</v>
      </c>
      <c r="C1103" s="13">
        <f>[2]S1!C1104</f>
        <v>16200</v>
      </c>
      <c r="D1103" s="13">
        <f>[2]S1!D1104</f>
        <v>0</v>
      </c>
      <c r="E1103" s="26">
        <f>[2]S1!E1104</f>
        <v>200</v>
      </c>
      <c r="F1103" s="26">
        <f>[2]S1!F1104</f>
        <v>0</v>
      </c>
      <c r="G1103" s="22">
        <f>[2]S1!G1104</f>
        <v>0</v>
      </c>
      <c r="H1103" s="22">
        <f>[2]S1!H1104</f>
        <v>0</v>
      </c>
      <c r="I1103" s="22">
        <f>[2]S1!I1104</f>
        <v>400</v>
      </c>
      <c r="J1103" s="13">
        <f>[2]S1!J1104</f>
        <v>0</v>
      </c>
      <c r="K1103" s="19">
        <f>[2]S1!K1104</f>
        <v>600</v>
      </c>
      <c r="L1103" s="52">
        <f>[2]S1!L1104</f>
        <v>40000</v>
      </c>
      <c r="M1103" s="58">
        <f>[2]S1!M1104</f>
        <v>2</v>
      </c>
      <c r="N1103" s="49">
        <f>[2]S1!P1104</f>
        <v>8824990821</v>
      </c>
    </row>
    <row r="1104" spans="1:14" ht="15" customHeight="1" x14ac:dyDescent="0.3">
      <c r="A1104" s="11">
        <v>4151</v>
      </c>
      <c r="B1104" s="12" t="str">
        <f>[3]Name!E3155</f>
        <v>Pavan Kumar Meharda</v>
      </c>
      <c r="C1104" s="13">
        <f>[2]S1!C1105</f>
        <v>16200</v>
      </c>
      <c r="D1104" s="13">
        <f>[2]S1!D1105</f>
        <v>0</v>
      </c>
      <c r="E1104" s="26">
        <f>[2]S1!E1105</f>
        <v>200</v>
      </c>
      <c r="F1104" s="26">
        <f>[2]S1!F1105</f>
        <v>0</v>
      </c>
      <c r="G1104" s="22">
        <f>[2]S1!G1105</f>
        <v>0</v>
      </c>
      <c r="H1104" s="22">
        <f>[2]S1!H1105</f>
        <v>0</v>
      </c>
      <c r="I1104" s="22">
        <f>[2]S1!I1105</f>
        <v>400</v>
      </c>
      <c r="J1104" s="13">
        <f>[2]S1!J1105</f>
        <v>0</v>
      </c>
      <c r="K1104" s="19">
        <f>[2]S1!K1105</f>
        <v>600</v>
      </c>
      <c r="L1104" s="52">
        <f>[2]S1!L1105</f>
        <v>40000</v>
      </c>
      <c r="M1104" s="58">
        <f>[2]S1!M1105</f>
        <v>2</v>
      </c>
      <c r="N1104" s="49">
        <f>[2]S1!P1105</f>
        <v>8824990821</v>
      </c>
    </row>
    <row r="1105" spans="1:14" ht="15" customHeight="1" x14ac:dyDescent="0.3">
      <c r="A1105" s="11">
        <v>4152</v>
      </c>
      <c r="B1105" s="12" t="str">
        <f>[3]Name!E3156</f>
        <v>Sumit Kumar Meharda</v>
      </c>
      <c r="C1105" s="13">
        <f>[2]S1!C1106</f>
        <v>16200</v>
      </c>
      <c r="D1105" s="13">
        <f>[2]S1!D1106</f>
        <v>0</v>
      </c>
      <c r="E1105" s="26">
        <f>[2]S1!E1106</f>
        <v>200</v>
      </c>
      <c r="F1105" s="26">
        <f>[2]S1!F1106</f>
        <v>0</v>
      </c>
      <c r="G1105" s="22">
        <f>[2]S1!G1106</f>
        <v>0</v>
      </c>
      <c r="H1105" s="22">
        <f>[2]S1!H1106</f>
        <v>0</v>
      </c>
      <c r="I1105" s="22">
        <f>[2]S1!I1106</f>
        <v>400</v>
      </c>
      <c r="J1105" s="13">
        <f>[2]S1!J1106</f>
        <v>0</v>
      </c>
      <c r="K1105" s="19">
        <f>[2]S1!K1106</f>
        <v>600</v>
      </c>
      <c r="L1105" s="52">
        <f>[2]S1!L1106</f>
        <v>40000</v>
      </c>
      <c r="M1105" s="58">
        <f>[2]S1!M1106</f>
        <v>2</v>
      </c>
      <c r="N1105" s="49">
        <f>[2]S1!P1106</f>
        <v>8824990821</v>
      </c>
    </row>
    <row r="1106" spans="1:14" ht="15" customHeight="1" x14ac:dyDescent="0.3">
      <c r="A1106" s="11">
        <v>4153</v>
      </c>
      <c r="B1106" s="12" t="str">
        <f>[3]Name!E3157</f>
        <v>Naresh Raj Meharda</v>
      </c>
      <c r="C1106" s="13">
        <f>[2]S1!C1107</f>
        <v>4000</v>
      </c>
      <c r="D1106" s="13">
        <f>[2]S1!D1107</f>
        <v>0</v>
      </c>
      <c r="E1106" s="26">
        <f>[2]S1!E1107</f>
        <v>200</v>
      </c>
      <c r="F1106" s="26">
        <f>[2]S1!F1107</f>
        <v>0</v>
      </c>
      <c r="G1106" s="22">
        <f>[2]S1!G1107</f>
        <v>4000</v>
      </c>
      <c r="H1106" s="22">
        <f>[2]S1!H1107</f>
        <v>0</v>
      </c>
      <c r="I1106" s="22">
        <f>[2]S1!I1107</f>
        <v>400</v>
      </c>
      <c r="J1106" s="13">
        <f>[2]S1!J1107</f>
        <v>0</v>
      </c>
      <c r="K1106" s="19">
        <f>[2]S1!K1107</f>
        <v>4600</v>
      </c>
      <c r="L1106" s="52">
        <f>[2]S1!L1107</f>
        <v>40000</v>
      </c>
      <c r="M1106" s="58">
        <f>[2]S1!M1107</f>
        <v>1</v>
      </c>
      <c r="N1106" s="49">
        <f>[2]S1!P1107</f>
        <v>8824990821</v>
      </c>
    </row>
    <row r="1107" spans="1:14" ht="15" customHeight="1" x14ac:dyDescent="0.3">
      <c r="A1107" s="11">
        <v>4154</v>
      </c>
      <c r="B1107" s="12" t="str">
        <f>[3]Name!E3158</f>
        <v>Dayal Meharda</v>
      </c>
      <c r="C1107" s="13">
        <f>[2]S1!C1108</f>
        <v>4000</v>
      </c>
      <c r="D1107" s="13">
        <f>[2]S1!D1108</f>
        <v>0</v>
      </c>
      <c r="E1107" s="26">
        <f>[2]S1!E1108</f>
        <v>200</v>
      </c>
      <c r="F1107" s="26">
        <f>[2]S1!F1108</f>
        <v>0</v>
      </c>
      <c r="G1107" s="22">
        <f>[2]S1!G1108</f>
        <v>4000</v>
      </c>
      <c r="H1107" s="22">
        <f>[2]S1!H1108</f>
        <v>0</v>
      </c>
      <c r="I1107" s="22">
        <f>[2]S1!I1108</f>
        <v>400</v>
      </c>
      <c r="J1107" s="13">
        <f>[2]S1!J1108</f>
        <v>0</v>
      </c>
      <c r="K1107" s="19">
        <f>[2]S1!K1108</f>
        <v>4600</v>
      </c>
      <c r="L1107" s="52">
        <f>[2]S1!L1108</f>
        <v>40000</v>
      </c>
      <c r="M1107" s="58">
        <f>[2]S1!M1108</f>
        <v>1</v>
      </c>
      <c r="N1107" s="49">
        <f>[2]S1!P1108</f>
        <v>8824990821</v>
      </c>
    </row>
    <row r="1108" spans="1:14" ht="15" customHeight="1" x14ac:dyDescent="0.3">
      <c r="A1108" s="11">
        <v>4155</v>
      </c>
      <c r="B1108" s="12" t="str">
        <f>[3]Name!E3159</f>
        <v>Pinki Meharda</v>
      </c>
      <c r="C1108" s="13">
        <f>[2]S1!C1109</f>
        <v>16200</v>
      </c>
      <c r="D1108" s="13">
        <f>[2]S1!D1109</f>
        <v>0</v>
      </c>
      <c r="E1108" s="26">
        <f>[2]S1!E1109</f>
        <v>200</v>
      </c>
      <c r="F1108" s="26">
        <f>[2]S1!F1109</f>
        <v>0</v>
      </c>
      <c r="G1108" s="22">
        <f>[2]S1!G1109</f>
        <v>1800</v>
      </c>
      <c r="H1108" s="22">
        <f>[2]S1!H1109</f>
        <v>0</v>
      </c>
      <c r="I1108" s="22">
        <f>[2]S1!I1109</f>
        <v>180</v>
      </c>
      <c r="J1108" s="13">
        <f>[2]S1!J1109</f>
        <v>0</v>
      </c>
      <c r="K1108" s="19">
        <f>[2]S1!K1109</f>
        <v>2180</v>
      </c>
      <c r="L1108" s="52">
        <f>[2]S1!L1109</f>
        <v>18000</v>
      </c>
      <c r="M1108" s="58">
        <f>[2]S1!M1109</f>
        <v>5</v>
      </c>
      <c r="N1108" s="49">
        <f>[2]S1!P1109</f>
        <v>8824990821</v>
      </c>
    </row>
    <row r="1109" spans="1:14" ht="15" customHeight="1" x14ac:dyDescent="0.3">
      <c r="A1109" s="11">
        <v>4156</v>
      </c>
      <c r="B1109" s="12" t="str">
        <f>[3]Name!E3160</f>
        <v>Mangi Devi Bunkar</v>
      </c>
      <c r="C1109" s="13">
        <f>[2]S1!C1110</f>
        <v>0</v>
      </c>
      <c r="D1109" s="13">
        <f>[2]S1!D1110</f>
        <v>0</v>
      </c>
      <c r="E1109" s="26">
        <f>[2]S1!E1110</f>
        <v>200</v>
      </c>
      <c r="F1109" s="26">
        <f>[2]S1!F1110</f>
        <v>0</v>
      </c>
      <c r="G1109" s="22">
        <f>[2]S1!G1110</f>
        <v>0</v>
      </c>
      <c r="H1109" s="22">
        <f>[2]S1!H1110</f>
        <v>0</v>
      </c>
      <c r="I1109" s="22">
        <f>[2]S1!I1110</f>
        <v>0</v>
      </c>
      <c r="J1109" s="13">
        <f>[2]S1!J1110</f>
        <v>0</v>
      </c>
      <c r="K1109" s="19">
        <f>[2]S1!K1110</f>
        <v>200</v>
      </c>
      <c r="L1109" s="52">
        <f>[2]S1!L1110</f>
        <v>0</v>
      </c>
      <c r="M1109" s="58">
        <f>[2]S1!M1110</f>
        <v>0</v>
      </c>
      <c r="N1109" s="49">
        <f>[2]S1!P1110</f>
        <v>9352230042</v>
      </c>
    </row>
    <row r="1110" spans="1:14" ht="15" customHeight="1" x14ac:dyDescent="0.3">
      <c r="A1110" s="11">
        <v>4157</v>
      </c>
      <c r="B1110" s="12" t="str">
        <f>[3]Name!E3161</f>
        <v>Savan Kumar Bunkar</v>
      </c>
      <c r="C1110" s="13">
        <f>[2]S1!C1111</f>
        <v>0</v>
      </c>
      <c r="D1110" s="13">
        <f>[2]S1!D1111</f>
        <v>0</v>
      </c>
      <c r="E1110" s="26">
        <f>[2]S1!E1111</f>
        <v>200</v>
      </c>
      <c r="F1110" s="26">
        <f>[2]S1!F1111</f>
        <v>0</v>
      </c>
      <c r="G1110" s="22">
        <f>[2]S1!G1111</f>
        <v>0</v>
      </c>
      <c r="H1110" s="22">
        <f>[2]S1!H1111</f>
        <v>0</v>
      </c>
      <c r="I1110" s="22">
        <f>[2]S1!I1111</f>
        <v>0</v>
      </c>
      <c r="J1110" s="13">
        <f>[2]S1!J1111</f>
        <v>0</v>
      </c>
      <c r="K1110" s="19">
        <f>[2]S1!K1111</f>
        <v>200</v>
      </c>
      <c r="L1110" s="52">
        <f>[2]S1!L1111</f>
        <v>0</v>
      </c>
      <c r="M1110" s="58">
        <f>[2]S1!M1111</f>
        <v>0</v>
      </c>
      <c r="N1110" s="49">
        <f>[2]S1!P1111</f>
        <v>9352230042</v>
      </c>
    </row>
    <row r="1111" spans="1:14" ht="15" customHeight="1" x14ac:dyDescent="0.3">
      <c r="A1111" s="11">
        <v>4158</v>
      </c>
      <c r="B1111" s="12" t="str">
        <f>[3]Name!E3162</f>
        <v>Chirnji Lal Sunya</v>
      </c>
      <c r="C1111" s="13">
        <f>[2]S1!C1112</f>
        <v>500</v>
      </c>
      <c r="D1111" s="13">
        <f>[2]S1!D1112</f>
        <v>0</v>
      </c>
      <c r="E1111" s="26">
        <f>[2]S1!E1112</f>
        <v>200</v>
      </c>
      <c r="F1111" s="26">
        <f>[2]S1!F1112</f>
        <v>0</v>
      </c>
      <c r="G1111" s="22">
        <f>[2]S1!G1112</f>
        <v>500</v>
      </c>
      <c r="H1111" s="22">
        <f>[2]S1!H1112</f>
        <v>0</v>
      </c>
      <c r="I1111" s="22">
        <f>[2]S1!I1112</f>
        <v>380</v>
      </c>
      <c r="J1111" s="13">
        <f>[2]S1!J1112</f>
        <v>0</v>
      </c>
      <c r="K1111" s="19">
        <f>[2]S1!K1112</f>
        <v>1080</v>
      </c>
      <c r="L1111" s="52">
        <f>[2]S1!L1112</f>
        <v>38000</v>
      </c>
      <c r="M1111" s="58">
        <f>[2]S1!M1112</f>
        <v>5</v>
      </c>
      <c r="N1111" s="49">
        <f>[2]S1!P1112</f>
        <v>9828702457</v>
      </c>
    </row>
    <row r="1112" spans="1:14" ht="15" customHeight="1" x14ac:dyDescent="0.3">
      <c r="A1112" s="11">
        <v>4159</v>
      </c>
      <c r="B1112" s="12" t="str">
        <f>[3]Name!E3163</f>
        <v>Kamala Devi suniya</v>
      </c>
      <c r="C1112" s="13">
        <f>[2]S1!C1113</f>
        <v>0</v>
      </c>
      <c r="D1112" s="13">
        <f>[2]S1!D1113</f>
        <v>0</v>
      </c>
      <c r="E1112" s="26">
        <f>[2]S1!E1113</f>
        <v>200</v>
      </c>
      <c r="F1112" s="26">
        <f>[2]S1!F1113</f>
        <v>0</v>
      </c>
      <c r="G1112" s="22">
        <f>[2]S1!G1113</f>
        <v>0</v>
      </c>
      <c r="H1112" s="22">
        <f>[2]S1!H1113</f>
        <v>0</v>
      </c>
      <c r="I1112" s="22">
        <f>[2]S1!I1113</f>
        <v>0</v>
      </c>
      <c r="J1112" s="13">
        <f>[2]S1!J1113</f>
        <v>0</v>
      </c>
      <c r="K1112" s="19">
        <f>[2]S1!K1113</f>
        <v>200</v>
      </c>
      <c r="L1112" s="52">
        <f>[2]S1!L1113</f>
        <v>0</v>
      </c>
      <c r="M1112" s="58">
        <f>[2]S1!M1113</f>
        <v>0</v>
      </c>
      <c r="N1112" s="49">
        <f>[2]S1!P1113</f>
        <v>9828702457</v>
      </c>
    </row>
    <row r="1113" spans="1:14" ht="15" customHeight="1" x14ac:dyDescent="0.3">
      <c r="A1113" s="11">
        <v>4160</v>
      </c>
      <c r="B1113" s="12" t="str">
        <f>[3]Name!E3164</f>
        <v>Mahendr Kumar Suniya</v>
      </c>
      <c r="C1113" s="13">
        <f>[2]S1!C1114</f>
        <v>500</v>
      </c>
      <c r="D1113" s="13">
        <f>[2]S1!D1114</f>
        <v>0</v>
      </c>
      <c r="E1113" s="26">
        <f>[2]S1!E1114</f>
        <v>200</v>
      </c>
      <c r="F1113" s="26">
        <f>[2]S1!F1114</f>
        <v>0</v>
      </c>
      <c r="G1113" s="22">
        <f>[2]S1!G1114</f>
        <v>0</v>
      </c>
      <c r="H1113" s="22">
        <f>[2]S1!H1114</f>
        <v>0</v>
      </c>
      <c r="I1113" s="22">
        <f>[2]S1!I1114</f>
        <v>374</v>
      </c>
      <c r="J1113" s="13">
        <f>[2]S1!J1114</f>
        <v>0</v>
      </c>
      <c r="K1113" s="19">
        <f>[2]S1!K1114</f>
        <v>574</v>
      </c>
      <c r="L1113" s="52">
        <f>[2]S1!L1114</f>
        <v>37381</v>
      </c>
      <c r="M1113" s="58">
        <f>[2]S1!M1114</f>
        <v>4</v>
      </c>
      <c r="N1113" s="49">
        <f>[2]S1!P1114</f>
        <v>9828702457</v>
      </c>
    </row>
    <row r="1114" spans="1:14" ht="15" customHeight="1" x14ac:dyDescent="0.3">
      <c r="A1114" s="11">
        <v>4161</v>
      </c>
      <c r="B1114" s="12" t="str">
        <f>[3]Name!E3165</f>
        <v>Dasharat Kumar Suniya</v>
      </c>
      <c r="C1114" s="13">
        <f>[2]S1!C1115</f>
        <v>0</v>
      </c>
      <c r="D1114" s="13">
        <f>[2]S1!D1115</f>
        <v>0</v>
      </c>
      <c r="E1114" s="26">
        <f>[2]S1!E1115</f>
        <v>200</v>
      </c>
      <c r="F1114" s="26">
        <f>[2]S1!F1115</f>
        <v>0</v>
      </c>
      <c r="G1114" s="22">
        <f>[2]S1!G1115</f>
        <v>0</v>
      </c>
      <c r="H1114" s="22">
        <f>[2]S1!H1115</f>
        <v>0</v>
      </c>
      <c r="I1114" s="22">
        <f>[2]S1!I1115</f>
        <v>0</v>
      </c>
      <c r="J1114" s="13">
        <f>[2]S1!J1115</f>
        <v>0</v>
      </c>
      <c r="K1114" s="19">
        <f>[2]S1!K1115</f>
        <v>200</v>
      </c>
      <c r="L1114" s="52">
        <f>[2]S1!L1115</f>
        <v>0</v>
      </c>
      <c r="M1114" s="58">
        <f>[2]S1!M1115</f>
        <v>0</v>
      </c>
      <c r="N1114" s="49">
        <f>[2]S1!P1115</f>
        <v>9828702457</v>
      </c>
    </row>
    <row r="1115" spans="1:14" ht="15" customHeight="1" x14ac:dyDescent="0.3">
      <c r="A1115" s="11">
        <v>4162</v>
      </c>
      <c r="B1115" s="12" t="str">
        <f>[3]Name!E3166</f>
        <v>Sima Kumari Suniya</v>
      </c>
      <c r="C1115" s="13">
        <f>[2]S1!C1116</f>
        <v>0</v>
      </c>
      <c r="D1115" s="13">
        <f>[2]S1!D1116</f>
        <v>0</v>
      </c>
      <c r="E1115" s="26">
        <f>[2]S1!E1116</f>
        <v>200</v>
      </c>
      <c r="F1115" s="26">
        <f>[2]S1!F1116</f>
        <v>0</v>
      </c>
      <c r="G1115" s="22">
        <f>[2]S1!G1116</f>
        <v>0</v>
      </c>
      <c r="H1115" s="22">
        <f>[2]S1!H1116</f>
        <v>0</v>
      </c>
      <c r="I1115" s="22">
        <f>[2]S1!I1116</f>
        <v>0</v>
      </c>
      <c r="J1115" s="13">
        <f>[2]S1!J1116</f>
        <v>0</v>
      </c>
      <c r="K1115" s="19">
        <f>[2]S1!K1116</f>
        <v>200</v>
      </c>
      <c r="L1115" s="52">
        <f>[2]S1!L1116</f>
        <v>0</v>
      </c>
      <c r="M1115" s="58">
        <f>[2]S1!M1116</f>
        <v>0</v>
      </c>
      <c r="N1115" s="49">
        <f>[2]S1!P1116</f>
        <v>9828702457</v>
      </c>
    </row>
    <row r="1116" spans="1:14" ht="15" customHeight="1" x14ac:dyDescent="0.3">
      <c r="A1116" s="11">
        <v>4163</v>
      </c>
      <c r="B1116" s="12" t="str">
        <f>[3]Name!E3167</f>
        <v>Kamala Devi suniya</v>
      </c>
      <c r="C1116" s="13">
        <f>[2]S1!C1117</f>
        <v>500</v>
      </c>
      <c r="D1116" s="13">
        <f>[2]S1!D1117</f>
        <v>0</v>
      </c>
      <c r="E1116" s="26">
        <f>[2]S1!E1117</f>
        <v>200</v>
      </c>
      <c r="F1116" s="26">
        <f>[2]S1!F1117</f>
        <v>0</v>
      </c>
      <c r="G1116" s="22">
        <f>[2]S1!G1117</f>
        <v>500</v>
      </c>
      <c r="H1116" s="22">
        <f>[2]S1!H1117</f>
        <v>0</v>
      </c>
      <c r="I1116" s="22">
        <f>[2]S1!I1117</f>
        <v>385</v>
      </c>
      <c r="J1116" s="13">
        <f>[2]S1!J1117</f>
        <v>0</v>
      </c>
      <c r="K1116" s="19">
        <f>[2]S1!K1117</f>
        <v>1085</v>
      </c>
      <c r="L1116" s="52">
        <f>[2]S1!L1117</f>
        <v>38500</v>
      </c>
      <c r="M1116" s="58">
        <f>[2]S1!M1117</f>
        <v>4</v>
      </c>
      <c r="N1116" s="49">
        <f>[2]S1!P1117</f>
        <v>9828702457</v>
      </c>
    </row>
    <row r="1117" spans="1:14" ht="15" customHeight="1" x14ac:dyDescent="0.3">
      <c r="A1117" s="11">
        <v>4164</v>
      </c>
      <c r="B1117" s="12" t="str">
        <f>[3]Name!E3168</f>
        <v>Kamala Devi suniya</v>
      </c>
      <c r="C1117" s="13">
        <f>[2]S1!C1118</f>
        <v>0</v>
      </c>
      <c r="D1117" s="13">
        <f>[2]S1!D1118</f>
        <v>0</v>
      </c>
      <c r="E1117" s="26">
        <f>[2]S1!E1118</f>
        <v>200</v>
      </c>
      <c r="F1117" s="26">
        <f>[2]S1!F1118</f>
        <v>0</v>
      </c>
      <c r="G1117" s="22">
        <f>[2]S1!G1118</f>
        <v>0</v>
      </c>
      <c r="H1117" s="22">
        <f>[2]S1!H1118</f>
        <v>0</v>
      </c>
      <c r="I1117" s="22">
        <f>[2]S1!I1118</f>
        <v>0</v>
      </c>
      <c r="J1117" s="13">
        <f>[2]S1!J1118</f>
        <v>0</v>
      </c>
      <c r="K1117" s="19">
        <f>[2]S1!K1118</f>
        <v>200</v>
      </c>
      <c r="L1117" s="52">
        <f>[2]S1!L1118</f>
        <v>0</v>
      </c>
      <c r="M1117" s="58">
        <f>[2]S1!M1118</f>
        <v>0</v>
      </c>
      <c r="N1117" s="49">
        <f>[2]S1!P1118</f>
        <v>9828702457</v>
      </c>
    </row>
    <row r="1118" spans="1:14" ht="15" customHeight="1" x14ac:dyDescent="0.3">
      <c r="A1118" s="11">
        <v>4165</v>
      </c>
      <c r="B1118" s="12" t="str">
        <f>[3]Name!E3169</f>
        <v>Payal kumari Khandelwal</v>
      </c>
      <c r="C1118" s="13">
        <f>[2]S1!C1119</f>
        <v>250</v>
      </c>
      <c r="D1118" s="13">
        <f>[2]S1!D1119</f>
        <v>0</v>
      </c>
      <c r="E1118" s="26">
        <f>[2]S1!E1119</f>
        <v>200</v>
      </c>
      <c r="F1118" s="26">
        <f>[2]S1!F1119</f>
        <v>0</v>
      </c>
      <c r="G1118" s="22">
        <f>[2]S1!G1119</f>
        <v>0</v>
      </c>
      <c r="H1118" s="22">
        <f>[2]S1!H1119</f>
        <v>0</v>
      </c>
      <c r="I1118" s="22">
        <f>[2]S1!I1119</f>
        <v>485</v>
      </c>
      <c r="J1118" s="13">
        <f>[2]S1!J1119</f>
        <v>0</v>
      </c>
      <c r="K1118" s="19">
        <f>[2]S1!K1119</f>
        <v>685</v>
      </c>
      <c r="L1118" s="52">
        <f>[2]S1!L1119</f>
        <v>48500</v>
      </c>
      <c r="M1118" s="58">
        <f>[2]S1!M1119</f>
        <v>5</v>
      </c>
      <c r="N1118" s="49">
        <f>[2]S1!P1119</f>
        <v>9664229613</v>
      </c>
    </row>
    <row r="1119" spans="1:14" ht="15" customHeight="1" x14ac:dyDescent="0.3">
      <c r="A1119" s="11">
        <v>4166</v>
      </c>
      <c r="B1119" s="12" t="str">
        <f>[3]Name!E3170</f>
        <v xml:space="preserve">Dev Raj Khandelwal </v>
      </c>
      <c r="C1119" s="13">
        <f>[2]S1!C1120</f>
        <v>250</v>
      </c>
      <c r="D1119" s="13">
        <f>[2]S1!D1120</f>
        <v>0</v>
      </c>
      <c r="E1119" s="26">
        <f>[2]S1!E1120</f>
        <v>200</v>
      </c>
      <c r="F1119" s="26">
        <f>[2]S1!F1120</f>
        <v>0</v>
      </c>
      <c r="G1119" s="22">
        <f>[2]S1!G1120</f>
        <v>0</v>
      </c>
      <c r="H1119" s="22">
        <f>[2]S1!H1120</f>
        <v>0</v>
      </c>
      <c r="I1119" s="22">
        <f>[2]S1!I1120</f>
        <v>485</v>
      </c>
      <c r="J1119" s="13">
        <f>[2]S1!J1120</f>
        <v>0</v>
      </c>
      <c r="K1119" s="19">
        <f>[2]S1!K1120</f>
        <v>685</v>
      </c>
      <c r="L1119" s="52">
        <f>[2]S1!L1120</f>
        <v>48500</v>
      </c>
      <c r="M1119" s="58">
        <f>[2]S1!M1120</f>
        <v>5</v>
      </c>
      <c r="N1119" s="49">
        <f>[2]S1!P1120</f>
        <v>9664229613</v>
      </c>
    </row>
    <row r="1120" spans="1:14" ht="15" customHeight="1" x14ac:dyDescent="0.3">
      <c r="A1120" s="11">
        <v>4167</v>
      </c>
      <c r="B1120" s="12" t="str">
        <f>[3]Name!E3171</f>
        <v>Babu Lal Khandelwal</v>
      </c>
      <c r="C1120" s="13">
        <f>[2]S1!C1121</f>
        <v>250</v>
      </c>
      <c r="D1120" s="13">
        <f>[2]S1!D1121</f>
        <v>0</v>
      </c>
      <c r="E1120" s="26">
        <f>[2]S1!E1121</f>
        <v>200</v>
      </c>
      <c r="F1120" s="26">
        <f>[2]S1!F1121</f>
        <v>0</v>
      </c>
      <c r="G1120" s="22">
        <f>[2]S1!G1121</f>
        <v>0</v>
      </c>
      <c r="H1120" s="22">
        <f>[2]S1!H1121</f>
        <v>0</v>
      </c>
      <c r="I1120" s="22">
        <f>[2]S1!I1121</f>
        <v>485</v>
      </c>
      <c r="J1120" s="13">
        <f>[2]S1!J1121</f>
        <v>0</v>
      </c>
      <c r="K1120" s="19">
        <f>[2]S1!K1121</f>
        <v>685</v>
      </c>
      <c r="L1120" s="52">
        <f>[2]S1!L1121</f>
        <v>48500</v>
      </c>
      <c r="M1120" s="58">
        <f>[2]S1!M1121</f>
        <v>5</v>
      </c>
      <c r="N1120" s="49">
        <f>[2]S1!P1121</f>
        <v>9664229613</v>
      </c>
    </row>
    <row r="1121" spans="1:14" ht="15" customHeight="1" x14ac:dyDescent="0.3">
      <c r="A1121" s="11">
        <v>4168</v>
      </c>
      <c r="B1121" s="12" t="str">
        <f>[3]Name!E3172</f>
        <v>Lali Devi Khandelwal</v>
      </c>
      <c r="C1121" s="13">
        <f>[2]S1!C1122</f>
        <v>250</v>
      </c>
      <c r="D1121" s="13">
        <f>[2]S1!D1122</f>
        <v>0</v>
      </c>
      <c r="E1121" s="26">
        <f>[2]S1!E1122</f>
        <v>200</v>
      </c>
      <c r="F1121" s="26">
        <f>[2]S1!F1122</f>
        <v>0</v>
      </c>
      <c r="G1121" s="22">
        <f>[2]S1!G1122</f>
        <v>0</v>
      </c>
      <c r="H1121" s="22">
        <f>[2]S1!H1122</f>
        <v>0</v>
      </c>
      <c r="I1121" s="22">
        <f>[2]S1!I1122</f>
        <v>485</v>
      </c>
      <c r="J1121" s="13">
        <f>[2]S1!J1122</f>
        <v>0</v>
      </c>
      <c r="K1121" s="19">
        <f>[2]S1!K1122</f>
        <v>685</v>
      </c>
      <c r="L1121" s="52">
        <f>[2]S1!L1122</f>
        <v>48500</v>
      </c>
      <c r="M1121" s="58">
        <f>[2]S1!M1122</f>
        <v>5</v>
      </c>
      <c r="N1121" s="49">
        <f>[2]S1!P1122</f>
        <v>9664229613</v>
      </c>
    </row>
    <row r="1122" spans="1:14" ht="15" customHeight="1" x14ac:dyDescent="0.3">
      <c r="A1122" s="11">
        <v>4169</v>
      </c>
      <c r="B1122" s="12" t="str">
        <f>[3]Name!E3173</f>
        <v>Sona Kumari Khandelwal</v>
      </c>
      <c r="C1122" s="13">
        <f>[2]S1!C1123</f>
        <v>250</v>
      </c>
      <c r="D1122" s="13">
        <f>[2]S1!D1123</f>
        <v>0</v>
      </c>
      <c r="E1122" s="26">
        <f>[2]S1!E1123</f>
        <v>200</v>
      </c>
      <c r="F1122" s="26">
        <f>[2]S1!F1123</f>
        <v>0</v>
      </c>
      <c r="G1122" s="22">
        <f>[2]S1!G1123</f>
        <v>0</v>
      </c>
      <c r="H1122" s="22">
        <f>[2]S1!H1123</f>
        <v>0</v>
      </c>
      <c r="I1122" s="22">
        <f>[2]S1!I1123</f>
        <v>485</v>
      </c>
      <c r="J1122" s="13">
        <f>[2]S1!J1123</f>
        <v>0</v>
      </c>
      <c r="K1122" s="19">
        <f>[2]S1!K1123</f>
        <v>685</v>
      </c>
      <c r="L1122" s="52">
        <f>[2]S1!L1123</f>
        <v>48500</v>
      </c>
      <c r="M1122" s="58">
        <f>[2]S1!M1123</f>
        <v>5</v>
      </c>
      <c r="N1122" s="49">
        <f>[2]S1!P1123</f>
        <v>9664229613</v>
      </c>
    </row>
    <row r="1123" spans="1:14" ht="15" customHeight="1" x14ac:dyDescent="0.3">
      <c r="A1123" s="11">
        <v>4170</v>
      </c>
      <c r="B1123" s="12" t="str">
        <f>[3]Name!E3174</f>
        <v>Payal kumari Khandelwal</v>
      </c>
      <c r="C1123" s="13">
        <f>[2]S1!C1124</f>
        <v>250</v>
      </c>
      <c r="D1123" s="13">
        <f>[2]S1!D1124</f>
        <v>0</v>
      </c>
      <c r="E1123" s="26">
        <f>[2]S1!E1124</f>
        <v>200</v>
      </c>
      <c r="F1123" s="26">
        <f>[2]S1!F1124</f>
        <v>0</v>
      </c>
      <c r="G1123" s="22">
        <f>[2]S1!G1124</f>
        <v>0</v>
      </c>
      <c r="H1123" s="22">
        <f>[2]S1!H1124</f>
        <v>0</v>
      </c>
      <c r="I1123" s="22">
        <f>[2]S1!I1124</f>
        <v>485</v>
      </c>
      <c r="J1123" s="13">
        <f>[2]S1!J1124</f>
        <v>0</v>
      </c>
      <c r="K1123" s="19">
        <f>[2]S1!K1124</f>
        <v>685</v>
      </c>
      <c r="L1123" s="52">
        <f>[2]S1!L1124</f>
        <v>48500</v>
      </c>
      <c r="M1123" s="58">
        <f>[2]S1!M1124</f>
        <v>5</v>
      </c>
      <c r="N1123" s="49">
        <f>[2]S1!P1124</f>
        <v>9664229613</v>
      </c>
    </row>
    <row r="1124" spans="1:14" ht="15" customHeight="1" x14ac:dyDescent="0.3">
      <c r="A1124" s="11">
        <v>4171</v>
      </c>
      <c r="B1124" s="12" t="str">
        <f>[3]Name!E3175</f>
        <v xml:space="preserve">Dev Raj Khandelwal </v>
      </c>
      <c r="C1124" s="13">
        <f>[2]S1!C1125</f>
        <v>250</v>
      </c>
      <c r="D1124" s="13">
        <f>[2]S1!D1125</f>
        <v>0</v>
      </c>
      <c r="E1124" s="26">
        <f>[2]S1!E1125</f>
        <v>200</v>
      </c>
      <c r="F1124" s="26">
        <f>[2]S1!F1125</f>
        <v>0</v>
      </c>
      <c r="G1124" s="22">
        <f>[2]S1!G1125</f>
        <v>0</v>
      </c>
      <c r="H1124" s="22">
        <f>[2]S1!H1125</f>
        <v>0</v>
      </c>
      <c r="I1124" s="22">
        <f>[2]S1!I1125</f>
        <v>485</v>
      </c>
      <c r="J1124" s="13">
        <f>[2]S1!J1125</f>
        <v>0</v>
      </c>
      <c r="K1124" s="19">
        <f>[2]S1!K1125</f>
        <v>685</v>
      </c>
      <c r="L1124" s="52">
        <f>[2]S1!L1125</f>
        <v>48500</v>
      </c>
      <c r="M1124" s="58">
        <f>[2]S1!M1125</f>
        <v>5</v>
      </c>
      <c r="N1124" s="49">
        <f>[2]S1!P1125</f>
        <v>9664229613</v>
      </c>
    </row>
    <row r="1125" spans="1:14" ht="15" customHeight="1" x14ac:dyDescent="0.3">
      <c r="A1125" s="11">
        <v>4172</v>
      </c>
      <c r="B1125" s="12" t="str">
        <f>[3]Name!E3176</f>
        <v>Babu Lal Khandelwal</v>
      </c>
      <c r="C1125" s="13">
        <f>[2]S1!C1126</f>
        <v>250</v>
      </c>
      <c r="D1125" s="13">
        <f>[2]S1!D1126</f>
        <v>0</v>
      </c>
      <c r="E1125" s="26">
        <f>[2]S1!E1126</f>
        <v>200</v>
      </c>
      <c r="F1125" s="26">
        <f>[2]S1!F1126</f>
        <v>0</v>
      </c>
      <c r="G1125" s="22">
        <f>[2]S1!G1126</f>
        <v>0</v>
      </c>
      <c r="H1125" s="22">
        <f>[2]S1!H1126</f>
        <v>0</v>
      </c>
      <c r="I1125" s="22">
        <f>[2]S1!I1126</f>
        <v>485</v>
      </c>
      <c r="J1125" s="13">
        <f>[2]S1!J1126</f>
        <v>0</v>
      </c>
      <c r="K1125" s="19">
        <f>[2]S1!K1126</f>
        <v>685</v>
      </c>
      <c r="L1125" s="52">
        <f>[2]S1!L1126</f>
        <v>48500</v>
      </c>
      <c r="M1125" s="58">
        <f>[2]S1!M1126</f>
        <v>5</v>
      </c>
      <c r="N1125" s="49">
        <f>[2]S1!P1126</f>
        <v>9664229613</v>
      </c>
    </row>
    <row r="1126" spans="1:14" ht="15" customHeight="1" x14ac:dyDescent="0.3">
      <c r="A1126" s="11">
        <v>4173</v>
      </c>
      <c r="B1126" s="12" t="str">
        <f>[3]Name!E3177</f>
        <v>Lali Devi Khandelwal</v>
      </c>
      <c r="C1126" s="13">
        <f>[2]S1!C1127</f>
        <v>250</v>
      </c>
      <c r="D1126" s="13">
        <f>[2]S1!D1127</f>
        <v>0</v>
      </c>
      <c r="E1126" s="26">
        <f>[2]S1!E1127</f>
        <v>200</v>
      </c>
      <c r="F1126" s="26">
        <f>[2]S1!F1127</f>
        <v>0</v>
      </c>
      <c r="G1126" s="22">
        <f>[2]S1!G1127</f>
        <v>0</v>
      </c>
      <c r="H1126" s="22">
        <f>[2]S1!H1127</f>
        <v>0</v>
      </c>
      <c r="I1126" s="22">
        <f>[2]S1!I1127</f>
        <v>485</v>
      </c>
      <c r="J1126" s="13">
        <f>[2]S1!J1127</f>
        <v>0</v>
      </c>
      <c r="K1126" s="19">
        <f>[2]S1!K1127</f>
        <v>685</v>
      </c>
      <c r="L1126" s="52">
        <f>[2]S1!L1127</f>
        <v>48500</v>
      </c>
      <c r="M1126" s="58">
        <f>[2]S1!M1127</f>
        <v>5</v>
      </c>
      <c r="N1126" s="49">
        <f>[2]S1!P1127</f>
        <v>9664229613</v>
      </c>
    </row>
    <row r="1127" spans="1:14" ht="15" customHeight="1" x14ac:dyDescent="0.3">
      <c r="A1127" s="11">
        <v>4174</v>
      </c>
      <c r="B1127" s="12" t="str">
        <f>[3]Name!E3178</f>
        <v>Sona Kumari Khandelwal</v>
      </c>
      <c r="C1127" s="13">
        <f>[2]S1!C1128</f>
        <v>250</v>
      </c>
      <c r="D1127" s="13">
        <f>[2]S1!D1128</f>
        <v>0</v>
      </c>
      <c r="E1127" s="26">
        <f>[2]S1!E1128</f>
        <v>200</v>
      </c>
      <c r="F1127" s="26">
        <f>[2]S1!F1128</f>
        <v>0</v>
      </c>
      <c r="G1127" s="22">
        <f>[2]S1!G1128</f>
        <v>0</v>
      </c>
      <c r="H1127" s="22">
        <f>[2]S1!H1128</f>
        <v>0</v>
      </c>
      <c r="I1127" s="22">
        <f>[2]S1!I1128</f>
        <v>0</v>
      </c>
      <c r="J1127" s="13">
        <f>[2]S1!J1128</f>
        <v>0</v>
      </c>
      <c r="K1127" s="19">
        <f>[2]S1!K1128</f>
        <v>200</v>
      </c>
      <c r="L1127" s="52">
        <f>[2]S1!L1128</f>
        <v>0</v>
      </c>
      <c r="M1127" s="58">
        <f>[2]S1!M1128</f>
        <v>0</v>
      </c>
      <c r="N1127" s="49">
        <f>[2]S1!P1128</f>
        <v>9664229613</v>
      </c>
    </row>
    <row r="1128" spans="1:14" ht="15" customHeight="1" x14ac:dyDescent="0.3">
      <c r="A1128" s="11">
        <v>4175</v>
      </c>
      <c r="B1128" s="12" t="str">
        <f>[3]Name!E3179</f>
        <v>Payal kumari Dokhoriya</v>
      </c>
      <c r="C1128" s="13">
        <f>[2]S1!C1129</f>
        <v>500</v>
      </c>
      <c r="D1128" s="13">
        <f>[2]S1!D1129</f>
        <v>0</v>
      </c>
      <c r="E1128" s="26">
        <f>[2]S1!E1129</f>
        <v>200</v>
      </c>
      <c r="F1128" s="26">
        <f>[2]S1!F1129</f>
        <v>0</v>
      </c>
      <c r="G1128" s="22">
        <f>[2]S1!G1129</f>
        <v>500</v>
      </c>
      <c r="H1128" s="22">
        <f>[2]S1!H1129</f>
        <v>0</v>
      </c>
      <c r="I1128" s="22">
        <f>[2]S1!I1129</f>
        <v>680</v>
      </c>
      <c r="J1128" s="13">
        <f>[2]S1!J1129</f>
        <v>0</v>
      </c>
      <c r="K1128" s="19">
        <f>[2]S1!K1129</f>
        <v>1380</v>
      </c>
      <c r="L1128" s="52">
        <f>[2]S1!L1129</f>
        <v>68000</v>
      </c>
      <c r="M1128" s="58">
        <f>[2]S1!M1129</f>
        <v>5</v>
      </c>
      <c r="N1128" s="49">
        <f>[2]S1!P1129</f>
        <v>9982447051</v>
      </c>
    </row>
    <row r="1129" spans="1:14" ht="15" customHeight="1" x14ac:dyDescent="0.3">
      <c r="A1129" s="11">
        <v>4176</v>
      </c>
      <c r="B1129" s="12" t="str">
        <f>[3]Name!E3180</f>
        <v>Palak Kumari Dokhoriya</v>
      </c>
      <c r="C1129" s="13">
        <f>[2]S1!C1130</f>
        <v>500</v>
      </c>
      <c r="D1129" s="13">
        <f>[2]S1!D1130</f>
        <v>0</v>
      </c>
      <c r="E1129" s="26">
        <f>[2]S1!E1130</f>
        <v>200</v>
      </c>
      <c r="F1129" s="26">
        <f>[2]S1!F1130</f>
        <v>0</v>
      </c>
      <c r="G1129" s="22">
        <f>[2]S1!G1130</f>
        <v>500</v>
      </c>
      <c r="H1129" s="22">
        <f>[2]S1!H1130</f>
        <v>0</v>
      </c>
      <c r="I1129" s="22">
        <f>[2]S1!I1130</f>
        <v>680</v>
      </c>
      <c r="J1129" s="13">
        <f>[2]S1!J1130</f>
        <v>0</v>
      </c>
      <c r="K1129" s="19">
        <f>[2]S1!K1130</f>
        <v>1380</v>
      </c>
      <c r="L1129" s="52">
        <f>[2]S1!L1130</f>
        <v>68000</v>
      </c>
      <c r="M1129" s="58">
        <f>[2]S1!M1130</f>
        <v>5</v>
      </c>
      <c r="N1129" s="49">
        <f>[2]S1!P1130</f>
        <v>9982447051</v>
      </c>
    </row>
    <row r="1130" spans="1:14" ht="15" customHeight="1" x14ac:dyDescent="0.3">
      <c r="A1130" s="11">
        <v>4177</v>
      </c>
      <c r="B1130" s="12" t="str">
        <f>[3]Name!E3181</f>
        <v>Rahul Kumar Dokhoriya</v>
      </c>
      <c r="C1130" s="13">
        <f>[2]S1!C1131</f>
        <v>500</v>
      </c>
      <c r="D1130" s="13">
        <f>[2]S1!D1131</f>
        <v>0</v>
      </c>
      <c r="E1130" s="26">
        <f>[2]S1!E1131</f>
        <v>200</v>
      </c>
      <c r="F1130" s="26">
        <f>[2]S1!F1131</f>
        <v>0</v>
      </c>
      <c r="G1130" s="22">
        <f>[2]S1!G1131</f>
        <v>500</v>
      </c>
      <c r="H1130" s="22">
        <f>[2]S1!H1131</f>
        <v>0</v>
      </c>
      <c r="I1130" s="22">
        <f>[2]S1!I1131</f>
        <v>680</v>
      </c>
      <c r="J1130" s="13">
        <f>[2]S1!J1131</f>
        <v>0</v>
      </c>
      <c r="K1130" s="19">
        <f>[2]S1!K1131</f>
        <v>1380</v>
      </c>
      <c r="L1130" s="52">
        <f>[2]S1!L1131</f>
        <v>68000</v>
      </c>
      <c r="M1130" s="58">
        <f>[2]S1!M1131</f>
        <v>5</v>
      </c>
      <c r="N1130" s="49">
        <f>[2]S1!P1131</f>
        <v>9982447051</v>
      </c>
    </row>
    <row r="1131" spans="1:14" ht="15" customHeight="1" x14ac:dyDescent="0.3">
      <c r="A1131" s="11">
        <v>4178</v>
      </c>
      <c r="B1131" s="12" t="str">
        <f>[3]Name!E3182</f>
        <v>Jagadish Kumar Dokhoriya</v>
      </c>
      <c r="C1131" s="13">
        <f>[2]S1!C1132</f>
        <v>500</v>
      </c>
      <c r="D1131" s="13">
        <f>[2]S1!D1132</f>
        <v>0</v>
      </c>
      <c r="E1131" s="26">
        <f>[2]S1!E1132</f>
        <v>200</v>
      </c>
      <c r="F1131" s="26">
        <f>[2]S1!F1132</f>
        <v>0</v>
      </c>
      <c r="G1131" s="22">
        <f>[2]S1!G1132</f>
        <v>500</v>
      </c>
      <c r="H1131" s="22">
        <f>[2]S1!H1132</f>
        <v>0</v>
      </c>
      <c r="I1131" s="22">
        <f>[2]S1!I1132</f>
        <v>680</v>
      </c>
      <c r="J1131" s="13">
        <f>[2]S1!J1132</f>
        <v>0</v>
      </c>
      <c r="K1131" s="19">
        <f>[2]S1!K1132</f>
        <v>1380</v>
      </c>
      <c r="L1131" s="52">
        <f>[2]S1!L1132</f>
        <v>68000</v>
      </c>
      <c r="M1131" s="58">
        <f>[2]S1!M1132</f>
        <v>5</v>
      </c>
      <c r="N1131" s="49">
        <f>[2]S1!P1132</f>
        <v>9982447051</v>
      </c>
    </row>
    <row r="1132" spans="1:14" ht="15" customHeight="1" x14ac:dyDescent="0.3">
      <c r="A1132" s="11">
        <v>4179</v>
      </c>
      <c r="B1132" s="12" t="str">
        <f>[3]Name!E3183</f>
        <v>Mohan Lal Meharda</v>
      </c>
      <c r="C1132" s="13">
        <f>[2]S1!C1133</f>
        <v>450</v>
      </c>
      <c r="D1132" s="13">
        <f>[2]S1!D1133</f>
        <v>0</v>
      </c>
      <c r="E1132" s="26">
        <f>[2]S1!E1133</f>
        <v>200</v>
      </c>
      <c r="F1132" s="26">
        <f>[2]S1!F1133</f>
        <v>0</v>
      </c>
      <c r="G1132" s="22">
        <f>[2]S1!G1133</f>
        <v>450</v>
      </c>
      <c r="H1132" s="22">
        <f>[2]S1!H1133</f>
        <v>0</v>
      </c>
      <c r="I1132" s="22">
        <f>[2]S1!I1133</f>
        <v>582</v>
      </c>
      <c r="J1132" s="13">
        <f>[2]S1!J1133</f>
        <v>0</v>
      </c>
      <c r="K1132" s="19">
        <f>[2]S1!K1133</f>
        <v>1232</v>
      </c>
      <c r="L1132" s="52">
        <f>[2]S1!L1133</f>
        <v>58200</v>
      </c>
      <c r="M1132" s="58">
        <f>[2]S1!M1133</f>
        <v>5</v>
      </c>
      <c r="N1132" s="49">
        <f>[2]S1!P1133</f>
        <v>9929194619</v>
      </c>
    </row>
    <row r="1133" spans="1:14" ht="15" customHeight="1" x14ac:dyDescent="0.3">
      <c r="A1133" s="11">
        <v>4180</v>
      </c>
      <c r="B1133" s="12" t="str">
        <f>[3]Name!E3184</f>
        <v>Vijay Kumar Meharda</v>
      </c>
      <c r="C1133" s="13">
        <f>[2]S1!C1134</f>
        <v>450</v>
      </c>
      <c r="D1133" s="13">
        <f>[2]S1!D1134</f>
        <v>0</v>
      </c>
      <c r="E1133" s="26">
        <f>[2]S1!E1134</f>
        <v>200</v>
      </c>
      <c r="F1133" s="26">
        <f>[2]S1!F1134</f>
        <v>0</v>
      </c>
      <c r="G1133" s="22">
        <f>[2]S1!G1134</f>
        <v>0</v>
      </c>
      <c r="H1133" s="22">
        <f>[2]S1!H1134</f>
        <v>0</v>
      </c>
      <c r="I1133" s="22">
        <f>[2]S1!I1134</f>
        <v>575</v>
      </c>
      <c r="J1133" s="13">
        <f>[2]S1!J1134</f>
        <v>0</v>
      </c>
      <c r="K1133" s="19">
        <f>[2]S1!K1134</f>
        <v>775</v>
      </c>
      <c r="L1133" s="52">
        <f>[2]S1!L1134</f>
        <v>57450</v>
      </c>
      <c r="M1133" s="58">
        <f>[2]S1!M1134</f>
        <v>5</v>
      </c>
      <c r="N1133" s="49">
        <f>[2]S1!P1134</f>
        <v>9929194619</v>
      </c>
    </row>
    <row r="1134" spans="1:14" x14ac:dyDescent="0.3">
      <c r="A1134" s="11">
        <v>4181</v>
      </c>
      <c r="B1134" s="12" t="str">
        <f>[3]Name!E3185</f>
        <v>Ajay Kumar Meharda</v>
      </c>
      <c r="C1134" s="13">
        <f>[2]S1!C1135</f>
        <v>800</v>
      </c>
      <c r="D1134" s="13">
        <f>[2]S1!D1135</f>
        <v>0</v>
      </c>
      <c r="E1134" s="26">
        <f>[2]S1!E1135</f>
        <v>200</v>
      </c>
      <c r="F1134" s="26">
        <f>[2]S1!F1135</f>
        <v>0</v>
      </c>
      <c r="G1134" s="22">
        <f>[2]S1!G1135</f>
        <v>256</v>
      </c>
      <c r="H1134" s="22">
        <f>[2]S1!H1135</f>
        <v>0</v>
      </c>
      <c r="I1134" s="22">
        <f>[2]S1!I1135</f>
        <v>563</v>
      </c>
      <c r="J1134" s="13">
        <f>[2]S1!J1135</f>
        <v>0</v>
      </c>
      <c r="K1134" s="19">
        <f>[2]S1!K1135</f>
        <v>1019</v>
      </c>
      <c r="L1134" s="52">
        <f>[2]S1!L1135</f>
        <v>56256</v>
      </c>
      <c r="M1134" s="58">
        <f>[2]S1!M1135</f>
        <v>5</v>
      </c>
      <c r="N1134" s="49">
        <f>[2]S1!P1135</f>
        <v>9929194619</v>
      </c>
    </row>
    <row r="1135" spans="1:14" x14ac:dyDescent="0.3">
      <c r="A1135" s="11">
        <v>4182</v>
      </c>
      <c r="B1135" s="12" t="str">
        <f>[3]Name!E3186</f>
        <v>Vimala Devi Meharda</v>
      </c>
      <c r="C1135" s="13">
        <f>[2]S1!C1136</f>
        <v>800</v>
      </c>
      <c r="D1135" s="13">
        <f>[2]S1!D1136</f>
        <v>0</v>
      </c>
      <c r="E1135" s="26">
        <f>[2]S1!E1136</f>
        <v>200</v>
      </c>
      <c r="F1135" s="26">
        <f>[2]S1!F1136</f>
        <v>0</v>
      </c>
      <c r="G1135" s="22">
        <f>[2]S1!G1136</f>
        <v>800</v>
      </c>
      <c r="H1135" s="22">
        <f>[2]S1!H1136</f>
        <v>0</v>
      </c>
      <c r="I1135" s="22">
        <f>[2]S1!I1136</f>
        <v>568</v>
      </c>
      <c r="J1135" s="13">
        <f>[2]S1!J1136</f>
        <v>0</v>
      </c>
      <c r="K1135" s="19">
        <f>[2]S1!K1136</f>
        <v>1568</v>
      </c>
      <c r="L1135" s="52">
        <f>[2]S1!L1136</f>
        <v>56800</v>
      </c>
      <c r="M1135" s="58">
        <f>[2]S1!M1136</f>
        <v>5</v>
      </c>
      <c r="N1135" s="49">
        <f>[2]S1!P1136</f>
        <v>9929194619</v>
      </c>
    </row>
    <row r="1136" spans="1:14" x14ac:dyDescent="0.3">
      <c r="A1136" s="11">
        <v>4183</v>
      </c>
      <c r="B1136" s="12" t="str">
        <f>[3]Name!E3187</f>
        <v>Mnisha kumari Meharda</v>
      </c>
      <c r="C1136" s="13">
        <f>[2]S1!C1137</f>
        <v>600</v>
      </c>
      <c r="D1136" s="13">
        <f>[2]S1!D1137</f>
        <v>0</v>
      </c>
      <c r="E1136" s="26">
        <f>[2]S1!E1137</f>
        <v>200</v>
      </c>
      <c r="F1136" s="26">
        <f>[2]S1!F1137</f>
        <v>0</v>
      </c>
      <c r="G1136" s="22">
        <f>[2]S1!G1137</f>
        <v>600</v>
      </c>
      <c r="H1136" s="22">
        <f>[2]S1!H1137</f>
        <v>0</v>
      </c>
      <c r="I1136" s="22">
        <f>[2]S1!I1137</f>
        <v>476</v>
      </c>
      <c r="J1136" s="13">
        <f>[2]S1!J1137</f>
        <v>0</v>
      </c>
      <c r="K1136" s="19">
        <f>[2]S1!K1137</f>
        <v>1276</v>
      </c>
      <c r="L1136" s="52">
        <f>[2]S1!L1137</f>
        <v>47600</v>
      </c>
      <c r="M1136" s="58">
        <f>[2]S1!M1137</f>
        <v>5</v>
      </c>
      <c r="N1136" s="49">
        <f>[2]S1!P1137</f>
        <v>9929194619</v>
      </c>
    </row>
    <row r="1137" spans="1:14" x14ac:dyDescent="0.3">
      <c r="A1137" s="11">
        <v>4184</v>
      </c>
      <c r="B1137" s="12" t="str">
        <f>[3]Name!E3188</f>
        <v>Birdi Chand Pachariya</v>
      </c>
      <c r="C1137" s="13">
        <f>[2]S1!C1138</f>
        <v>1000</v>
      </c>
      <c r="D1137" s="13">
        <f>[2]S1!D1138</f>
        <v>0</v>
      </c>
      <c r="E1137" s="26">
        <f>[2]S1!E1138</f>
        <v>200</v>
      </c>
      <c r="F1137" s="26">
        <f>[2]S1!F1138</f>
        <v>0</v>
      </c>
      <c r="G1137" s="22">
        <f>[2]S1!G1138</f>
        <v>1000</v>
      </c>
      <c r="H1137" s="22">
        <f>[2]S1!H1138</f>
        <v>0</v>
      </c>
      <c r="I1137" s="22">
        <f>[2]S1!I1138</f>
        <v>370</v>
      </c>
      <c r="J1137" s="13">
        <f>[2]S1!J1138</f>
        <v>0</v>
      </c>
      <c r="K1137" s="19">
        <f>[2]S1!K1138</f>
        <v>1570</v>
      </c>
      <c r="L1137" s="52">
        <f>[2]S1!L1138</f>
        <v>36995</v>
      </c>
      <c r="M1137" s="58">
        <f>[2]S1!M1138</f>
        <v>5</v>
      </c>
      <c r="N1137" s="49">
        <f>[2]S1!P1138</f>
        <v>9314298877</v>
      </c>
    </row>
    <row r="1138" spans="1:14" x14ac:dyDescent="0.3">
      <c r="A1138" s="11">
        <v>4185</v>
      </c>
      <c r="B1138" s="12" t="str">
        <f>[3]Name!E3189</f>
        <v>Priti Kumari Saravata</v>
      </c>
      <c r="C1138" s="13">
        <f>[2]S1!C1139</f>
        <v>0</v>
      </c>
      <c r="D1138" s="13">
        <f>[2]S1!D1139</f>
        <v>0</v>
      </c>
      <c r="E1138" s="26">
        <f>[2]S1!E1139</f>
        <v>200</v>
      </c>
      <c r="F1138" s="26">
        <f>[2]S1!F1139</f>
        <v>0</v>
      </c>
      <c r="G1138" s="22">
        <f>[2]S1!G1139</f>
        <v>0</v>
      </c>
      <c r="H1138" s="22">
        <f>[2]S1!H1139</f>
        <v>0</v>
      </c>
      <c r="I1138" s="22">
        <f>[2]S1!I1139</f>
        <v>0</v>
      </c>
      <c r="J1138" s="13">
        <f>[2]S1!J1139</f>
        <v>0</v>
      </c>
      <c r="K1138" s="19">
        <f>[2]S1!K1139</f>
        <v>200</v>
      </c>
      <c r="L1138" s="52">
        <f>[2]S1!L1139</f>
        <v>0</v>
      </c>
      <c r="M1138" s="58">
        <f>[2]S1!M1139</f>
        <v>0</v>
      </c>
      <c r="N1138" s="49">
        <f>[2]S1!P1139</f>
        <v>8560046266</v>
      </c>
    </row>
    <row r="1139" spans="1:14" x14ac:dyDescent="0.3">
      <c r="A1139" s="11">
        <v>4186</v>
      </c>
      <c r="B1139" s="12" t="str">
        <f>[3]Name!E3190</f>
        <v>Yas Kumar Saravata</v>
      </c>
      <c r="C1139" s="13">
        <f>[2]S1!C1140</f>
        <v>0</v>
      </c>
      <c r="D1139" s="13">
        <f>[2]S1!D1140</f>
        <v>0</v>
      </c>
      <c r="E1139" s="26">
        <f>[2]S1!E1140</f>
        <v>200</v>
      </c>
      <c r="F1139" s="26">
        <f>[2]S1!F1140</f>
        <v>0</v>
      </c>
      <c r="G1139" s="22">
        <f>[2]S1!G1140</f>
        <v>0</v>
      </c>
      <c r="H1139" s="22">
        <f>[2]S1!H1140</f>
        <v>0</v>
      </c>
      <c r="I1139" s="22">
        <f>[2]S1!I1140</f>
        <v>0</v>
      </c>
      <c r="J1139" s="13">
        <f>[2]S1!J1140</f>
        <v>0</v>
      </c>
      <c r="K1139" s="19">
        <f>[2]S1!K1140</f>
        <v>200</v>
      </c>
      <c r="L1139" s="52">
        <f>[2]S1!L1140</f>
        <v>0</v>
      </c>
      <c r="M1139" s="58">
        <f>[2]S1!M1140</f>
        <v>0</v>
      </c>
      <c r="N1139" s="49">
        <f>[2]S1!P1140</f>
        <v>8560046266</v>
      </c>
    </row>
    <row r="1140" spans="1:14" x14ac:dyDescent="0.3">
      <c r="A1140" s="11">
        <v>4187</v>
      </c>
      <c r="B1140" s="12" t="str">
        <f>[3]Name!E3191</f>
        <v>Rajesh Kumar Saravata</v>
      </c>
      <c r="C1140" s="13">
        <f>[2]S1!C1141</f>
        <v>0</v>
      </c>
      <c r="D1140" s="13">
        <f>[2]S1!D1141</f>
        <v>0</v>
      </c>
      <c r="E1140" s="26">
        <f>[2]S1!E1141</f>
        <v>200</v>
      </c>
      <c r="F1140" s="26">
        <f>[2]S1!F1141</f>
        <v>0</v>
      </c>
      <c r="G1140" s="22">
        <f>[2]S1!G1141</f>
        <v>0</v>
      </c>
      <c r="H1140" s="22">
        <f>[2]S1!H1141</f>
        <v>0</v>
      </c>
      <c r="I1140" s="22">
        <f>[2]S1!I1141</f>
        <v>0</v>
      </c>
      <c r="J1140" s="13">
        <f>[2]S1!J1141</f>
        <v>0</v>
      </c>
      <c r="K1140" s="19">
        <f>[2]S1!K1141</f>
        <v>200</v>
      </c>
      <c r="L1140" s="52">
        <f>[2]S1!L1141</f>
        <v>0</v>
      </c>
      <c r="M1140" s="58">
        <f>[2]S1!M1141</f>
        <v>0</v>
      </c>
      <c r="N1140" s="49">
        <f>[2]S1!P1141</f>
        <v>8560046266</v>
      </c>
    </row>
    <row r="1141" spans="1:14" x14ac:dyDescent="0.3">
      <c r="A1141" s="11">
        <v>4188</v>
      </c>
      <c r="B1141" s="12" t="str">
        <f>[3]Name!E3192</f>
        <v>Laxi Devi Saravata</v>
      </c>
      <c r="C1141" s="13">
        <f>[2]S1!C1142</f>
        <v>0</v>
      </c>
      <c r="D1141" s="13">
        <f>[2]S1!D1142</f>
        <v>0</v>
      </c>
      <c r="E1141" s="26">
        <f>[2]S1!E1142</f>
        <v>200</v>
      </c>
      <c r="F1141" s="26">
        <f>[2]S1!F1142</f>
        <v>0</v>
      </c>
      <c r="G1141" s="22">
        <f>[2]S1!G1142</f>
        <v>0</v>
      </c>
      <c r="H1141" s="22">
        <f>[2]S1!H1142</f>
        <v>0</v>
      </c>
      <c r="I1141" s="22">
        <f>[2]S1!I1142</f>
        <v>0</v>
      </c>
      <c r="J1141" s="13">
        <f>[2]S1!J1142</f>
        <v>0</v>
      </c>
      <c r="K1141" s="19">
        <f>[2]S1!K1142</f>
        <v>200</v>
      </c>
      <c r="L1141" s="52">
        <f>[2]S1!L1142</f>
        <v>0</v>
      </c>
      <c r="M1141" s="58">
        <f>[2]S1!M1142</f>
        <v>0</v>
      </c>
      <c r="N1141" s="49">
        <f>[2]S1!P1142</f>
        <v>8560046266</v>
      </c>
    </row>
    <row r="1142" spans="1:14" x14ac:dyDescent="0.3">
      <c r="A1142" s="11">
        <v>4189</v>
      </c>
      <c r="B1142" s="12" t="str">
        <f>[3]Name!E3193</f>
        <v>Arjun Lal Saravata</v>
      </c>
      <c r="C1142" s="13">
        <f>[2]S1!C1143</f>
        <v>0</v>
      </c>
      <c r="D1142" s="13">
        <f>[2]S1!D1143</f>
        <v>0</v>
      </c>
      <c r="E1142" s="26">
        <f>[2]S1!E1143</f>
        <v>200</v>
      </c>
      <c r="F1142" s="26">
        <f>[2]S1!F1143</f>
        <v>0</v>
      </c>
      <c r="G1142" s="22">
        <f>[2]S1!G1143</f>
        <v>0</v>
      </c>
      <c r="H1142" s="22">
        <f>[2]S1!H1143</f>
        <v>0</v>
      </c>
      <c r="I1142" s="22">
        <f>[2]S1!I1143</f>
        <v>0</v>
      </c>
      <c r="J1142" s="13">
        <f>[2]S1!J1143</f>
        <v>0</v>
      </c>
      <c r="K1142" s="19">
        <f>[2]S1!K1143</f>
        <v>200</v>
      </c>
      <c r="L1142" s="52">
        <f>[2]S1!L1143</f>
        <v>0</v>
      </c>
      <c r="M1142" s="58">
        <f>[2]S1!M1143</f>
        <v>0</v>
      </c>
      <c r="N1142" s="49">
        <f>[2]S1!P1143</f>
        <v>8560046266</v>
      </c>
    </row>
    <row r="1143" spans="1:14" x14ac:dyDescent="0.3">
      <c r="A1143" s="11">
        <v>4190</v>
      </c>
      <c r="B1143" s="12" t="str">
        <f>[3]Name!E3194</f>
        <v>Sayra Devi Duvariya</v>
      </c>
      <c r="C1143" s="13">
        <f>[2]S1!C1144</f>
        <v>0</v>
      </c>
      <c r="D1143" s="13">
        <f>[2]S1!D1144</f>
        <v>0</v>
      </c>
      <c r="E1143" s="26">
        <f>[2]S1!E1144</f>
        <v>200</v>
      </c>
      <c r="F1143" s="26">
        <f>[2]S1!F1144</f>
        <v>0</v>
      </c>
      <c r="G1143" s="22">
        <f>[2]S1!G1144</f>
        <v>0</v>
      </c>
      <c r="H1143" s="22">
        <f>[2]S1!H1144</f>
        <v>0</v>
      </c>
      <c r="I1143" s="22">
        <f>[2]S1!I1144</f>
        <v>0</v>
      </c>
      <c r="J1143" s="13">
        <f>[2]S1!J1144</f>
        <v>0</v>
      </c>
      <c r="K1143" s="19">
        <f>[2]S1!K1144</f>
        <v>200</v>
      </c>
      <c r="L1143" s="52">
        <f>[2]S1!L1144</f>
        <v>0</v>
      </c>
      <c r="M1143" s="58">
        <f>[2]S1!M1144</f>
        <v>0</v>
      </c>
      <c r="N1143" s="49">
        <f>[2]S1!P1144</f>
        <v>8947800094</v>
      </c>
    </row>
    <row r="1144" spans="1:14" x14ac:dyDescent="0.3">
      <c r="A1144" s="11">
        <v>4191</v>
      </c>
      <c r="B1144" s="12" t="str">
        <f>[3]Name!E3195</f>
        <v>Santosh Kumari Duvariya</v>
      </c>
      <c r="C1144" s="13">
        <f>[2]S1!C1145</f>
        <v>0</v>
      </c>
      <c r="D1144" s="13">
        <f>[2]S1!D1145</f>
        <v>0</v>
      </c>
      <c r="E1144" s="26">
        <f>[2]S1!E1145</f>
        <v>200</v>
      </c>
      <c r="F1144" s="26">
        <f>[2]S1!F1145</f>
        <v>0</v>
      </c>
      <c r="G1144" s="22">
        <f>[2]S1!G1145</f>
        <v>0</v>
      </c>
      <c r="H1144" s="22">
        <f>[2]S1!H1145</f>
        <v>0</v>
      </c>
      <c r="I1144" s="22">
        <f>[2]S1!I1145</f>
        <v>0</v>
      </c>
      <c r="J1144" s="13">
        <f>[2]S1!J1145</f>
        <v>0</v>
      </c>
      <c r="K1144" s="19">
        <f>[2]S1!K1145</f>
        <v>200</v>
      </c>
      <c r="L1144" s="52">
        <f>[2]S1!L1145</f>
        <v>0</v>
      </c>
      <c r="M1144" s="58">
        <f>[2]S1!M1145</f>
        <v>0</v>
      </c>
      <c r="N1144" s="49">
        <f>[2]S1!P1145</f>
        <v>8947800094</v>
      </c>
    </row>
    <row r="1145" spans="1:14" x14ac:dyDescent="0.3">
      <c r="A1145" s="11">
        <v>4192</v>
      </c>
      <c r="B1145" s="12" t="str">
        <f>[3]Name!E3196</f>
        <v>Rekha Kumari Duvariya</v>
      </c>
      <c r="C1145" s="13">
        <f>[2]S1!C1146</f>
        <v>0</v>
      </c>
      <c r="D1145" s="13">
        <f>[2]S1!D1146</f>
        <v>0</v>
      </c>
      <c r="E1145" s="26">
        <f>[2]S1!E1146</f>
        <v>200</v>
      </c>
      <c r="F1145" s="26">
        <f>[2]S1!F1146</f>
        <v>0</v>
      </c>
      <c r="G1145" s="22">
        <f>[2]S1!G1146</f>
        <v>0</v>
      </c>
      <c r="H1145" s="22">
        <f>[2]S1!H1146</f>
        <v>0</v>
      </c>
      <c r="I1145" s="22">
        <f>[2]S1!I1146</f>
        <v>0</v>
      </c>
      <c r="J1145" s="13">
        <f>[2]S1!J1146</f>
        <v>0</v>
      </c>
      <c r="K1145" s="19">
        <f>[2]S1!K1146</f>
        <v>200</v>
      </c>
      <c r="L1145" s="52">
        <f>[2]S1!L1146</f>
        <v>0</v>
      </c>
      <c r="M1145" s="58">
        <f>[2]S1!M1146</f>
        <v>0</v>
      </c>
      <c r="N1145" s="49">
        <f>[2]S1!P1146</f>
        <v>8947800094</v>
      </c>
    </row>
    <row r="1146" spans="1:14" x14ac:dyDescent="0.3">
      <c r="A1146" s="11">
        <v>4193</v>
      </c>
      <c r="B1146" s="12" t="str">
        <f>[3]Name!E3197</f>
        <v>Tanuj Kumar Duvariya</v>
      </c>
      <c r="C1146" s="13">
        <f>[2]S1!C1147</f>
        <v>0</v>
      </c>
      <c r="D1146" s="13">
        <f>[2]S1!D1147</f>
        <v>0</v>
      </c>
      <c r="E1146" s="26">
        <f>[2]S1!E1147</f>
        <v>200</v>
      </c>
      <c r="F1146" s="26">
        <f>[2]S1!F1147</f>
        <v>0</v>
      </c>
      <c r="G1146" s="22">
        <f>[2]S1!G1147</f>
        <v>0</v>
      </c>
      <c r="H1146" s="22">
        <f>[2]S1!H1147</f>
        <v>0</v>
      </c>
      <c r="I1146" s="22">
        <f>[2]S1!I1147</f>
        <v>0</v>
      </c>
      <c r="J1146" s="13">
        <f>[2]S1!J1147</f>
        <v>0</v>
      </c>
      <c r="K1146" s="19">
        <f>[2]S1!K1147</f>
        <v>200</v>
      </c>
      <c r="L1146" s="52">
        <f>[2]S1!L1147</f>
        <v>0</v>
      </c>
      <c r="M1146" s="58">
        <f>[2]S1!M1147</f>
        <v>0</v>
      </c>
      <c r="N1146" s="49">
        <f>[2]S1!P1147</f>
        <v>8947800094</v>
      </c>
    </row>
    <row r="1147" spans="1:14" x14ac:dyDescent="0.3">
      <c r="A1147" s="11">
        <v>4194</v>
      </c>
      <c r="B1147" s="12" t="str">
        <f>[3]Name!E3198</f>
        <v>Tisha Kumari Duvariya</v>
      </c>
      <c r="C1147" s="13">
        <f>[2]S1!C1148</f>
        <v>0</v>
      </c>
      <c r="D1147" s="13">
        <f>[2]S1!D1148</f>
        <v>0</v>
      </c>
      <c r="E1147" s="26">
        <f>[2]S1!E1148</f>
        <v>200</v>
      </c>
      <c r="F1147" s="26">
        <f>[2]S1!F1148</f>
        <v>0</v>
      </c>
      <c r="G1147" s="22">
        <f>[2]S1!G1148</f>
        <v>0</v>
      </c>
      <c r="H1147" s="22">
        <f>[2]S1!H1148</f>
        <v>0</v>
      </c>
      <c r="I1147" s="22">
        <f>[2]S1!I1148</f>
        <v>0</v>
      </c>
      <c r="J1147" s="13">
        <f>[2]S1!J1148</f>
        <v>0</v>
      </c>
      <c r="K1147" s="19">
        <f>[2]S1!K1148</f>
        <v>200</v>
      </c>
      <c r="L1147" s="52">
        <f>[2]S1!L1148</f>
        <v>0</v>
      </c>
      <c r="M1147" s="58">
        <f>[2]S1!M1148</f>
        <v>0</v>
      </c>
      <c r="N1147" s="49">
        <f>[2]S1!P1148</f>
        <v>8947800094</v>
      </c>
    </row>
    <row r="1148" spans="1:14" x14ac:dyDescent="0.3">
      <c r="A1148" s="11">
        <v>4195</v>
      </c>
      <c r="B1148" s="12" t="str">
        <f>[3]Name!E3199</f>
        <v>Puran Mal Gurava</v>
      </c>
      <c r="C1148" s="13">
        <f>[2]S1!C1149</f>
        <v>16200</v>
      </c>
      <c r="D1148" s="13">
        <f>[2]S1!D1149</f>
        <v>0</v>
      </c>
      <c r="E1148" s="26">
        <f>[2]S1!E1149</f>
        <v>200</v>
      </c>
      <c r="F1148" s="26">
        <f>[2]S1!F1149</f>
        <v>0</v>
      </c>
      <c r="G1148" s="22">
        <f>[2]S1!G1149</f>
        <v>1560</v>
      </c>
      <c r="H1148" s="22">
        <f>[2]S1!H1149</f>
        <v>0</v>
      </c>
      <c r="I1148" s="22">
        <f>[2]S1!I1149</f>
        <v>178</v>
      </c>
      <c r="J1148" s="13">
        <f>[2]S1!J1149</f>
        <v>0</v>
      </c>
      <c r="K1148" s="19">
        <f>[2]S1!K1149</f>
        <v>1938</v>
      </c>
      <c r="L1148" s="52">
        <f>[2]S1!L1149</f>
        <v>17760</v>
      </c>
      <c r="M1148" s="58">
        <f>[2]S1!M1149</f>
        <v>5</v>
      </c>
      <c r="N1148" s="49">
        <f>[2]S1!P1149</f>
        <v>9982965532</v>
      </c>
    </row>
    <row r="1149" spans="1:14" x14ac:dyDescent="0.3">
      <c r="A1149" s="11">
        <v>4196</v>
      </c>
      <c r="B1149" s="12" t="str">
        <f>[3]Name!E3200</f>
        <v>Tej Prakash Gurava</v>
      </c>
      <c r="C1149" s="13">
        <f>[2]S1!C1150</f>
        <v>16200</v>
      </c>
      <c r="D1149" s="13">
        <f>[2]S1!D1150</f>
        <v>0</v>
      </c>
      <c r="E1149" s="26">
        <f>[2]S1!E1150</f>
        <v>200</v>
      </c>
      <c r="F1149" s="26">
        <f>[2]S1!F1150</f>
        <v>0</v>
      </c>
      <c r="G1149" s="22">
        <f>[2]S1!G1150</f>
        <v>1800</v>
      </c>
      <c r="H1149" s="22">
        <f>[2]S1!H1150</f>
        <v>0</v>
      </c>
      <c r="I1149" s="22">
        <f>[2]S1!I1150</f>
        <v>180</v>
      </c>
      <c r="J1149" s="13">
        <f>[2]S1!J1150</f>
        <v>0</v>
      </c>
      <c r="K1149" s="19">
        <f>[2]S1!K1150</f>
        <v>2180</v>
      </c>
      <c r="L1149" s="52">
        <f>[2]S1!L1150</f>
        <v>18000</v>
      </c>
      <c r="M1149" s="58">
        <f>[2]S1!M1150</f>
        <v>5</v>
      </c>
      <c r="N1149" s="49">
        <f>[2]S1!P1150</f>
        <v>9982965532</v>
      </c>
    </row>
    <row r="1150" spans="1:14" x14ac:dyDescent="0.3">
      <c r="A1150" s="11">
        <v>4197</v>
      </c>
      <c r="B1150" s="12" t="str">
        <f>[3]Name!E3201</f>
        <v>Mantu Devi Bal</v>
      </c>
      <c r="C1150" s="13">
        <f>[2]S1!C1151</f>
        <v>0</v>
      </c>
      <c r="D1150" s="13">
        <f>[2]S1!D1151</f>
        <v>0</v>
      </c>
      <c r="E1150" s="26">
        <f>[2]S1!E1151</f>
        <v>200</v>
      </c>
      <c r="F1150" s="26">
        <f>[2]S1!F1151</f>
        <v>2</v>
      </c>
      <c r="G1150" s="22">
        <f>[2]S1!G1151</f>
        <v>0</v>
      </c>
      <c r="H1150" s="22">
        <f>[2]S1!H1151</f>
        <v>0</v>
      </c>
      <c r="I1150" s="22">
        <f>[2]S1!I1151</f>
        <v>0</v>
      </c>
      <c r="J1150" s="13">
        <f>[2]S1!J1151</f>
        <v>0</v>
      </c>
      <c r="K1150" s="19">
        <f>[2]S1!K1151</f>
        <v>202</v>
      </c>
      <c r="L1150" s="52">
        <f>[2]S1!L1151</f>
        <v>0</v>
      </c>
      <c r="M1150" s="58">
        <f>[2]S1!M1151</f>
        <v>0</v>
      </c>
      <c r="N1150" s="49">
        <f>[2]S1!P1151</f>
        <v>9829450072</v>
      </c>
    </row>
    <row r="1151" spans="1:14" x14ac:dyDescent="0.3">
      <c r="A1151" s="11">
        <v>4198</v>
      </c>
      <c r="B1151" s="12" t="str">
        <f>[3]Name!E3202</f>
        <v>Mahendr Kumar Meharda</v>
      </c>
      <c r="C1151" s="13">
        <f>[2]S1!C1152</f>
        <v>500</v>
      </c>
      <c r="D1151" s="13">
        <f>[2]S1!D1152</f>
        <v>0</v>
      </c>
      <c r="E1151" s="26">
        <f>[2]S1!E1152</f>
        <v>200</v>
      </c>
      <c r="F1151" s="26">
        <f>[2]S1!F1152</f>
        <v>0</v>
      </c>
      <c r="G1151" s="22">
        <f>[2]S1!G1152</f>
        <v>500</v>
      </c>
      <c r="H1151" s="22">
        <f>[2]S1!H1152</f>
        <v>0</v>
      </c>
      <c r="I1151" s="22">
        <f>[2]S1!I1152</f>
        <v>395</v>
      </c>
      <c r="J1151" s="13">
        <f>[2]S1!J1152</f>
        <v>0</v>
      </c>
      <c r="K1151" s="19">
        <f>[2]S1!K1152</f>
        <v>1095</v>
      </c>
      <c r="L1151" s="52">
        <f>[2]S1!L1152</f>
        <v>39500</v>
      </c>
      <c r="M1151" s="58">
        <f>[2]S1!M1152</f>
        <v>2</v>
      </c>
      <c r="N1151" s="49">
        <f>[2]S1!P1152</f>
        <v>9783982680</v>
      </c>
    </row>
    <row r="1152" spans="1:14" x14ac:dyDescent="0.3">
      <c r="A1152" s="11">
        <v>4199</v>
      </c>
      <c r="B1152" s="12" t="str">
        <f>[3]Name!E3203</f>
        <v>Sonkashi Devi Meharda</v>
      </c>
      <c r="C1152" s="13">
        <f>[2]S1!C1153</f>
        <v>500</v>
      </c>
      <c r="D1152" s="13">
        <f>[2]S1!D1153</f>
        <v>0</v>
      </c>
      <c r="E1152" s="26">
        <f>[2]S1!E1153</f>
        <v>200</v>
      </c>
      <c r="F1152" s="26">
        <f>[2]S1!F1153</f>
        <v>0</v>
      </c>
      <c r="G1152" s="22">
        <f>[2]S1!G1153</f>
        <v>500</v>
      </c>
      <c r="H1152" s="22">
        <f>[2]S1!H1153</f>
        <v>0</v>
      </c>
      <c r="I1152" s="22">
        <f>[2]S1!I1153</f>
        <v>395</v>
      </c>
      <c r="J1152" s="13">
        <f>[2]S1!J1153</f>
        <v>0</v>
      </c>
      <c r="K1152" s="19">
        <f>[2]S1!K1153</f>
        <v>1095</v>
      </c>
      <c r="L1152" s="52">
        <f>[2]S1!L1153</f>
        <v>39500</v>
      </c>
      <c r="M1152" s="58">
        <f>[2]S1!M1153</f>
        <v>2</v>
      </c>
      <c r="N1152" s="49">
        <f>[2]S1!P1153</f>
        <v>9783982680</v>
      </c>
    </row>
    <row r="1153" spans="1:14" x14ac:dyDescent="0.3">
      <c r="A1153" s="11">
        <v>4200</v>
      </c>
      <c r="B1153" s="12" t="str">
        <f>[3]Name!E3204</f>
        <v>Bihan Kumar Meharda</v>
      </c>
      <c r="C1153" s="13">
        <f>[2]S1!C1154</f>
        <v>500</v>
      </c>
      <c r="D1153" s="13">
        <f>[2]S1!D1154</f>
        <v>0</v>
      </c>
      <c r="E1153" s="26">
        <f>[2]S1!E1154</f>
        <v>200</v>
      </c>
      <c r="F1153" s="26">
        <f>[2]S1!F1154</f>
        <v>0</v>
      </c>
      <c r="G1153" s="22">
        <f>[2]S1!G1154</f>
        <v>500</v>
      </c>
      <c r="H1153" s="22">
        <f>[2]S1!H1154</f>
        <v>0</v>
      </c>
      <c r="I1153" s="22">
        <f>[2]S1!I1154</f>
        <v>395</v>
      </c>
      <c r="J1153" s="13">
        <f>[2]S1!J1154</f>
        <v>0</v>
      </c>
      <c r="K1153" s="19">
        <f>[2]S1!K1154</f>
        <v>1095</v>
      </c>
      <c r="L1153" s="52">
        <f>[2]S1!L1154</f>
        <v>39500</v>
      </c>
      <c r="M1153" s="58">
        <f>[2]S1!M1154</f>
        <v>2</v>
      </c>
      <c r="N1153" s="49">
        <f>[2]S1!P1154</f>
        <v>9783982680</v>
      </c>
    </row>
    <row r="1154" spans="1:14" x14ac:dyDescent="0.3">
      <c r="A1154" s="11">
        <v>4201</v>
      </c>
      <c r="B1154" s="12" t="str">
        <f>[3]Name!E3205</f>
        <v>Rampul Budgaya</v>
      </c>
      <c r="C1154" s="13">
        <f>[2]S1!C1155</f>
        <v>1000</v>
      </c>
      <c r="D1154" s="13">
        <f>[2]S1!D1155</f>
        <v>0</v>
      </c>
      <c r="E1154" s="26">
        <f>[2]S1!E1155</f>
        <v>200</v>
      </c>
      <c r="F1154" s="26">
        <f>[2]S1!F1155</f>
        <v>0</v>
      </c>
      <c r="G1154" s="22">
        <f>[2]S1!G1155</f>
        <v>12</v>
      </c>
      <c r="H1154" s="22">
        <f>[2]S1!H1155</f>
        <v>0</v>
      </c>
      <c r="I1154" s="22">
        <f>[2]S1!I1155</f>
        <v>168</v>
      </c>
      <c r="J1154" s="13">
        <f>[2]S1!J1155</f>
        <v>0</v>
      </c>
      <c r="K1154" s="19">
        <f>[2]S1!K1155</f>
        <v>380</v>
      </c>
      <c r="L1154" s="52">
        <f>[2]S1!L1155</f>
        <v>16012</v>
      </c>
      <c r="M1154" s="58">
        <f>[2]S1!M1155</f>
        <v>4</v>
      </c>
      <c r="N1154" s="49">
        <f>[2]S1!P1155</f>
        <v>7742957778</v>
      </c>
    </row>
    <row r="1155" spans="1:14" x14ac:dyDescent="0.3">
      <c r="A1155" s="11">
        <v>4202</v>
      </c>
      <c r="B1155" s="12" t="str">
        <f>[3]Name!E3206</f>
        <v>Lakki Budgaya</v>
      </c>
      <c r="C1155" s="13">
        <f>[2]S1!C1156</f>
        <v>1000</v>
      </c>
      <c r="D1155" s="13">
        <f>[2]S1!D1156</f>
        <v>0</v>
      </c>
      <c r="E1155" s="26">
        <f>[2]S1!E1156</f>
        <v>200</v>
      </c>
      <c r="F1155" s="26">
        <f>[2]S1!F1156</f>
        <v>0</v>
      </c>
      <c r="G1155" s="22">
        <f>[2]S1!G1156</f>
        <v>1000</v>
      </c>
      <c r="H1155" s="22">
        <f>[2]S1!H1156</f>
        <v>0</v>
      </c>
      <c r="I1155" s="22">
        <f>[2]S1!I1156</f>
        <v>170</v>
      </c>
      <c r="J1155" s="13">
        <f>[2]S1!J1156</f>
        <v>0</v>
      </c>
      <c r="K1155" s="19">
        <f>[2]S1!K1156</f>
        <v>1370</v>
      </c>
      <c r="L1155" s="52">
        <f>[2]S1!L1156</f>
        <v>17000</v>
      </c>
      <c r="M1155" s="58">
        <f>[2]S1!M1156</f>
        <v>4</v>
      </c>
      <c r="N1155" s="49">
        <f>[2]S1!P1156</f>
        <v>7742957778</v>
      </c>
    </row>
    <row r="1156" spans="1:14" x14ac:dyDescent="0.3">
      <c r="A1156" s="11">
        <v>4203</v>
      </c>
      <c r="B1156" s="12" t="str">
        <f>[3]Name!E3207</f>
        <v>Kailash Kumar Duvariya</v>
      </c>
      <c r="C1156" s="13">
        <f>[2]S1!C1157</f>
        <v>4500</v>
      </c>
      <c r="D1156" s="13">
        <f>[2]S1!D1157</f>
        <v>0</v>
      </c>
      <c r="E1156" s="26">
        <f>[2]S1!E1157</f>
        <v>200</v>
      </c>
      <c r="F1156" s="26">
        <f>[2]S1!F1157</f>
        <v>0</v>
      </c>
      <c r="G1156" s="22">
        <f>[2]S1!G1157</f>
        <v>0</v>
      </c>
      <c r="H1156" s="22">
        <f>[2]S1!H1157</f>
        <v>0</v>
      </c>
      <c r="I1156" s="22">
        <f>[2]S1!I1157</f>
        <v>0</v>
      </c>
      <c r="J1156" s="13">
        <f>[2]S1!J1157</f>
        <v>0</v>
      </c>
      <c r="K1156" s="19">
        <f>[2]S1!K1157</f>
        <v>200</v>
      </c>
      <c r="L1156" s="52">
        <f>[2]S1!L1157</f>
        <v>0</v>
      </c>
      <c r="M1156" s="58">
        <f>[2]S1!M1157</f>
        <v>0</v>
      </c>
      <c r="N1156" s="49">
        <f>[2]S1!P1157</f>
        <v>8442006992</v>
      </c>
    </row>
    <row r="1157" spans="1:14" x14ac:dyDescent="0.3">
      <c r="A1157" s="11">
        <v>4204</v>
      </c>
      <c r="B1157" s="12" t="str">
        <f>[3]Name!E3208</f>
        <v>Gungun Duvariya</v>
      </c>
      <c r="C1157" s="13">
        <f>[2]S1!C1158</f>
        <v>4500</v>
      </c>
      <c r="D1157" s="13">
        <f>[2]S1!D1158</f>
        <v>0</v>
      </c>
      <c r="E1157" s="26">
        <f>[2]S1!E1158</f>
        <v>200</v>
      </c>
      <c r="F1157" s="26">
        <f>[2]S1!F1158</f>
        <v>0</v>
      </c>
      <c r="G1157" s="22">
        <f>[2]S1!G1158</f>
        <v>0</v>
      </c>
      <c r="H1157" s="22">
        <f>[2]S1!H1158</f>
        <v>0</v>
      </c>
      <c r="I1157" s="22">
        <f>[2]S1!I1158</f>
        <v>19</v>
      </c>
      <c r="J1157" s="13">
        <f>[2]S1!J1158</f>
        <v>0</v>
      </c>
      <c r="K1157" s="19">
        <f>[2]S1!K1158</f>
        <v>219</v>
      </c>
      <c r="L1157" s="52">
        <f>[2]S1!L1158</f>
        <v>1855</v>
      </c>
      <c r="M1157" s="58">
        <f>[2]S1!M1158</f>
        <v>5</v>
      </c>
      <c r="N1157" s="49">
        <f>[2]S1!P1158</f>
        <v>8442006992</v>
      </c>
    </row>
    <row r="1158" spans="1:14" x14ac:dyDescent="0.3">
      <c r="A1158" s="11">
        <v>4205</v>
      </c>
      <c r="B1158" s="12" t="str">
        <f>[3]Name!E3209</f>
        <v>Mohan Lal Bal</v>
      </c>
      <c r="C1158" s="13">
        <f>[2]S1!C1159</f>
        <v>2400</v>
      </c>
      <c r="D1158" s="13">
        <f>[2]S1!D1159</f>
        <v>0</v>
      </c>
      <c r="E1158" s="26">
        <f>[2]S1!E1159</f>
        <v>400</v>
      </c>
      <c r="F1158" s="26">
        <f>[2]S1!F1159</f>
        <v>10</v>
      </c>
      <c r="G1158" s="22">
        <f>[2]S1!G1159</f>
        <v>0</v>
      </c>
      <c r="H1158" s="22">
        <f>[2]S1!H1159</f>
        <v>0</v>
      </c>
      <c r="I1158" s="22">
        <f>[2]S1!I1159</f>
        <v>0</v>
      </c>
      <c r="J1158" s="13">
        <f>[2]S1!J1159</f>
        <v>0</v>
      </c>
      <c r="K1158" s="19">
        <f>[2]S1!K1159</f>
        <v>410</v>
      </c>
      <c r="L1158" s="52">
        <f>[2]S1!L1159</f>
        <v>0</v>
      </c>
      <c r="M1158" s="58">
        <f>[2]S1!M1159</f>
        <v>0</v>
      </c>
      <c r="N1158" s="49">
        <f>[2]S1!P1159</f>
        <v>7726813481</v>
      </c>
    </row>
    <row r="1159" spans="1:14" x14ac:dyDescent="0.3">
      <c r="A1159" s="11">
        <v>4206</v>
      </c>
      <c r="B1159" s="12" t="str">
        <f>[3]Name!E3210</f>
        <v>Dinesh Kumar Dokhoriya</v>
      </c>
      <c r="C1159" s="13">
        <f>[2]S1!C1160</f>
        <v>0</v>
      </c>
      <c r="D1159" s="13">
        <f>[2]S1!D1160</f>
        <v>0</v>
      </c>
      <c r="E1159" s="26">
        <f>[2]S1!E1160</f>
        <v>200</v>
      </c>
      <c r="F1159" s="26">
        <f>[2]S1!F1160</f>
        <v>0</v>
      </c>
      <c r="G1159" s="22">
        <f>[2]S1!G1160</f>
        <v>0</v>
      </c>
      <c r="H1159" s="22">
        <f>[2]S1!H1160</f>
        <v>0</v>
      </c>
      <c r="I1159" s="22">
        <f>[2]S1!I1160</f>
        <v>0</v>
      </c>
      <c r="J1159" s="13">
        <f>[2]S1!J1160</f>
        <v>0</v>
      </c>
      <c r="K1159" s="19">
        <f>[2]S1!K1160</f>
        <v>200</v>
      </c>
      <c r="L1159" s="52">
        <f>[2]S1!L1160</f>
        <v>0</v>
      </c>
      <c r="M1159" s="58">
        <f>[2]S1!M1160</f>
        <v>0</v>
      </c>
      <c r="N1159" s="49">
        <f>[2]S1!P1160</f>
        <v>8432854486</v>
      </c>
    </row>
    <row r="1160" spans="1:14" x14ac:dyDescent="0.3">
      <c r="A1160" s="11">
        <v>4207</v>
      </c>
      <c r="B1160" s="12" t="str">
        <f>[3]Name!E3211</f>
        <v>Mamta Devi Dokhoriya</v>
      </c>
      <c r="C1160" s="13">
        <f>[2]S1!C1161</f>
        <v>0</v>
      </c>
      <c r="D1160" s="13">
        <f>[2]S1!D1161</f>
        <v>0</v>
      </c>
      <c r="E1160" s="26">
        <f>[2]S1!E1161</f>
        <v>165</v>
      </c>
      <c r="F1160" s="26">
        <f>[2]S1!F1161</f>
        <v>0</v>
      </c>
      <c r="G1160" s="22">
        <f>[2]S1!G1161</f>
        <v>0</v>
      </c>
      <c r="H1160" s="22">
        <f>[2]S1!H1161</f>
        <v>0</v>
      </c>
      <c r="I1160" s="22">
        <f>[2]S1!I1161</f>
        <v>0</v>
      </c>
      <c r="J1160" s="13">
        <f>[2]S1!J1161</f>
        <v>0</v>
      </c>
      <c r="K1160" s="19">
        <f>[2]S1!K1161</f>
        <v>165</v>
      </c>
      <c r="L1160" s="52">
        <f>[2]S1!L1161</f>
        <v>0</v>
      </c>
      <c r="M1160" s="58">
        <f>[2]S1!M1161</f>
        <v>0</v>
      </c>
      <c r="N1160" s="49">
        <f>[2]S1!P1161</f>
        <v>8432854486</v>
      </c>
    </row>
    <row r="1161" spans="1:14" x14ac:dyDescent="0.3">
      <c r="A1161" s="11">
        <v>4208</v>
      </c>
      <c r="B1161" s="12" t="str">
        <f>[3]Name!E3212</f>
        <v>Kittu Kumari  Dokhoriya</v>
      </c>
      <c r="C1161" s="13">
        <f>[2]S1!C1162</f>
        <v>0</v>
      </c>
      <c r="D1161" s="13">
        <f>[2]S1!D1162</f>
        <v>0</v>
      </c>
      <c r="E1161" s="26">
        <f>[2]S1!E1162</f>
        <v>200</v>
      </c>
      <c r="F1161" s="26">
        <f>[2]S1!F1162</f>
        <v>0</v>
      </c>
      <c r="G1161" s="22">
        <f>[2]S1!G1162</f>
        <v>0</v>
      </c>
      <c r="H1161" s="22">
        <f>[2]S1!H1162</f>
        <v>0</v>
      </c>
      <c r="I1161" s="22">
        <f>[2]S1!I1162</f>
        <v>0</v>
      </c>
      <c r="J1161" s="13">
        <f>[2]S1!J1162</f>
        <v>0</v>
      </c>
      <c r="K1161" s="19">
        <f>[2]S1!K1162</f>
        <v>200</v>
      </c>
      <c r="L1161" s="52">
        <f>[2]S1!L1162</f>
        <v>0</v>
      </c>
      <c r="M1161" s="58">
        <f>[2]S1!M1162</f>
        <v>0</v>
      </c>
      <c r="N1161" s="49">
        <f>[2]S1!P1162</f>
        <v>8432854486</v>
      </c>
    </row>
    <row r="1162" spans="1:14" x14ac:dyDescent="0.3">
      <c r="A1162" s="11">
        <v>4209</v>
      </c>
      <c r="B1162" s="12" t="str">
        <f>[3]Name!E3213</f>
        <v>Dinesh Kumar Dokhoriya</v>
      </c>
      <c r="C1162" s="13">
        <f>[2]S1!C1163</f>
        <v>0</v>
      </c>
      <c r="D1162" s="13">
        <f>[2]S1!D1163</f>
        <v>0</v>
      </c>
      <c r="E1162" s="26">
        <f>[2]S1!E1163</f>
        <v>200</v>
      </c>
      <c r="F1162" s="26">
        <f>[2]S1!F1163</f>
        <v>0</v>
      </c>
      <c r="G1162" s="22">
        <f>[2]S1!G1163</f>
        <v>0</v>
      </c>
      <c r="H1162" s="22">
        <f>[2]S1!H1163</f>
        <v>0</v>
      </c>
      <c r="I1162" s="22">
        <f>[2]S1!I1163</f>
        <v>0</v>
      </c>
      <c r="J1162" s="13">
        <f>[2]S1!J1163</f>
        <v>0</v>
      </c>
      <c r="K1162" s="19">
        <f>[2]S1!K1163</f>
        <v>200</v>
      </c>
      <c r="L1162" s="52">
        <f>[2]S1!L1163</f>
        <v>0</v>
      </c>
      <c r="M1162" s="58">
        <f>[2]S1!M1163</f>
        <v>0</v>
      </c>
      <c r="N1162" s="49">
        <f>[2]S1!P1163</f>
        <v>8432854486</v>
      </c>
    </row>
    <row r="1163" spans="1:14" x14ac:dyDescent="0.3">
      <c r="A1163" s="11">
        <v>4210</v>
      </c>
      <c r="B1163" s="12" t="str">
        <f>[3]Name!E3214</f>
        <v>Suresh kumar gotwal</v>
      </c>
      <c r="C1163" s="13">
        <f>[2]S1!C1164</f>
        <v>0</v>
      </c>
      <c r="D1163" s="13">
        <f>[2]S1!D1164</f>
        <v>0</v>
      </c>
      <c r="E1163" s="26">
        <f>[2]S1!E1164</f>
        <v>16</v>
      </c>
      <c r="F1163" s="26">
        <f>[2]S1!F1164</f>
        <v>0</v>
      </c>
      <c r="G1163" s="22">
        <f>[2]S1!G1164</f>
        <v>0</v>
      </c>
      <c r="H1163" s="22">
        <f>[2]S1!H1164</f>
        <v>0</v>
      </c>
      <c r="I1163" s="22">
        <f>[2]S1!I1164</f>
        <v>0</v>
      </c>
      <c r="J1163" s="13">
        <f>[2]S1!J1164</f>
        <v>0</v>
      </c>
      <c r="K1163" s="19">
        <f>[2]S1!K1164</f>
        <v>16</v>
      </c>
      <c r="L1163" s="52">
        <f>[2]S1!L1164</f>
        <v>0</v>
      </c>
      <c r="M1163" s="58">
        <f>[2]S1!M1164</f>
        <v>0</v>
      </c>
      <c r="N1163" s="49">
        <f>[2]S1!P1164</f>
        <v>9799861493</v>
      </c>
    </row>
    <row r="1164" spans="1:14" x14ac:dyDescent="0.3">
      <c r="A1164" s="11">
        <v>4211</v>
      </c>
      <c r="B1164" s="12" t="str">
        <f>[3]Name!E3215</f>
        <v>Fool Chand Gotwal</v>
      </c>
      <c r="C1164" s="13">
        <f>[2]S1!C1165</f>
        <v>0</v>
      </c>
      <c r="D1164" s="13">
        <f>[2]S1!D1165</f>
        <v>0</v>
      </c>
      <c r="E1164" s="26">
        <f>[2]S1!E1165</f>
        <v>200</v>
      </c>
      <c r="F1164" s="26">
        <f>[2]S1!F1165</f>
        <v>0</v>
      </c>
      <c r="G1164" s="22">
        <f>[2]S1!G1165</f>
        <v>0</v>
      </c>
      <c r="H1164" s="22">
        <f>[2]S1!H1165</f>
        <v>0</v>
      </c>
      <c r="I1164" s="22">
        <f>[2]S1!I1165</f>
        <v>423</v>
      </c>
      <c r="J1164" s="13">
        <f>[2]S1!J1165</f>
        <v>0</v>
      </c>
      <c r="K1164" s="19">
        <f>[2]S1!K1165</f>
        <v>623</v>
      </c>
      <c r="L1164" s="52">
        <f>[2]S1!L1165</f>
        <v>42269</v>
      </c>
      <c r="M1164" s="58">
        <f>[2]S1!M1165</f>
        <v>5</v>
      </c>
      <c r="N1164" s="49">
        <f>[2]S1!P1165</f>
        <v>9667231605</v>
      </c>
    </row>
    <row r="1165" spans="1:14" x14ac:dyDescent="0.3">
      <c r="A1165" s="11">
        <v>4212</v>
      </c>
      <c r="B1165" s="12" t="str">
        <f>[3]Name!E3216</f>
        <v>Sarvan ji malinda</v>
      </c>
      <c r="C1165" s="13">
        <f>[2]S1!C1166</f>
        <v>1000</v>
      </c>
      <c r="D1165" s="13">
        <f>[2]S1!D1166</f>
        <v>0</v>
      </c>
      <c r="E1165" s="26">
        <f>[2]S1!E1166</f>
        <v>200</v>
      </c>
      <c r="F1165" s="26">
        <f>[2]S1!F1166</f>
        <v>0</v>
      </c>
      <c r="G1165" s="22">
        <f>[2]S1!G1166</f>
        <v>1000</v>
      </c>
      <c r="H1165" s="22">
        <f>[2]S1!H1166</f>
        <v>0</v>
      </c>
      <c r="I1165" s="22">
        <f>[2]S1!I1166</f>
        <v>200</v>
      </c>
      <c r="J1165" s="13">
        <f>[2]S1!J1166</f>
        <v>0</v>
      </c>
      <c r="K1165" s="19">
        <f>[2]S1!K1166</f>
        <v>1400</v>
      </c>
      <c r="L1165" s="52">
        <f>[2]S1!L1166</f>
        <v>20000</v>
      </c>
      <c r="M1165" s="58">
        <f>[2]S1!M1166</f>
        <v>1</v>
      </c>
      <c r="N1165" s="49">
        <f>[2]S1!P1166</f>
        <v>7891681482</v>
      </c>
    </row>
    <row r="1166" spans="1:14" x14ac:dyDescent="0.3">
      <c r="A1166" s="11">
        <v>4213</v>
      </c>
      <c r="B1166" s="12" t="str">
        <f>[3]Name!E3217</f>
        <v>Dipak malinda</v>
      </c>
      <c r="C1166" s="13">
        <f>[2]S1!C1167</f>
        <v>1000</v>
      </c>
      <c r="D1166" s="13">
        <f>[2]S1!D1167</f>
        <v>0</v>
      </c>
      <c r="E1166" s="26">
        <f>[2]S1!E1167</f>
        <v>200</v>
      </c>
      <c r="F1166" s="26">
        <f>[2]S1!F1167</f>
        <v>0</v>
      </c>
      <c r="G1166" s="22">
        <f>[2]S1!G1167</f>
        <v>1000</v>
      </c>
      <c r="H1166" s="22">
        <f>[2]S1!H1167</f>
        <v>0</v>
      </c>
      <c r="I1166" s="22">
        <f>[2]S1!I1167</f>
        <v>200</v>
      </c>
      <c r="J1166" s="13">
        <f>[2]S1!J1167</f>
        <v>0</v>
      </c>
      <c r="K1166" s="19">
        <f>[2]S1!K1167</f>
        <v>1400</v>
      </c>
      <c r="L1166" s="52">
        <f>[2]S1!L1167</f>
        <v>20000</v>
      </c>
      <c r="M1166" s="58">
        <f>[2]S1!M1167</f>
        <v>1</v>
      </c>
      <c r="N1166" s="49">
        <f>[2]S1!P1167</f>
        <v>7891681482</v>
      </c>
    </row>
    <row r="1167" spans="1:14" x14ac:dyDescent="0.3">
      <c r="A1167" s="11">
        <v>4214</v>
      </c>
      <c r="B1167" s="12" t="str">
        <f>[3]Name!E3218</f>
        <v>Sangita Devi malinda</v>
      </c>
      <c r="C1167" s="13">
        <f>[2]S1!C1168</f>
        <v>1000</v>
      </c>
      <c r="D1167" s="13">
        <f>[2]S1!D1168</f>
        <v>0</v>
      </c>
      <c r="E1167" s="26">
        <f>[2]S1!E1168</f>
        <v>200</v>
      </c>
      <c r="F1167" s="26">
        <f>[2]S1!F1168</f>
        <v>0</v>
      </c>
      <c r="G1167" s="22">
        <f>[2]S1!G1168</f>
        <v>1000</v>
      </c>
      <c r="H1167" s="22">
        <f>[2]S1!H1168</f>
        <v>0</v>
      </c>
      <c r="I1167" s="22">
        <f>[2]S1!I1168</f>
        <v>200</v>
      </c>
      <c r="J1167" s="13">
        <f>[2]S1!J1168</f>
        <v>0</v>
      </c>
      <c r="K1167" s="19">
        <f>[2]S1!K1168</f>
        <v>1400</v>
      </c>
      <c r="L1167" s="52">
        <f>[2]S1!L1168</f>
        <v>20000</v>
      </c>
      <c r="M1167" s="58">
        <f>[2]S1!M1168</f>
        <v>1</v>
      </c>
      <c r="N1167" s="49">
        <f>[2]S1!P1168</f>
        <v>7891681482</v>
      </c>
    </row>
    <row r="1168" spans="1:14" x14ac:dyDescent="0.3">
      <c r="A1168" s="11">
        <v>4215</v>
      </c>
      <c r="B1168" s="12" t="str">
        <f>[3]Name!E3219</f>
        <v>Joti  Kumari malinda</v>
      </c>
      <c r="C1168" s="13">
        <f>[2]S1!C1169</f>
        <v>1000</v>
      </c>
      <c r="D1168" s="13">
        <f>[2]S1!D1169</f>
        <v>0</v>
      </c>
      <c r="E1168" s="26">
        <f>[2]S1!E1169</f>
        <v>200</v>
      </c>
      <c r="F1168" s="26">
        <f>[2]S1!F1169</f>
        <v>0</v>
      </c>
      <c r="G1168" s="22">
        <f>[2]S1!G1169</f>
        <v>1000</v>
      </c>
      <c r="H1168" s="22">
        <f>[2]S1!H1169</f>
        <v>0</v>
      </c>
      <c r="I1168" s="22">
        <f>[2]S1!I1169</f>
        <v>200</v>
      </c>
      <c r="J1168" s="13">
        <f>[2]S1!J1169</f>
        <v>0</v>
      </c>
      <c r="K1168" s="19">
        <f>[2]S1!K1169</f>
        <v>1400</v>
      </c>
      <c r="L1168" s="52">
        <f>[2]S1!L1169</f>
        <v>20000</v>
      </c>
      <c r="M1168" s="58">
        <f>[2]S1!M1169</f>
        <v>1</v>
      </c>
      <c r="N1168" s="49">
        <f>[2]S1!P1169</f>
        <v>7891681482</v>
      </c>
    </row>
    <row r="1169" spans="1:14" x14ac:dyDescent="0.3">
      <c r="A1169" s="11">
        <v>4216</v>
      </c>
      <c r="B1169" s="12" t="str">
        <f>[3]Name!E3220</f>
        <v>Jagadish Godeta</v>
      </c>
      <c r="C1169" s="13">
        <f>[2]S1!C1170</f>
        <v>4500</v>
      </c>
      <c r="D1169" s="13">
        <f>[2]S1!D1170</f>
        <v>0</v>
      </c>
      <c r="E1169" s="26">
        <f>[2]S1!E1170</f>
        <v>200</v>
      </c>
      <c r="F1169" s="26">
        <f>[2]S1!F1170</f>
        <v>0</v>
      </c>
      <c r="G1169" s="22">
        <f>[2]S1!G1170</f>
        <v>500</v>
      </c>
      <c r="H1169" s="22">
        <f>[2]S1!H1170</f>
        <v>0</v>
      </c>
      <c r="I1169" s="22">
        <f>[2]S1!I1170</f>
        <v>50</v>
      </c>
      <c r="J1169" s="13">
        <f>[2]S1!J1170</f>
        <v>0</v>
      </c>
      <c r="K1169" s="19">
        <f>[2]S1!K1170</f>
        <v>750</v>
      </c>
      <c r="L1169" s="52">
        <f>[2]S1!L1170</f>
        <v>5000</v>
      </c>
      <c r="M1169" s="58">
        <f>[2]S1!M1170</f>
        <v>5</v>
      </c>
      <c r="N1169" s="49">
        <f>[2]S1!P1170</f>
        <v>9782868348</v>
      </c>
    </row>
    <row r="1170" spans="1:14" x14ac:dyDescent="0.3">
      <c r="A1170" s="11">
        <v>4217</v>
      </c>
      <c r="B1170" s="12" t="str">
        <f>[3]Name!E3221</f>
        <v>Rahul Godeta</v>
      </c>
      <c r="C1170" s="13">
        <f>[2]S1!C1171</f>
        <v>4500</v>
      </c>
      <c r="D1170" s="13">
        <f>[2]S1!D1171</f>
        <v>0</v>
      </c>
      <c r="E1170" s="26">
        <f>[2]S1!E1171</f>
        <v>200</v>
      </c>
      <c r="F1170" s="26">
        <f>[2]S1!F1171</f>
        <v>0</v>
      </c>
      <c r="G1170" s="22">
        <f>[2]S1!G1171</f>
        <v>500</v>
      </c>
      <c r="H1170" s="22">
        <f>[2]S1!H1171</f>
        <v>0</v>
      </c>
      <c r="I1170" s="22">
        <f>[2]S1!I1171</f>
        <v>50</v>
      </c>
      <c r="J1170" s="13">
        <f>[2]S1!J1171</f>
        <v>0</v>
      </c>
      <c r="K1170" s="19">
        <f>[2]S1!K1171</f>
        <v>750</v>
      </c>
      <c r="L1170" s="52">
        <f>[2]S1!L1171</f>
        <v>5000</v>
      </c>
      <c r="M1170" s="58">
        <f>[2]S1!M1171</f>
        <v>5</v>
      </c>
      <c r="N1170" s="49">
        <f>[2]S1!P1171</f>
        <v>9782868348</v>
      </c>
    </row>
    <row r="1171" spans="1:14" x14ac:dyDescent="0.3">
      <c r="A1171" s="11">
        <v>4218</v>
      </c>
      <c r="B1171" s="12" t="str">
        <f>[3]Name!E3222</f>
        <v>Ajay Godeta</v>
      </c>
      <c r="C1171" s="13">
        <f>[2]S1!C1172</f>
        <v>4500</v>
      </c>
      <c r="D1171" s="13">
        <f>[2]S1!D1172</f>
        <v>0</v>
      </c>
      <c r="E1171" s="26">
        <f>[2]S1!E1172</f>
        <v>200</v>
      </c>
      <c r="F1171" s="26">
        <f>[2]S1!F1172</f>
        <v>0</v>
      </c>
      <c r="G1171" s="22">
        <f>[2]S1!G1172</f>
        <v>500</v>
      </c>
      <c r="H1171" s="22">
        <f>[2]S1!H1172</f>
        <v>0</v>
      </c>
      <c r="I1171" s="22">
        <f>[2]S1!I1172</f>
        <v>50</v>
      </c>
      <c r="J1171" s="13">
        <f>[2]S1!J1172</f>
        <v>0</v>
      </c>
      <c r="K1171" s="19">
        <f>[2]S1!K1172</f>
        <v>750</v>
      </c>
      <c r="L1171" s="52">
        <f>[2]S1!L1172</f>
        <v>5000</v>
      </c>
      <c r="M1171" s="58">
        <f>[2]S1!M1172</f>
        <v>5</v>
      </c>
      <c r="N1171" s="49">
        <f>[2]S1!P1172</f>
        <v>9782868348</v>
      </c>
    </row>
    <row r="1172" spans="1:14" x14ac:dyDescent="0.3">
      <c r="A1172" s="11">
        <v>4219</v>
      </c>
      <c r="B1172" s="12" t="str">
        <f>[3]Name!E3223</f>
        <v>Rahul Godeta</v>
      </c>
      <c r="C1172" s="13">
        <f>[2]S1!C1173</f>
        <v>4500</v>
      </c>
      <c r="D1172" s="13">
        <f>[2]S1!D1173</f>
        <v>0</v>
      </c>
      <c r="E1172" s="26">
        <f>[2]S1!E1173</f>
        <v>200</v>
      </c>
      <c r="F1172" s="26">
        <f>[2]S1!F1173</f>
        <v>0</v>
      </c>
      <c r="G1172" s="22">
        <f>[2]S1!G1173</f>
        <v>500</v>
      </c>
      <c r="H1172" s="22">
        <f>[2]S1!H1173</f>
        <v>0</v>
      </c>
      <c r="I1172" s="22">
        <f>[2]S1!I1173</f>
        <v>50</v>
      </c>
      <c r="J1172" s="13">
        <f>[2]S1!J1173</f>
        <v>0</v>
      </c>
      <c r="K1172" s="19">
        <f>[2]S1!K1173</f>
        <v>750</v>
      </c>
      <c r="L1172" s="52">
        <f>[2]S1!L1173</f>
        <v>5000</v>
      </c>
      <c r="M1172" s="58">
        <f>[2]S1!M1173</f>
        <v>5</v>
      </c>
      <c r="N1172" s="49">
        <f>[2]S1!P1173</f>
        <v>9782868348</v>
      </c>
    </row>
    <row r="1173" spans="1:14" x14ac:dyDescent="0.3">
      <c r="A1173" s="11">
        <v>4220</v>
      </c>
      <c r="B1173" s="12" t="str">
        <f>[3]Name!E3224</f>
        <v>Nirmala Devi Godeta</v>
      </c>
      <c r="C1173" s="13">
        <f>[2]S1!C1174</f>
        <v>4500</v>
      </c>
      <c r="D1173" s="13">
        <f>[2]S1!D1174</f>
        <v>0</v>
      </c>
      <c r="E1173" s="26">
        <f>[2]S1!E1174</f>
        <v>200</v>
      </c>
      <c r="F1173" s="26">
        <f>[2]S1!F1174</f>
        <v>0</v>
      </c>
      <c r="G1173" s="22">
        <f>[2]S1!G1174</f>
        <v>0</v>
      </c>
      <c r="H1173" s="22">
        <f>[2]S1!H1174</f>
        <v>0</v>
      </c>
      <c r="I1173" s="22">
        <f>[2]S1!I1174</f>
        <v>39</v>
      </c>
      <c r="J1173" s="13">
        <f>[2]S1!J1174</f>
        <v>0</v>
      </c>
      <c r="K1173" s="19">
        <f>[2]S1!K1174</f>
        <v>239</v>
      </c>
      <c r="L1173" s="52">
        <f>[2]S1!L1174</f>
        <v>3933</v>
      </c>
      <c r="M1173" s="58">
        <f>[2]S1!M1174</f>
        <v>5</v>
      </c>
      <c r="N1173" s="49">
        <f>[2]S1!P1174</f>
        <v>9782868348</v>
      </c>
    </row>
    <row r="1174" spans="1:14" x14ac:dyDescent="0.3">
      <c r="A1174" s="11">
        <v>4221</v>
      </c>
      <c r="B1174" s="12" t="str">
        <f>[3]Name!E3225</f>
        <v>Yadram Khandelwal</v>
      </c>
      <c r="C1174" s="13">
        <f>[2]S1!C1175</f>
        <v>500</v>
      </c>
      <c r="D1174" s="13">
        <f>[2]S1!D1175</f>
        <v>0</v>
      </c>
      <c r="E1174" s="26">
        <f>[2]S1!E1175</f>
        <v>200</v>
      </c>
      <c r="F1174" s="26">
        <f>[2]S1!F1175</f>
        <v>0</v>
      </c>
      <c r="G1174" s="22">
        <f>[2]S1!G1175</f>
        <v>500</v>
      </c>
      <c r="H1174" s="22">
        <f>[2]S1!H1175</f>
        <v>0</v>
      </c>
      <c r="I1174" s="22">
        <f>[2]S1!I1175</f>
        <v>190</v>
      </c>
      <c r="J1174" s="13">
        <f>[2]S1!J1175</f>
        <v>0</v>
      </c>
      <c r="K1174" s="19">
        <f>[2]S1!K1175</f>
        <v>890</v>
      </c>
      <c r="L1174" s="52">
        <f>[2]S1!L1175</f>
        <v>19000</v>
      </c>
      <c r="M1174" s="58">
        <f>[2]S1!M1175</f>
        <v>3</v>
      </c>
      <c r="N1174" s="49">
        <f>[2]S1!P1175</f>
        <v>6350634028</v>
      </c>
    </row>
    <row r="1175" spans="1:14" x14ac:dyDescent="0.3">
      <c r="A1175" s="11">
        <v>4222</v>
      </c>
      <c r="B1175" s="12" t="str">
        <f>[3]Name!E3226</f>
        <v>Sarvan Khandelwal</v>
      </c>
      <c r="C1175" s="13">
        <f>[2]S1!C1176</f>
        <v>500</v>
      </c>
      <c r="D1175" s="13">
        <f>[2]S1!D1176</f>
        <v>0</v>
      </c>
      <c r="E1175" s="26">
        <f>[2]S1!E1176</f>
        <v>200</v>
      </c>
      <c r="F1175" s="26">
        <f>[2]S1!F1176</f>
        <v>0</v>
      </c>
      <c r="G1175" s="22">
        <f>[2]S1!G1176</f>
        <v>500</v>
      </c>
      <c r="H1175" s="22">
        <f>[2]S1!H1176</f>
        <v>0</v>
      </c>
      <c r="I1175" s="22">
        <f>[2]S1!I1176</f>
        <v>190</v>
      </c>
      <c r="J1175" s="13">
        <f>[2]S1!J1176</f>
        <v>0</v>
      </c>
      <c r="K1175" s="19">
        <f>[2]S1!K1176</f>
        <v>890</v>
      </c>
      <c r="L1175" s="52">
        <f>[2]S1!L1176</f>
        <v>19000</v>
      </c>
      <c r="M1175" s="58">
        <f>[2]S1!M1176</f>
        <v>3</v>
      </c>
      <c r="N1175" s="49">
        <f>[2]S1!P1176</f>
        <v>6350634028</v>
      </c>
    </row>
    <row r="1176" spans="1:14" x14ac:dyDescent="0.3">
      <c r="A1176" s="11">
        <v>4223</v>
      </c>
      <c r="B1176" s="12" t="str">
        <f>[3]Name!E3227</f>
        <v>Manni Devi Khandelwal</v>
      </c>
      <c r="C1176" s="13">
        <f>[2]S1!C1177</f>
        <v>500</v>
      </c>
      <c r="D1176" s="13">
        <f>[2]S1!D1177</f>
        <v>0</v>
      </c>
      <c r="E1176" s="26">
        <f>[2]S1!E1177</f>
        <v>200</v>
      </c>
      <c r="F1176" s="26">
        <f>[2]S1!F1177</f>
        <v>0</v>
      </c>
      <c r="G1176" s="22">
        <f>[2]S1!G1177</f>
        <v>500</v>
      </c>
      <c r="H1176" s="22">
        <f>[2]S1!H1177</f>
        <v>0</v>
      </c>
      <c r="I1176" s="22">
        <f>[2]S1!I1177</f>
        <v>190</v>
      </c>
      <c r="J1176" s="13">
        <f>[2]S1!J1177</f>
        <v>0</v>
      </c>
      <c r="K1176" s="19">
        <f>[2]S1!K1177</f>
        <v>890</v>
      </c>
      <c r="L1176" s="52">
        <f>[2]S1!L1177</f>
        <v>19000</v>
      </c>
      <c r="M1176" s="58">
        <f>[2]S1!M1177</f>
        <v>3</v>
      </c>
      <c r="N1176" s="49">
        <f>[2]S1!P1177</f>
        <v>6350634028</v>
      </c>
    </row>
    <row r="1177" spans="1:14" x14ac:dyDescent="0.3">
      <c r="A1177" s="11">
        <v>4224</v>
      </c>
      <c r="B1177" s="12" t="str">
        <f>[3]Name!E3228</f>
        <v>Aman Kumar Meharda</v>
      </c>
      <c r="C1177" s="13">
        <f>[2]S1!C1178</f>
        <v>700</v>
      </c>
      <c r="D1177" s="13">
        <f>[2]S1!D1178</f>
        <v>0</v>
      </c>
      <c r="E1177" s="26">
        <f>[2]S1!E1178</f>
        <v>1000</v>
      </c>
      <c r="F1177" s="26">
        <f>[2]S1!F1178</f>
        <v>78</v>
      </c>
      <c r="G1177" s="22">
        <f>[2]S1!G1178</f>
        <v>700</v>
      </c>
      <c r="H1177" s="22">
        <f>[2]S1!H1178</f>
        <v>139</v>
      </c>
      <c r="I1177" s="22">
        <f>[2]S1!I1178</f>
        <v>472</v>
      </c>
      <c r="J1177" s="13">
        <f>[2]S1!J1178</f>
        <v>0</v>
      </c>
      <c r="K1177" s="19">
        <f>[2]S1!K1178</f>
        <v>2389</v>
      </c>
      <c r="L1177" s="52">
        <f>[2]S1!L1178</f>
        <v>47200</v>
      </c>
      <c r="M1177" s="58">
        <f>[2]S1!M1178</f>
        <v>5</v>
      </c>
      <c r="N1177" s="49">
        <f>[2]S1!P1178</f>
        <v>9829622211</v>
      </c>
    </row>
    <row r="1178" spans="1:14" x14ac:dyDescent="0.3">
      <c r="A1178" s="11">
        <v>4225</v>
      </c>
      <c r="B1178" s="12" t="str">
        <f>[3]Name!E3229</f>
        <v>Anupriya Kumari Meharda</v>
      </c>
      <c r="C1178" s="13">
        <f>[2]S1!C1179</f>
        <v>700</v>
      </c>
      <c r="D1178" s="13">
        <f>[2]S1!D1179</f>
        <v>0</v>
      </c>
      <c r="E1178" s="26">
        <f>[2]S1!E1179</f>
        <v>1000</v>
      </c>
      <c r="F1178" s="26">
        <f>[2]S1!F1179</f>
        <v>78</v>
      </c>
      <c r="G1178" s="22">
        <f>[2]S1!G1179</f>
        <v>700</v>
      </c>
      <c r="H1178" s="22">
        <f>[2]S1!H1179</f>
        <v>139</v>
      </c>
      <c r="I1178" s="22">
        <f>[2]S1!I1179</f>
        <v>472</v>
      </c>
      <c r="J1178" s="13">
        <f>[2]S1!J1179</f>
        <v>0</v>
      </c>
      <c r="K1178" s="19">
        <f>[2]S1!K1179</f>
        <v>2389</v>
      </c>
      <c r="L1178" s="52">
        <f>[2]S1!L1179</f>
        <v>47200</v>
      </c>
      <c r="M1178" s="58">
        <f>[2]S1!M1179</f>
        <v>5</v>
      </c>
      <c r="N1178" s="49">
        <f>[2]S1!P1179</f>
        <v>9829622211</v>
      </c>
    </row>
    <row r="1179" spans="1:14" x14ac:dyDescent="0.3">
      <c r="A1179" s="11">
        <v>4226</v>
      </c>
      <c r="B1179" s="12" t="str">
        <f>[3]Name!E3230</f>
        <v>Ramesh Kumar Meharda</v>
      </c>
      <c r="C1179" s="13">
        <f>[2]S1!C1180</f>
        <v>700</v>
      </c>
      <c r="D1179" s="13">
        <f>[2]S1!D1180</f>
        <v>21</v>
      </c>
      <c r="E1179" s="26">
        <f>[2]S1!E1180</f>
        <v>1000</v>
      </c>
      <c r="F1179" s="26">
        <f>[2]S1!F1180</f>
        <v>78</v>
      </c>
      <c r="G1179" s="22">
        <f>[2]S1!G1180</f>
        <v>2800</v>
      </c>
      <c r="H1179" s="22">
        <f>[2]S1!H1180</f>
        <v>318</v>
      </c>
      <c r="I1179" s="22">
        <f>[2]S1!I1180</f>
        <v>1972</v>
      </c>
      <c r="J1179" s="13">
        <f>[2]S1!J1180</f>
        <v>0</v>
      </c>
      <c r="K1179" s="19">
        <f>[2]S1!K1180</f>
        <v>6168</v>
      </c>
      <c r="L1179" s="52">
        <f>[2]S1!L1180</f>
        <v>49300</v>
      </c>
      <c r="M1179" s="58">
        <f>[2]S1!M1180</f>
        <v>5</v>
      </c>
      <c r="N1179" s="49">
        <f>[2]S1!P1180</f>
        <v>9829622211</v>
      </c>
    </row>
    <row r="1180" spans="1:14" x14ac:dyDescent="0.3">
      <c r="A1180" s="11">
        <v>4227</v>
      </c>
      <c r="B1180" s="12" t="str">
        <f>[3]Name!E3231</f>
        <v>Abhisek Kumar Meharda</v>
      </c>
      <c r="C1180" s="13">
        <f>[2]S1!C1181</f>
        <v>700</v>
      </c>
      <c r="D1180" s="13">
        <f>[2]S1!D1181</f>
        <v>35</v>
      </c>
      <c r="E1180" s="26">
        <f>[2]S1!E1181</f>
        <v>1000</v>
      </c>
      <c r="F1180" s="26">
        <f>[2]S1!F1181</f>
        <v>78</v>
      </c>
      <c r="G1180" s="22">
        <f>[2]S1!G1181</f>
        <v>2910</v>
      </c>
      <c r="H1180" s="22">
        <f>[2]S1!H1181</f>
        <v>332</v>
      </c>
      <c r="I1180" s="22">
        <f>[2]S1!I1181</f>
        <v>1976</v>
      </c>
      <c r="J1180" s="13">
        <f>[2]S1!J1181</f>
        <v>0</v>
      </c>
      <c r="K1180" s="19">
        <f>[2]S1!K1181</f>
        <v>6296</v>
      </c>
      <c r="L1180" s="52">
        <f>[2]S1!L1181</f>
        <v>49410</v>
      </c>
      <c r="M1180" s="58">
        <f>[2]S1!M1181</f>
        <v>5</v>
      </c>
      <c r="N1180" s="49">
        <f>[2]S1!P1181</f>
        <v>9829622211</v>
      </c>
    </row>
    <row r="1181" spans="1:14" x14ac:dyDescent="0.3">
      <c r="A1181" s="11">
        <v>4228</v>
      </c>
      <c r="B1181" s="12" t="str">
        <f>[3]Name!E3232</f>
        <v>Anisha Kumari Meharda</v>
      </c>
      <c r="C1181" s="13">
        <f>[2]S1!C1182</f>
        <v>700</v>
      </c>
      <c r="D1181" s="13">
        <f>[2]S1!D1182</f>
        <v>109</v>
      </c>
      <c r="E1181" s="26">
        <f>[2]S1!E1182</f>
        <v>1000</v>
      </c>
      <c r="F1181" s="26">
        <f>[2]S1!F1182</f>
        <v>78</v>
      </c>
      <c r="G1181" s="22">
        <f>[2]S1!G1182</f>
        <v>3500</v>
      </c>
      <c r="H1181" s="22">
        <f>[2]S1!H1182</f>
        <v>406</v>
      </c>
      <c r="I1181" s="22">
        <f>[2]S1!I1182</f>
        <v>2000</v>
      </c>
      <c r="J1181" s="13">
        <f>[2]S1!J1182</f>
        <v>0</v>
      </c>
      <c r="K1181" s="19">
        <f>[2]S1!K1182</f>
        <v>6984</v>
      </c>
      <c r="L1181" s="52">
        <f>[2]S1!L1182</f>
        <v>50000</v>
      </c>
      <c r="M1181" s="58">
        <f>[2]S1!M1182</f>
        <v>5</v>
      </c>
      <c r="N1181" s="49">
        <f>[2]S1!P1182</f>
        <v>9829622211</v>
      </c>
    </row>
    <row r="1182" spans="1:14" x14ac:dyDescent="0.3">
      <c r="A1182" s="11">
        <v>4229</v>
      </c>
      <c r="B1182" s="12" t="str">
        <f>[3]Name!E3233</f>
        <v>Gyarsi Devi Meharda</v>
      </c>
      <c r="C1182" s="13">
        <f>[2]S1!C1183</f>
        <v>700</v>
      </c>
      <c r="D1182" s="13">
        <f>[2]S1!D1183</f>
        <v>109</v>
      </c>
      <c r="E1182" s="26">
        <f>[2]S1!E1183</f>
        <v>1000</v>
      </c>
      <c r="F1182" s="26">
        <f>[2]S1!F1183</f>
        <v>78</v>
      </c>
      <c r="G1182" s="22">
        <f>[2]S1!G1183</f>
        <v>3500</v>
      </c>
      <c r="H1182" s="22">
        <f>[2]S1!H1183</f>
        <v>406</v>
      </c>
      <c r="I1182" s="22">
        <f>[2]S1!I1183</f>
        <v>2000</v>
      </c>
      <c r="J1182" s="13">
        <f>[2]S1!J1183</f>
        <v>0</v>
      </c>
      <c r="K1182" s="19">
        <f>[2]S1!K1183</f>
        <v>6984</v>
      </c>
      <c r="L1182" s="52">
        <f>[2]S1!L1183</f>
        <v>50000</v>
      </c>
      <c r="M1182" s="58">
        <f>[2]S1!M1183</f>
        <v>5</v>
      </c>
      <c r="N1182" s="49">
        <f>[2]S1!P1183</f>
        <v>9829622211</v>
      </c>
    </row>
    <row r="1183" spans="1:14" x14ac:dyDescent="0.3">
      <c r="A1183" s="11">
        <v>4230</v>
      </c>
      <c r="B1183" s="12" t="str">
        <f>[3]Name!E3234</f>
        <v>Mamata devi Meharda</v>
      </c>
      <c r="C1183" s="13">
        <f>[2]S1!C1184</f>
        <v>700</v>
      </c>
      <c r="D1183" s="13">
        <f>[2]S1!D1184</f>
        <v>109</v>
      </c>
      <c r="E1183" s="26">
        <f>[2]S1!E1184</f>
        <v>1000</v>
      </c>
      <c r="F1183" s="26">
        <f>[2]S1!F1184</f>
        <v>78</v>
      </c>
      <c r="G1183" s="22">
        <f>[2]S1!G1184</f>
        <v>3500</v>
      </c>
      <c r="H1183" s="22">
        <f>[2]S1!H1184</f>
        <v>406</v>
      </c>
      <c r="I1183" s="22">
        <f>[2]S1!I1184</f>
        <v>2000</v>
      </c>
      <c r="J1183" s="13">
        <f>[2]S1!J1184</f>
        <v>0</v>
      </c>
      <c r="K1183" s="19">
        <f>[2]S1!K1184</f>
        <v>6984</v>
      </c>
      <c r="L1183" s="52">
        <f>[2]S1!L1184</f>
        <v>50000</v>
      </c>
      <c r="M1183" s="58">
        <f>[2]S1!M1184</f>
        <v>5</v>
      </c>
      <c r="N1183" s="49">
        <f>[2]S1!P1184</f>
        <v>9829622211</v>
      </c>
    </row>
    <row r="1184" spans="1:14" x14ac:dyDescent="0.3">
      <c r="A1184" s="11">
        <v>4231</v>
      </c>
      <c r="B1184" s="12" t="str">
        <f>[3]Name!E3235</f>
        <v>Ramesh Kumar Meharda</v>
      </c>
      <c r="C1184" s="13">
        <f>[2]S1!C1185</f>
        <v>700</v>
      </c>
      <c r="D1184" s="13">
        <f>[2]S1!D1185</f>
        <v>109</v>
      </c>
      <c r="E1184" s="26">
        <f>[2]S1!E1185</f>
        <v>1000</v>
      </c>
      <c r="F1184" s="26">
        <f>[2]S1!F1185</f>
        <v>78</v>
      </c>
      <c r="G1184" s="22">
        <f>[2]S1!G1185</f>
        <v>3500</v>
      </c>
      <c r="H1184" s="22">
        <f>[2]S1!H1185</f>
        <v>406</v>
      </c>
      <c r="I1184" s="22">
        <f>[2]S1!I1185</f>
        <v>2000</v>
      </c>
      <c r="J1184" s="13">
        <f>[2]S1!J1185</f>
        <v>0</v>
      </c>
      <c r="K1184" s="19">
        <f>[2]S1!K1185</f>
        <v>6984</v>
      </c>
      <c r="L1184" s="52">
        <f>[2]S1!L1185</f>
        <v>50000</v>
      </c>
      <c r="M1184" s="58">
        <f>[2]S1!M1185</f>
        <v>5</v>
      </c>
      <c r="N1184" s="49">
        <f>[2]S1!P1185</f>
        <v>9829622211</v>
      </c>
    </row>
    <row r="1185" spans="1:14" x14ac:dyDescent="0.3">
      <c r="A1185" s="11">
        <v>4232</v>
      </c>
      <c r="B1185" s="12" t="str">
        <f>[3]Name!E3236</f>
        <v>Aman Kumar Meharda</v>
      </c>
      <c r="C1185" s="13">
        <f>[2]S1!C1186</f>
        <v>700</v>
      </c>
      <c r="D1185" s="13">
        <f>[2]S1!D1186</f>
        <v>109</v>
      </c>
      <c r="E1185" s="26">
        <f>[2]S1!E1186</f>
        <v>1000</v>
      </c>
      <c r="F1185" s="26">
        <f>[2]S1!F1186</f>
        <v>78</v>
      </c>
      <c r="G1185" s="22">
        <f>[2]S1!G1186</f>
        <v>3500</v>
      </c>
      <c r="H1185" s="22">
        <f>[2]S1!H1186</f>
        <v>406</v>
      </c>
      <c r="I1185" s="22">
        <f>[2]S1!I1186</f>
        <v>2000</v>
      </c>
      <c r="J1185" s="13">
        <f>[2]S1!J1186</f>
        <v>0</v>
      </c>
      <c r="K1185" s="19">
        <f>[2]S1!K1186</f>
        <v>6984</v>
      </c>
      <c r="L1185" s="52">
        <f>[2]S1!L1186</f>
        <v>50000</v>
      </c>
      <c r="M1185" s="58">
        <f>[2]S1!M1186</f>
        <v>5</v>
      </c>
      <c r="N1185" s="49">
        <f>[2]S1!P1186</f>
        <v>9829622211</v>
      </c>
    </row>
    <row r="1186" spans="1:14" x14ac:dyDescent="0.3">
      <c r="A1186" s="11">
        <v>4233</v>
      </c>
      <c r="B1186" s="12" t="str">
        <f>[3]Name!E3237</f>
        <v>Anupriya Kumari Meharda</v>
      </c>
      <c r="C1186" s="13">
        <f>[2]S1!C1187</f>
        <v>700</v>
      </c>
      <c r="D1186" s="13">
        <f>[2]S1!D1187</f>
        <v>109</v>
      </c>
      <c r="E1186" s="26">
        <f>[2]S1!E1187</f>
        <v>1000</v>
      </c>
      <c r="F1186" s="26">
        <f>[2]S1!F1187</f>
        <v>78</v>
      </c>
      <c r="G1186" s="22">
        <f>[2]S1!G1187</f>
        <v>3500</v>
      </c>
      <c r="H1186" s="22">
        <f>[2]S1!H1187</f>
        <v>406</v>
      </c>
      <c r="I1186" s="22">
        <f>[2]S1!I1187</f>
        <v>2000</v>
      </c>
      <c r="J1186" s="13">
        <f>[2]S1!J1187</f>
        <v>0</v>
      </c>
      <c r="K1186" s="19">
        <f>[2]S1!K1187</f>
        <v>6984</v>
      </c>
      <c r="L1186" s="52">
        <f>[2]S1!L1187</f>
        <v>50000</v>
      </c>
      <c r="M1186" s="58">
        <f>[2]S1!M1187</f>
        <v>5</v>
      </c>
      <c r="N1186" s="49">
        <f>[2]S1!P1187</f>
        <v>9829622211</v>
      </c>
    </row>
    <row r="1187" spans="1:14" x14ac:dyDescent="0.3">
      <c r="A1187" s="11">
        <v>4234</v>
      </c>
      <c r="B1187" s="12" t="str">
        <f>[3]Name!E3238</f>
        <v>Kanhaiya Lal Gotwal</v>
      </c>
      <c r="C1187" s="13">
        <f>[2]S1!C1188</f>
        <v>0</v>
      </c>
      <c r="D1187" s="13">
        <f>[2]S1!D1188</f>
        <v>0</v>
      </c>
      <c r="E1187" s="26">
        <f>[2]S1!E1188</f>
        <v>200</v>
      </c>
      <c r="F1187" s="26">
        <f>[2]S1!F1188</f>
        <v>0</v>
      </c>
      <c r="G1187" s="22">
        <f>[2]S1!G1188</f>
        <v>0</v>
      </c>
      <c r="H1187" s="22">
        <f>[2]S1!H1188</f>
        <v>0</v>
      </c>
      <c r="I1187" s="22">
        <f>[2]S1!I1188</f>
        <v>0</v>
      </c>
      <c r="J1187" s="13">
        <f>[2]S1!J1188</f>
        <v>0</v>
      </c>
      <c r="K1187" s="19">
        <f>[2]S1!K1188</f>
        <v>200</v>
      </c>
      <c r="L1187" s="52">
        <f>[2]S1!L1188</f>
        <v>0</v>
      </c>
      <c r="M1187" s="58">
        <f>[2]S1!M1188</f>
        <v>0</v>
      </c>
      <c r="N1187" s="49">
        <f>[2]S1!P1188</f>
        <v>9929758899</v>
      </c>
    </row>
    <row r="1188" spans="1:14" x14ac:dyDescent="0.3">
      <c r="A1188" s="11">
        <v>4235</v>
      </c>
      <c r="B1188" s="12" t="str">
        <f>[3]Name!E3239</f>
        <v>Bansi lal Gotwal</v>
      </c>
      <c r="C1188" s="13">
        <f>[2]S1!C1189</f>
        <v>0</v>
      </c>
      <c r="D1188" s="13">
        <f>[2]S1!D1189</f>
        <v>0</v>
      </c>
      <c r="E1188" s="26">
        <f>[2]S1!E1189</f>
        <v>200</v>
      </c>
      <c r="F1188" s="26">
        <f>[2]S1!F1189</f>
        <v>0</v>
      </c>
      <c r="G1188" s="22">
        <f>[2]S1!G1189</f>
        <v>0</v>
      </c>
      <c r="H1188" s="22">
        <f>[2]S1!H1189</f>
        <v>0</v>
      </c>
      <c r="I1188" s="22">
        <f>[2]S1!I1189</f>
        <v>0</v>
      </c>
      <c r="J1188" s="13">
        <f>[2]S1!J1189</f>
        <v>0</v>
      </c>
      <c r="K1188" s="19">
        <f>[2]S1!K1189</f>
        <v>200</v>
      </c>
      <c r="L1188" s="52">
        <f>[2]S1!L1189</f>
        <v>0</v>
      </c>
      <c r="M1188" s="58">
        <f>[2]S1!M1189</f>
        <v>0</v>
      </c>
      <c r="N1188" s="49">
        <f>[2]S1!P1189</f>
        <v>8233531951</v>
      </c>
    </row>
    <row r="1189" spans="1:14" x14ac:dyDescent="0.3">
      <c r="A1189" s="11">
        <v>4236</v>
      </c>
      <c r="B1189" s="12" t="str">
        <f>[3]Name!E3240</f>
        <v>Nirmala Devi Gotwal</v>
      </c>
      <c r="C1189" s="13">
        <f>[2]S1!C1190</f>
        <v>0</v>
      </c>
      <c r="D1189" s="13">
        <f>[2]S1!D1190</f>
        <v>0</v>
      </c>
      <c r="E1189" s="26">
        <f>[2]S1!E1190</f>
        <v>200</v>
      </c>
      <c r="F1189" s="26">
        <f>[2]S1!F1190</f>
        <v>0</v>
      </c>
      <c r="G1189" s="22">
        <f>[2]S1!G1190</f>
        <v>0</v>
      </c>
      <c r="H1189" s="22">
        <f>[2]S1!H1190</f>
        <v>0</v>
      </c>
      <c r="I1189" s="22">
        <f>[2]S1!I1190</f>
        <v>0</v>
      </c>
      <c r="J1189" s="13">
        <f>[2]S1!J1190</f>
        <v>0</v>
      </c>
      <c r="K1189" s="19">
        <f>[2]S1!K1190</f>
        <v>200</v>
      </c>
      <c r="L1189" s="52">
        <f>[2]S1!L1190</f>
        <v>0</v>
      </c>
      <c r="M1189" s="58">
        <f>[2]S1!M1190</f>
        <v>0</v>
      </c>
      <c r="N1189" s="49">
        <f>[2]S1!P1190</f>
        <v>8233531951</v>
      </c>
    </row>
    <row r="1190" spans="1:14" x14ac:dyDescent="0.3">
      <c r="A1190" s="11">
        <v>4237</v>
      </c>
      <c r="B1190" s="12" t="str">
        <f>[3]Name!E3241</f>
        <v>Komal Kumari Gotwal</v>
      </c>
      <c r="C1190" s="13">
        <f>[2]S1!C1191</f>
        <v>0</v>
      </c>
      <c r="D1190" s="13">
        <f>[2]S1!D1191</f>
        <v>0</v>
      </c>
      <c r="E1190" s="26">
        <f>[2]S1!E1191</f>
        <v>200</v>
      </c>
      <c r="F1190" s="26">
        <f>[2]S1!F1191</f>
        <v>0</v>
      </c>
      <c r="G1190" s="22">
        <f>[2]S1!G1191</f>
        <v>0</v>
      </c>
      <c r="H1190" s="22">
        <f>[2]S1!H1191</f>
        <v>0</v>
      </c>
      <c r="I1190" s="22">
        <f>[2]S1!I1191</f>
        <v>0</v>
      </c>
      <c r="J1190" s="13">
        <f>[2]S1!J1191</f>
        <v>0</v>
      </c>
      <c r="K1190" s="19">
        <f>[2]S1!K1191</f>
        <v>200</v>
      </c>
      <c r="L1190" s="52">
        <f>[2]S1!L1191</f>
        <v>0</v>
      </c>
      <c r="M1190" s="58">
        <f>[2]S1!M1191</f>
        <v>0</v>
      </c>
      <c r="N1190" s="49">
        <f>[2]S1!P1191</f>
        <v>8233531951</v>
      </c>
    </row>
    <row r="1191" spans="1:14" x14ac:dyDescent="0.3">
      <c r="A1191" s="11">
        <v>4238</v>
      </c>
      <c r="B1191" s="12" t="str">
        <f>[3]Name!E3242</f>
        <v>Prem Chand Gotwal</v>
      </c>
      <c r="C1191" s="13">
        <f>[2]S1!C1192</f>
        <v>0</v>
      </c>
      <c r="D1191" s="13">
        <f>[2]S1!D1192</f>
        <v>0</v>
      </c>
      <c r="E1191" s="26">
        <f>[2]S1!E1192</f>
        <v>200</v>
      </c>
      <c r="F1191" s="26">
        <f>[2]S1!F1192</f>
        <v>0</v>
      </c>
      <c r="G1191" s="22">
        <f>[2]S1!G1192</f>
        <v>0</v>
      </c>
      <c r="H1191" s="22">
        <f>[2]S1!H1192</f>
        <v>0</v>
      </c>
      <c r="I1191" s="22">
        <f>[2]S1!I1192</f>
        <v>0</v>
      </c>
      <c r="J1191" s="13">
        <f>[2]S1!J1192</f>
        <v>0</v>
      </c>
      <c r="K1191" s="19">
        <f>[2]S1!K1192</f>
        <v>200</v>
      </c>
      <c r="L1191" s="52">
        <f>[2]S1!L1192</f>
        <v>0</v>
      </c>
      <c r="M1191" s="58">
        <f>[2]S1!M1192</f>
        <v>0</v>
      </c>
      <c r="N1191" s="49">
        <f>[2]S1!P1192</f>
        <v>8233531951</v>
      </c>
    </row>
    <row r="1192" spans="1:14" x14ac:dyDescent="0.3">
      <c r="A1192" s="11">
        <v>4239</v>
      </c>
      <c r="B1192" s="12" t="str">
        <f>[3]Name!E3243</f>
        <v>Ram Prasad Gotwal</v>
      </c>
      <c r="C1192" s="13">
        <f>[2]S1!C1193</f>
        <v>0</v>
      </c>
      <c r="D1192" s="13">
        <f>[2]S1!D1193</f>
        <v>0</v>
      </c>
      <c r="E1192" s="26">
        <f>[2]S1!E1193</f>
        <v>200</v>
      </c>
      <c r="F1192" s="26">
        <f>[2]S1!F1193</f>
        <v>0</v>
      </c>
      <c r="G1192" s="22">
        <f>[2]S1!G1193</f>
        <v>0</v>
      </c>
      <c r="H1192" s="22">
        <f>[2]S1!H1193</f>
        <v>0</v>
      </c>
      <c r="I1192" s="22">
        <f>[2]S1!I1193</f>
        <v>0</v>
      </c>
      <c r="J1192" s="13">
        <f>[2]S1!J1193</f>
        <v>0</v>
      </c>
      <c r="K1192" s="19">
        <f>[2]S1!K1193</f>
        <v>200</v>
      </c>
      <c r="L1192" s="52">
        <f>[2]S1!L1193</f>
        <v>0</v>
      </c>
      <c r="M1192" s="58">
        <f>[2]S1!M1193</f>
        <v>0</v>
      </c>
      <c r="N1192" s="49">
        <f>[2]S1!P1193</f>
        <v>7742515326</v>
      </c>
    </row>
    <row r="1193" spans="1:14" x14ac:dyDescent="0.3">
      <c r="A1193" s="11">
        <v>4240</v>
      </c>
      <c r="B1193" s="12" t="str">
        <f>[3]Name!E3244</f>
        <v>Puja Devi Gotwal</v>
      </c>
      <c r="C1193" s="13">
        <f>[2]S1!C1194</f>
        <v>0</v>
      </c>
      <c r="D1193" s="13">
        <f>[2]S1!D1194</f>
        <v>0</v>
      </c>
      <c r="E1193" s="26">
        <f>[2]S1!E1194</f>
        <v>200</v>
      </c>
      <c r="F1193" s="26">
        <f>[2]S1!F1194</f>
        <v>0</v>
      </c>
      <c r="G1193" s="22">
        <f>[2]S1!G1194</f>
        <v>0</v>
      </c>
      <c r="H1193" s="22">
        <f>[2]S1!H1194</f>
        <v>0</v>
      </c>
      <c r="I1193" s="22">
        <f>[2]S1!I1194</f>
        <v>0</v>
      </c>
      <c r="J1193" s="13">
        <f>[2]S1!J1194</f>
        <v>0</v>
      </c>
      <c r="K1193" s="19">
        <f>[2]S1!K1194</f>
        <v>200</v>
      </c>
      <c r="L1193" s="52">
        <f>[2]S1!L1194</f>
        <v>0</v>
      </c>
      <c r="M1193" s="58">
        <f>[2]S1!M1194</f>
        <v>0</v>
      </c>
      <c r="N1193" s="49">
        <f>[2]S1!P1194</f>
        <v>7742515326</v>
      </c>
    </row>
    <row r="1194" spans="1:14" x14ac:dyDescent="0.3">
      <c r="A1194" s="11">
        <v>4241</v>
      </c>
      <c r="B1194" s="12" t="str">
        <f>[3]Name!E3245</f>
        <v>Raja Devi Gotwal</v>
      </c>
      <c r="C1194" s="13">
        <f>[2]S1!C1195</f>
        <v>0</v>
      </c>
      <c r="D1194" s="13">
        <f>[2]S1!D1195</f>
        <v>0</v>
      </c>
      <c r="E1194" s="26">
        <f>[2]S1!E1195</f>
        <v>200</v>
      </c>
      <c r="F1194" s="26">
        <f>[2]S1!F1195</f>
        <v>0</v>
      </c>
      <c r="G1194" s="22">
        <f>[2]S1!G1195</f>
        <v>0</v>
      </c>
      <c r="H1194" s="22">
        <f>[2]S1!H1195</f>
        <v>0</v>
      </c>
      <c r="I1194" s="22">
        <f>[2]S1!I1195</f>
        <v>0</v>
      </c>
      <c r="J1194" s="13">
        <f>[2]S1!J1195</f>
        <v>0</v>
      </c>
      <c r="K1194" s="19">
        <f>[2]S1!K1195</f>
        <v>200</v>
      </c>
      <c r="L1194" s="52">
        <f>[2]S1!L1195</f>
        <v>0</v>
      </c>
      <c r="M1194" s="58">
        <f>[2]S1!M1195</f>
        <v>0</v>
      </c>
      <c r="N1194" s="49">
        <f>[2]S1!P1195</f>
        <v>7742515326</v>
      </c>
    </row>
    <row r="1195" spans="1:14" x14ac:dyDescent="0.3">
      <c r="A1195" s="11">
        <v>4242</v>
      </c>
      <c r="B1195" s="12" t="str">
        <f>[3]Name!E3246</f>
        <v>Mahir kumar Gotwal</v>
      </c>
      <c r="C1195" s="13">
        <f>[2]S1!C1196</f>
        <v>0</v>
      </c>
      <c r="D1195" s="13">
        <f>[2]S1!D1196</f>
        <v>0</v>
      </c>
      <c r="E1195" s="26">
        <f>[2]S1!E1196</f>
        <v>200</v>
      </c>
      <c r="F1195" s="26">
        <f>[2]S1!F1196</f>
        <v>0</v>
      </c>
      <c r="G1195" s="22">
        <f>[2]S1!G1196</f>
        <v>0</v>
      </c>
      <c r="H1195" s="22">
        <f>[2]S1!H1196</f>
        <v>0</v>
      </c>
      <c r="I1195" s="22">
        <f>[2]S1!I1196</f>
        <v>0</v>
      </c>
      <c r="J1195" s="13">
        <f>[2]S1!J1196</f>
        <v>0</v>
      </c>
      <c r="K1195" s="19">
        <f>[2]S1!K1196</f>
        <v>200</v>
      </c>
      <c r="L1195" s="52">
        <f>[2]S1!L1196</f>
        <v>0</v>
      </c>
      <c r="M1195" s="58">
        <f>[2]S1!M1196</f>
        <v>0</v>
      </c>
      <c r="N1195" s="49">
        <f>[2]S1!P1196</f>
        <v>7742515326</v>
      </c>
    </row>
    <row r="1196" spans="1:14" x14ac:dyDescent="0.3">
      <c r="A1196" s="11">
        <v>4243</v>
      </c>
      <c r="B1196" s="12" t="str">
        <f>[3]Name!E3247</f>
        <v>Bina Kumari Lohiya</v>
      </c>
      <c r="C1196" s="13">
        <f>[2]S1!C1197</f>
        <v>500</v>
      </c>
      <c r="D1196" s="13">
        <f>[2]S1!D1197</f>
        <v>0</v>
      </c>
      <c r="E1196" s="26">
        <f>[2]S1!E1197</f>
        <v>200</v>
      </c>
      <c r="F1196" s="26">
        <f>[2]S1!F1197</f>
        <v>0</v>
      </c>
      <c r="G1196" s="22">
        <f>[2]S1!G1197</f>
        <v>412</v>
      </c>
      <c r="H1196" s="22">
        <f>[2]S1!H1197</f>
        <v>0</v>
      </c>
      <c r="I1196" s="22">
        <f>[2]S1!I1197</f>
        <v>189</v>
      </c>
      <c r="J1196" s="13">
        <f>[2]S1!J1197</f>
        <v>0</v>
      </c>
      <c r="K1196" s="19">
        <f>[2]S1!K1197</f>
        <v>801</v>
      </c>
      <c r="L1196" s="52">
        <f>[2]S1!L1197</f>
        <v>18912</v>
      </c>
      <c r="M1196" s="58">
        <f>[2]S1!M1197</f>
        <v>3</v>
      </c>
      <c r="N1196" s="49">
        <f>[2]S1!P1197</f>
        <v>9782865220</v>
      </c>
    </row>
    <row r="1197" spans="1:14" x14ac:dyDescent="0.3">
      <c r="A1197" s="11">
        <v>4244</v>
      </c>
      <c r="B1197" s="12" t="str">
        <f>[3]Name!E3248</f>
        <v>Rahul Lohiya</v>
      </c>
      <c r="C1197" s="13">
        <f>[2]S1!C1198</f>
        <v>0</v>
      </c>
      <c r="D1197" s="13">
        <f>[2]S1!D1198</f>
        <v>0</v>
      </c>
      <c r="E1197" s="26">
        <f>[2]S1!E1198</f>
        <v>200</v>
      </c>
      <c r="F1197" s="26">
        <f>[2]S1!F1198</f>
        <v>0</v>
      </c>
      <c r="G1197" s="22">
        <f>[2]S1!G1198</f>
        <v>0</v>
      </c>
      <c r="H1197" s="22">
        <f>[2]S1!H1198</f>
        <v>0</v>
      </c>
      <c r="I1197" s="22">
        <f>[2]S1!I1198</f>
        <v>0</v>
      </c>
      <c r="J1197" s="13">
        <f>[2]S1!J1198</f>
        <v>0</v>
      </c>
      <c r="K1197" s="19">
        <f>[2]S1!K1198</f>
        <v>200</v>
      </c>
      <c r="L1197" s="52">
        <f>[2]S1!L1198</f>
        <v>0</v>
      </c>
      <c r="M1197" s="58">
        <f>[2]S1!M1198</f>
        <v>0</v>
      </c>
      <c r="N1197" s="49">
        <f>[2]S1!P1198</f>
        <v>9782865220</v>
      </c>
    </row>
    <row r="1198" spans="1:14" x14ac:dyDescent="0.3">
      <c r="A1198" s="11">
        <v>4245</v>
      </c>
      <c r="B1198" s="12" t="str">
        <f>[3]Name!E3249</f>
        <v>Chirnji Lal Sunya</v>
      </c>
      <c r="C1198" s="13">
        <f>[2]S1!C1199</f>
        <v>3400</v>
      </c>
      <c r="D1198" s="13">
        <f>[2]S1!D1199</f>
        <v>0</v>
      </c>
      <c r="E1198" s="26">
        <f>[2]S1!E1199</f>
        <v>200</v>
      </c>
      <c r="F1198" s="26">
        <f>[2]S1!F1199</f>
        <v>0</v>
      </c>
      <c r="G1198" s="22">
        <f>[2]S1!G1199</f>
        <v>0</v>
      </c>
      <c r="H1198" s="22">
        <f>[2]S1!H1199</f>
        <v>0</v>
      </c>
      <c r="I1198" s="22">
        <f>[2]S1!I1199</f>
        <v>0</v>
      </c>
      <c r="J1198" s="13">
        <f>[2]S1!J1199</f>
        <v>0</v>
      </c>
      <c r="K1198" s="19">
        <f>[2]S1!K1199</f>
        <v>200</v>
      </c>
      <c r="L1198" s="52">
        <f>[2]S1!L1199</f>
        <v>0</v>
      </c>
      <c r="M1198" s="58">
        <f>[2]S1!M1199</f>
        <v>0</v>
      </c>
      <c r="N1198" s="49">
        <f>[2]S1!P1199</f>
        <v>9828702457</v>
      </c>
    </row>
    <row r="1199" spans="1:14" x14ac:dyDescent="0.3">
      <c r="A1199" s="11">
        <v>4246</v>
      </c>
      <c r="B1199" s="12" t="str">
        <f>[3]Name!E3250</f>
        <v>Kamala Devi suniya</v>
      </c>
      <c r="C1199" s="13">
        <f>[2]S1!C1200</f>
        <v>4500</v>
      </c>
      <c r="D1199" s="13">
        <f>[2]S1!D1200</f>
        <v>0</v>
      </c>
      <c r="E1199" s="26">
        <f>[2]S1!E1200</f>
        <v>200</v>
      </c>
      <c r="F1199" s="26">
        <f>[2]S1!F1200</f>
        <v>0</v>
      </c>
      <c r="G1199" s="22">
        <f>[2]S1!G1200</f>
        <v>0</v>
      </c>
      <c r="H1199" s="22">
        <f>[2]S1!H1200</f>
        <v>0</v>
      </c>
      <c r="I1199" s="22">
        <f>[2]S1!I1200</f>
        <v>0</v>
      </c>
      <c r="J1199" s="13">
        <f>[2]S1!J1200</f>
        <v>0</v>
      </c>
      <c r="K1199" s="19">
        <f>[2]S1!K1200</f>
        <v>200</v>
      </c>
      <c r="L1199" s="52">
        <f>[2]S1!L1200</f>
        <v>0</v>
      </c>
      <c r="M1199" s="58">
        <f>[2]S1!M1200</f>
        <v>0</v>
      </c>
      <c r="N1199" s="49">
        <f>[2]S1!P1200</f>
        <v>9828702457</v>
      </c>
    </row>
    <row r="1200" spans="1:14" x14ac:dyDescent="0.3">
      <c r="A1200" s="11">
        <v>4247</v>
      </c>
      <c r="B1200" s="12" t="str">
        <f>[3]Name!E3251</f>
        <v>Mahendr Kumar Suniya</v>
      </c>
      <c r="C1200" s="13">
        <f>[2]S1!C1201</f>
        <v>4500</v>
      </c>
      <c r="D1200" s="13">
        <f>[2]S1!D1201</f>
        <v>0</v>
      </c>
      <c r="E1200" s="26">
        <f>[2]S1!E1201</f>
        <v>200</v>
      </c>
      <c r="F1200" s="26">
        <f>[2]S1!F1201</f>
        <v>0</v>
      </c>
      <c r="G1200" s="22">
        <f>[2]S1!G1201</f>
        <v>0</v>
      </c>
      <c r="H1200" s="22">
        <f>[2]S1!H1201</f>
        <v>0</v>
      </c>
      <c r="I1200" s="22">
        <f>[2]S1!I1201</f>
        <v>0</v>
      </c>
      <c r="J1200" s="13">
        <f>[2]S1!J1201</f>
        <v>0</v>
      </c>
      <c r="K1200" s="19">
        <f>[2]S1!K1201</f>
        <v>200</v>
      </c>
      <c r="L1200" s="52">
        <f>[2]S1!L1201</f>
        <v>0</v>
      </c>
      <c r="M1200" s="58">
        <f>[2]S1!M1201</f>
        <v>0</v>
      </c>
      <c r="N1200" s="49">
        <f>[2]S1!P1201</f>
        <v>9828702457</v>
      </c>
    </row>
    <row r="1201" spans="1:14" x14ac:dyDescent="0.3">
      <c r="A1201" s="11">
        <v>4248</v>
      </c>
      <c r="B1201" s="12" t="str">
        <f>[3]Name!E3252</f>
        <v>Ramji Lal Jhatival</v>
      </c>
      <c r="C1201" s="13">
        <f>[2]S1!C1202</f>
        <v>1000</v>
      </c>
      <c r="D1201" s="13">
        <f>[2]S1!D1202</f>
        <v>0</v>
      </c>
      <c r="E1201" s="26">
        <f>[2]S1!E1202</f>
        <v>200</v>
      </c>
      <c r="F1201" s="26">
        <f>[2]S1!F1202</f>
        <v>0</v>
      </c>
      <c r="G1201" s="22">
        <f>[2]S1!G1202</f>
        <v>1000</v>
      </c>
      <c r="H1201" s="22">
        <f>[2]S1!H1202</f>
        <v>0</v>
      </c>
      <c r="I1201" s="22">
        <f>[2]S1!I1202</f>
        <v>180</v>
      </c>
      <c r="J1201" s="13">
        <f>[2]S1!J1202</f>
        <v>0</v>
      </c>
      <c r="K1201" s="19">
        <f>[2]S1!K1202</f>
        <v>1380</v>
      </c>
      <c r="L1201" s="52">
        <f>[2]S1!L1202</f>
        <v>18000</v>
      </c>
      <c r="M1201" s="58">
        <f>[2]S1!M1202</f>
        <v>3</v>
      </c>
      <c r="N1201" s="49">
        <f>[2]S1!P1202</f>
        <v>8005850367</v>
      </c>
    </row>
    <row r="1202" spans="1:14" x14ac:dyDescent="0.3">
      <c r="A1202" s="11">
        <v>4249</v>
      </c>
      <c r="B1202" s="12" t="str">
        <f>[3]Name!E3253</f>
        <v>Sunita Devi Jhatival</v>
      </c>
      <c r="C1202" s="13">
        <f>[2]S1!C1203</f>
        <v>1000</v>
      </c>
      <c r="D1202" s="13">
        <f>[2]S1!D1203</f>
        <v>0</v>
      </c>
      <c r="E1202" s="26">
        <f>[2]S1!E1203</f>
        <v>200</v>
      </c>
      <c r="F1202" s="26">
        <f>[2]S1!F1203</f>
        <v>0</v>
      </c>
      <c r="G1202" s="22">
        <f>[2]S1!G1203</f>
        <v>1000</v>
      </c>
      <c r="H1202" s="22">
        <f>[2]S1!H1203</f>
        <v>0</v>
      </c>
      <c r="I1202" s="22">
        <f>[2]S1!I1203</f>
        <v>180</v>
      </c>
      <c r="J1202" s="13">
        <f>[2]S1!J1203</f>
        <v>0</v>
      </c>
      <c r="K1202" s="19">
        <f>[2]S1!K1203</f>
        <v>1380</v>
      </c>
      <c r="L1202" s="52">
        <f>[2]S1!L1203</f>
        <v>18000</v>
      </c>
      <c r="M1202" s="58">
        <f>[2]S1!M1203</f>
        <v>3</v>
      </c>
      <c r="N1202" s="49">
        <f>[2]S1!P1203</f>
        <v>8005850367</v>
      </c>
    </row>
    <row r="1203" spans="1:14" x14ac:dyDescent="0.3">
      <c r="A1203" s="11">
        <v>4250</v>
      </c>
      <c r="B1203" s="12" t="str">
        <f>[3]Name!E3254</f>
        <v>Vansika Kumari Jhatival</v>
      </c>
      <c r="C1203" s="13">
        <f>[2]S1!C1204</f>
        <v>1000</v>
      </c>
      <c r="D1203" s="13">
        <f>[2]S1!D1204</f>
        <v>0</v>
      </c>
      <c r="E1203" s="26">
        <f>[2]S1!E1204</f>
        <v>200</v>
      </c>
      <c r="F1203" s="26">
        <f>[2]S1!F1204</f>
        <v>0</v>
      </c>
      <c r="G1203" s="22">
        <f>[2]S1!G1204</f>
        <v>1000</v>
      </c>
      <c r="H1203" s="22">
        <f>[2]S1!H1204</f>
        <v>0</v>
      </c>
      <c r="I1203" s="22">
        <f>[2]S1!I1204</f>
        <v>180</v>
      </c>
      <c r="J1203" s="13">
        <f>[2]S1!J1204</f>
        <v>0</v>
      </c>
      <c r="K1203" s="19">
        <f>[2]S1!K1204</f>
        <v>1380</v>
      </c>
      <c r="L1203" s="52">
        <f>[2]S1!L1204</f>
        <v>18000</v>
      </c>
      <c r="M1203" s="58">
        <f>[2]S1!M1204</f>
        <v>3</v>
      </c>
      <c r="N1203" s="49">
        <f>[2]S1!P1204</f>
        <v>8005850367</v>
      </c>
    </row>
    <row r="1204" spans="1:14" x14ac:dyDescent="0.3">
      <c r="A1204" s="11">
        <v>4251</v>
      </c>
      <c r="B1204" s="12" t="str">
        <f>[3]Name!E3255</f>
        <v>Om Prakash Padiyar</v>
      </c>
      <c r="C1204" s="13">
        <f>[2]S1!C1205</f>
        <v>4500</v>
      </c>
      <c r="D1204" s="13">
        <f>[2]S1!D1205</f>
        <v>0</v>
      </c>
      <c r="E1204" s="26">
        <f>[2]S1!E1205</f>
        <v>200</v>
      </c>
      <c r="F1204" s="26">
        <f>[2]S1!F1205</f>
        <v>0</v>
      </c>
      <c r="G1204" s="22">
        <f>[2]S1!G1205</f>
        <v>0</v>
      </c>
      <c r="H1204" s="22">
        <f>[2]S1!H1205</f>
        <v>0</v>
      </c>
      <c r="I1204" s="22">
        <f>[2]S1!I1205</f>
        <v>40</v>
      </c>
      <c r="J1204" s="13">
        <f>[2]S1!J1205</f>
        <v>0</v>
      </c>
      <c r="K1204" s="19">
        <f>[2]S1!K1205</f>
        <v>240</v>
      </c>
      <c r="L1204" s="52">
        <f>[2]S1!L1205</f>
        <v>3953</v>
      </c>
      <c r="M1204" s="58">
        <f>[2]S1!M1205</f>
        <v>5</v>
      </c>
      <c r="N1204" s="49">
        <f>[2]S1!P1205</f>
        <v>7792847541</v>
      </c>
    </row>
    <row r="1205" spans="1:14" x14ac:dyDescent="0.3">
      <c r="A1205" s="11">
        <v>4252</v>
      </c>
      <c r="B1205" s="12" t="str">
        <f>[3]Name!E3256</f>
        <v>Bilu Devi Padiyar</v>
      </c>
      <c r="C1205" s="13">
        <f>[2]S1!C1206</f>
        <v>4500</v>
      </c>
      <c r="D1205" s="13">
        <f>[2]S1!D1206</f>
        <v>0</v>
      </c>
      <c r="E1205" s="26">
        <f>[2]S1!E1206</f>
        <v>200</v>
      </c>
      <c r="F1205" s="26">
        <f>[2]S1!F1206</f>
        <v>0</v>
      </c>
      <c r="G1205" s="22">
        <f>[2]S1!G1206</f>
        <v>0</v>
      </c>
      <c r="H1205" s="22">
        <f>[2]S1!H1206</f>
        <v>0</v>
      </c>
      <c r="I1205" s="22">
        <f>[2]S1!I1206</f>
        <v>40</v>
      </c>
      <c r="J1205" s="13">
        <f>[2]S1!J1206</f>
        <v>0</v>
      </c>
      <c r="K1205" s="19">
        <f>[2]S1!K1206</f>
        <v>240</v>
      </c>
      <c r="L1205" s="52">
        <f>[2]S1!L1206</f>
        <v>4000</v>
      </c>
      <c r="M1205" s="58">
        <f>[2]S1!M1206</f>
        <v>5</v>
      </c>
      <c r="N1205" s="49">
        <f>[2]S1!P1206</f>
        <v>7792847541</v>
      </c>
    </row>
    <row r="1206" spans="1:14" x14ac:dyDescent="0.3">
      <c r="A1206" s="11">
        <v>4253</v>
      </c>
      <c r="B1206" s="12" t="str">
        <f>[3]Name!E3257</f>
        <v>Sohan Lal Bunkar</v>
      </c>
      <c r="C1206" s="13">
        <f>[2]S1!C1207</f>
        <v>0</v>
      </c>
      <c r="D1206" s="13">
        <f>[2]S1!D1207</f>
        <v>0</v>
      </c>
      <c r="E1206" s="26">
        <f>[2]S1!E1207</f>
        <v>200</v>
      </c>
      <c r="F1206" s="26">
        <f>[2]S1!F1207</f>
        <v>0</v>
      </c>
      <c r="G1206" s="22">
        <f>[2]S1!G1207</f>
        <v>0</v>
      </c>
      <c r="H1206" s="22">
        <f>[2]S1!H1207</f>
        <v>0</v>
      </c>
      <c r="I1206" s="22">
        <f>[2]S1!I1207</f>
        <v>0</v>
      </c>
      <c r="J1206" s="13">
        <f>[2]S1!J1207</f>
        <v>0</v>
      </c>
      <c r="K1206" s="19">
        <f>[2]S1!K1207</f>
        <v>200</v>
      </c>
      <c r="L1206" s="52">
        <f>[2]S1!L1207</f>
        <v>0</v>
      </c>
      <c r="M1206" s="58">
        <f>[2]S1!M1207</f>
        <v>0</v>
      </c>
      <c r="N1206" s="49">
        <f>[2]S1!P1207</f>
        <v>9352230042</v>
      </c>
    </row>
    <row r="1207" spans="1:14" x14ac:dyDescent="0.3">
      <c r="A1207" s="11">
        <v>4254</v>
      </c>
      <c r="B1207" s="12" t="str">
        <f>[3]Name!E3258</f>
        <v>Mangi Devi Bunkar</v>
      </c>
      <c r="C1207" s="13">
        <f>[2]S1!C1208</f>
        <v>4500</v>
      </c>
      <c r="D1207" s="13">
        <f>[2]S1!D1208</f>
        <v>0</v>
      </c>
      <c r="E1207" s="26">
        <f>[2]S1!E1208</f>
        <v>200</v>
      </c>
      <c r="F1207" s="26">
        <f>[2]S1!F1208</f>
        <v>0</v>
      </c>
      <c r="G1207" s="22">
        <f>[2]S1!G1208</f>
        <v>0</v>
      </c>
      <c r="H1207" s="22">
        <f>[2]S1!H1208</f>
        <v>0</v>
      </c>
      <c r="I1207" s="22">
        <f>[2]S1!I1208</f>
        <v>37</v>
      </c>
      <c r="J1207" s="13">
        <f>[2]S1!J1208</f>
        <v>0</v>
      </c>
      <c r="K1207" s="19">
        <f>[2]S1!K1208</f>
        <v>237</v>
      </c>
      <c r="L1207" s="52">
        <f>[2]S1!L1208</f>
        <v>3741</v>
      </c>
      <c r="M1207" s="58">
        <f>[2]S1!M1208</f>
        <v>5</v>
      </c>
      <c r="N1207" s="49">
        <f>[2]S1!P1208</f>
        <v>9352230042</v>
      </c>
    </row>
    <row r="1208" spans="1:14" x14ac:dyDescent="0.3">
      <c r="A1208" s="11">
        <v>4255</v>
      </c>
      <c r="B1208" s="12" t="str">
        <f>[3]Name!E3259</f>
        <v>Savan Kumar Bunkar</v>
      </c>
      <c r="C1208" s="13">
        <f>[2]S1!C1209</f>
        <v>4500</v>
      </c>
      <c r="D1208" s="13">
        <f>[2]S1!D1209</f>
        <v>0</v>
      </c>
      <c r="E1208" s="26">
        <f>[2]S1!E1209</f>
        <v>200</v>
      </c>
      <c r="F1208" s="26">
        <f>[2]S1!F1209</f>
        <v>0</v>
      </c>
      <c r="G1208" s="22">
        <f>[2]S1!G1209</f>
        <v>500</v>
      </c>
      <c r="H1208" s="22">
        <f>[2]S1!H1209</f>
        <v>0</v>
      </c>
      <c r="I1208" s="22">
        <f>[2]S1!I1209</f>
        <v>50</v>
      </c>
      <c r="J1208" s="13">
        <f>[2]S1!J1209</f>
        <v>0</v>
      </c>
      <c r="K1208" s="19">
        <f>[2]S1!K1209</f>
        <v>750</v>
      </c>
      <c r="L1208" s="52">
        <f>[2]S1!L1209</f>
        <v>5000</v>
      </c>
      <c r="M1208" s="58">
        <f>[2]S1!M1209</f>
        <v>5</v>
      </c>
      <c r="N1208" s="49">
        <f>[2]S1!P1209</f>
        <v>9352230042</v>
      </c>
    </row>
    <row r="1209" spans="1:14" x14ac:dyDescent="0.3">
      <c r="A1209" s="11">
        <v>4256</v>
      </c>
      <c r="B1209" s="12" t="str">
        <f>[3]Name!E3260</f>
        <v>Mahesh Kumar Ghodeta</v>
      </c>
      <c r="C1209" s="13">
        <f>[2]S1!C1210</f>
        <v>4500</v>
      </c>
      <c r="D1209" s="13">
        <f>[2]S1!D1210</f>
        <v>0</v>
      </c>
      <c r="E1209" s="26">
        <f>[2]S1!E1210</f>
        <v>200</v>
      </c>
      <c r="F1209" s="26">
        <f>[2]S1!F1210</f>
        <v>2</v>
      </c>
      <c r="G1209" s="22">
        <f>[2]S1!G1210</f>
        <v>0</v>
      </c>
      <c r="H1209" s="22">
        <f>[2]S1!H1210</f>
        <v>0</v>
      </c>
      <c r="I1209" s="22">
        <f>[2]S1!I1210</f>
        <v>39</v>
      </c>
      <c r="J1209" s="13">
        <f>[2]S1!J1210</f>
        <v>0</v>
      </c>
      <c r="K1209" s="19">
        <f>[2]S1!K1210</f>
        <v>241</v>
      </c>
      <c r="L1209" s="52">
        <f>[2]S1!L1210</f>
        <v>3901</v>
      </c>
      <c r="M1209" s="58">
        <f>[2]S1!M1210</f>
        <v>5</v>
      </c>
      <c r="N1209" s="49">
        <f>[2]S1!P1210</f>
        <v>9660434069</v>
      </c>
    </row>
    <row r="1210" spans="1:14" x14ac:dyDescent="0.3">
      <c r="A1210" s="11">
        <v>4257</v>
      </c>
      <c r="B1210" s="12" t="str">
        <f>[3]Name!E3261</f>
        <v>Sita Devi Ghodeta</v>
      </c>
      <c r="C1210" s="13">
        <f>[2]S1!C1211</f>
        <v>4500</v>
      </c>
      <c r="D1210" s="13">
        <f>[2]S1!D1211</f>
        <v>0</v>
      </c>
      <c r="E1210" s="26">
        <f>[2]S1!E1211</f>
        <v>200</v>
      </c>
      <c r="F1210" s="26">
        <f>[2]S1!F1211</f>
        <v>2</v>
      </c>
      <c r="G1210" s="22">
        <f>[2]S1!G1211</f>
        <v>500</v>
      </c>
      <c r="H1210" s="22">
        <f>[2]S1!H1211</f>
        <v>1</v>
      </c>
      <c r="I1210" s="22">
        <f>[2]S1!I1211</f>
        <v>50</v>
      </c>
      <c r="J1210" s="13">
        <f>[2]S1!J1211</f>
        <v>0</v>
      </c>
      <c r="K1210" s="19">
        <f>[2]S1!K1211</f>
        <v>753</v>
      </c>
      <c r="L1210" s="52">
        <f>[2]S1!L1211</f>
        <v>5000</v>
      </c>
      <c r="M1210" s="58">
        <f>[2]S1!M1211</f>
        <v>5</v>
      </c>
      <c r="N1210" s="49">
        <f>[2]S1!P1211</f>
        <v>9660434069</v>
      </c>
    </row>
    <row r="1211" spans="1:14" x14ac:dyDescent="0.3">
      <c r="A1211" s="11">
        <v>4258</v>
      </c>
      <c r="B1211" s="12">
        <f>[3]Name!E3262</f>
        <v>0</v>
      </c>
      <c r="C1211" s="13">
        <f>[2]S1!C1212</f>
        <v>2000</v>
      </c>
      <c r="D1211" s="13">
        <f>[2]S1!D1212</f>
        <v>0</v>
      </c>
      <c r="E1211" s="26">
        <f>[2]S1!E1212</f>
        <v>200</v>
      </c>
      <c r="F1211" s="26">
        <f>[2]S1!F1212</f>
        <v>0</v>
      </c>
      <c r="G1211" s="22">
        <f>[2]S1!G1212</f>
        <v>2000</v>
      </c>
      <c r="H1211" s="22">
        <f>[2]S1!H1212</f>
        <v>0</v>
      </c>
      <c r="I1211" s="22">
        <f>[2]S1!I1212</f>
        <v>200</v>
      </c>
      <c r="J1211" s="13">
        <f>[2]S1!J1212</f>
        <v>0</v>
      </c>
      <c r="K1211" s="19">
        <f>[2]S1!K1212</f>
        <v>2400</v>
      </c>
      <c r="L1211" s="52">
        <f>[2]S1!L1212</f>
        <v>20000</v>
      </c>
      <c r="M1211" s="58">
        <f>[2]S1!M1212</f>
        <v>1</v>
      </c>
      <c r="N1211" s="49">
        <f>[2]S1!P1212</f>
        <v>8824990821</v>
      </c>
    </row>
    <row r="1212" spans="1:14" x14ac:dyDescent="0.3">
      <c r="A1212" s="11">
        <v>4259</v>
      </c>
      <c r="B1212" s="12" t="str">
        <f>[3]Name!E3263</f>
        <v>Rajesh Kumar Rojda</v>
      </c>
      <c r="C1212" s="13">
        <f>[2]S1!C1213</f>
        <v>0</v>
      </c>
      <c r="D1212" s="13">
        <f>[2]S1!D1213</f>
        <v>0</v>
      </c>
      <c r="E1212" s="26">
        <f>[2]S1!E1213</f>
        <v>200</v>
      </c>
      <c r="F1212" s="26">
        <f>[2]S1!F1213</f>
        <v>0</v>
      </c>
      <c r="G1212" s="22">
        <f>[2]S1!G1213</f>
        <v>0</v>
      </c>
      <c r="H1212" s="22">
        <f>[2]S1!H1213</f>
        <v>0</v>
      </c>
      <c r="I1212" s="22">
        <f>[2]S1!I1213</f>
        <v>0</v>
      </c>
      <c r="J1212" s="13">
        <f>[2]S1!J1213</f>
        <v>0</v>
      </c>
      <c r="K1212" s="19">
        <f>[2]S1!K1213</f>
        <v>200</v>
      </c>
      <c r="L1212" s="52">
        <f>[2]S1!L1213</f>
        <v>0</v>
      </c>
      <c r="M1212" s="58">
        <f>[2]S1!M1213</f>
        <v>0</v>
      </c>
      <c r="N1212" s="49">
        <f>[2]S1!P1213</f>
        <v>8949034594</v>
      </c>
    </row>
    <row r="1213" spans="1:14" x14ac:dyDescent="0.3">
      <c r="A1213" s="11">
        <v>4260</v>
      </c>
      <c r="B1213" s="12" t="str">
        <f>[3]Name!E3264</f>
        <v>Priynka Kumari Rojda</v>
      </c>
      <c r="C1213" s="13">
        <f>[2]S1!C1214</f>
        <v>0</v>
      </c>
      <c r="D1213" s="13">
        <f>[2]S1!D1214</f>
        <v>0</v>
      </c>
      <c r="E1213" s="26">
        <f>[2]S1!E1214</f>
        <v>200</v>
      </c>
      <c r="F1213" s="26">
        <f>[2]S1!F1214</f>
        <v>0</v>
      </c>
      <c r="G1213" s="22">
        <f>[2]S1!G1214</f>
        <v>0</v>
      </c>
      <c r="H1213" s="22">
        <f>[2]S1!H1214</f>
        <v>0</v>
      </c>
      <c r="I1213" s="22">
        <f>[2]S1!I1214</f>
        <v>0</v>
      </c>
      <c r="J1213" s="13">
        <f>[2]S1!J1214</f>
        <v>0</v>
      </c>
      <c r="K1213" s="19">
        <f>[2]S1!K1214</f>
        <v>200</v>
      </c>
      <c r="L1213" s="52">
        <f>[2]S1!L1214</f>
        <v>0</v>
      </c>
      <c r="M1213" s="58">
        <f>[2]S1!M1214</f>
        <v>0</v>
      </c>
      <c r="N1213" s="49">
        <f>[2]S1!P1214</f>
        <v>8949034594</v>
      </c>
    </row>
    <row r="1214" spans="1:14" x14ac:dyDescent="0.3">
      <c r="A1214" s="11">
        <v>4261</v>
      </c>
      <c r="B1214" s="12" t="str">
        <f>[3]Name!E3265</f>
        <v>Banvari Lal Ghodeta</v>
      </c>
      <c r="C1214" s="13">
        <f>[2]S1!C1215</f>
        <v>0</v>
      </c>
      <c r="D1214" s="13">
        <f>[2]S1!D1215</f>
        <v>0</v>
      </c>
      <c r="E1214" s="26">
        <f>[2]S1!E1215</f>
        <v>200</v>
      </c>
      <c r="F1214" s="26">
        <f>[2]S1!F1215</f>
        <v>0</v>
      </c>
      <c r="G1214" s="22">
        <f>[2]S1!G1215</f>
        <v>0</v>
      </c>
      <c r="H1214" s="22">
        <f>[2]S1!H1215</f>
        <v>0</v>
      </c>
      <c r="I1214" s="22">
        <f>[2]S1!I1215</f>
        <v>0</v>
      </c>
      <c r="J1214" s="13">
        <f>[2]S1!J1215</f>
        <v>0</v>
      </c>
      <c r="K1214" s="19">
        <f>[2]S1!K1215</f>
        <v>200</v>
      </c>
      <c r="L1214" s="52">
        <f>[2]S1!L1215</f>
        <v>0</v>
      </c>
      <c r="M1214" s="58">
        <f>[2]S1!M1215</f>
        <v>0</v>
      </c>
      <c r="N1214" s="49">
        <f>[2]S1!P1215</f>
        <v>8209131043</v>
      </c>
    </row>
    <row r="1215" spans="1:14" x14ac:dyDescent="0.3">
      <c r="A1215" s="11">
        <v>4262</v>
      </c>
      <c r="B1215" s="12" t="str">
        <f>[3]Name!E3266</f>
        <v>Ramsvarup Ghodeta</v>
      </c>
      <c r="C1215" s="13">
        <f>[2]S1!C1216</f>
        <v>0</v>
      </c>
      <c r="D1215" s="13">
        <f>[2]S1!D1216</f>
        <v>0</v>
      </c>
      <c r="E1215" s="26">
        <f>[2]S1!E1216</f>
        <v>200</v>
      </c>
      <c r="F1215" s="26">
        <f>[2]S1!F1216</f>
        <v>0</v>
      </c>
      <c r="G1215" s="22">
        <f>[2]S1!G1216</f>
        <v>0</v>
      </c>
      <c r="H1215" s="22">
        <f>[2]S1!H1216</f>
        <v>0</v>
      </c>
      <c r="I1215" s="22">
        <f>[2]S1!I1216</f>
        <v>0</v>
      </c>
      <c r="J1215" s="13">
        <f>[2]S1!J1216</f>
        <v>0</v>
      </c>
      <c r="K1215" s="19">
        <f>[2]S1!K1216</f>
        <v>200</v>
      </c>
      <c r="L1215" s="52">
        <f>[2]S1!L1216</f>
        <v>0</v>
      </c>
      <c r="M1215" s="58">
        <f>[2]S1!M1216</f>
        <v>0</v>
      </c>
      <c r="N1215" s="49">
        <f>[2]S1!P1216</f>
        <v>8209131043</v>
      </c>
    </row>
    <row r="1216" spans="1:14" x14ac:dyDescent="0.3">
      <c r="A1216" s="11">
        <v>4263</v>
      </c>
      <c r="B1216" s="12" t="str">
        <f>[3]Name!E3267</f>
        <v>Mangi Devi Ghodeta</v>
      </c>
      <c r="C1216" s="13">
        <f>[2]S1!C1217</f>
        <v>0</v>
      </c>
      <c r="D1216" s="13">
        <f>[2]S1!D1217</f>
        <v>0</v>
      </c>
      <c r="E1216" s="26">
        <f>[2]S1!E1217</f>
        <v>200</v>
      </c>
      <c r="F1216" s="26">
        <f>[2]S1!F1217</f>
        <v>0</v>
      </c>
      <c r="G1216" s="22">
        <f>[2]S1!G1217</f>
        <v>0</v>
      </c>
      <c r="H1216" s="22">
        <f>[2]S1!H1217</f>
        <v>0</v>
      </c>
      <c r="I1216" s="22">
        <f>[2]S1!I1217</f>
        <v>0</v>
      </c>
      <c r="J1216" s="13">
        <f>[2]S1!J1217</f>
        <v>0</v>
      </c>
      <c r="K1216" s="19">
        <f>[2]S1!K1217</f>
        <v>200</v>
      </c>
      <c r="L1216" s="52">
        <f>[2]S1!L1217</f>
        <v>0</v>
      </c>
      <c r="M1216" s="58">
        <f>[2]S1!M1217</f>
        <v>0</v>
      </c>
      <c r="N1216" s="49">
        <f>[2]S1!P1217</f>
        <v>8209131043</v>
      </c>
    </row>
    <row r="1217" spans="1:14" x14ac:dyDescent="0.3">
      <c r="A1217" s="11">
        <v>4264</v>
      </c>
      <c r="B1217" s="12" t="str">
        <f>[3]Name!E3268</f>
        <v>Ravi Kumar Saravata</v>
      </c>
      <c r="C1217" s="13">
        <f>[2]S1!C1218</f>
        <v>4500</v>
      </c>
      <c r="D1217" s="13">
        <f>[2]S1!D1218</f>
        <v>0</v>
      </c>
      <c r="E1217" s="26">
        <f>[2]S1!E1218</f>
        <v>200</v>
      </c>
      <c r="F1217" s="26">
        <f>[2]S1!F1218</f>
        <v>0</v>
      </c>
      <c r="G1217" s="22">
        <f>[2]S1!G1218</f>
        <v>0</v>
      </c>
      <c r="H1217" s="22">
        <f>[2]S1!H1218</f>
        <v>0</v>
      </c>
      <c r="I1217" s="22">
        <f>[2]S1!I1218</f>
        <v>0</v>
      </c>
      <c r="J1217" s="13">
        <f>[2]S1!J1218</f>
        <v>0</v>
      </c>
      <c r="K1217" s="19">
        <f>[2]S1!K1218</f>
        <v>200</v>
      </c>
      <c r="L1217" s="52">
        <f>[2]S1!L1218</f>
        <v>0</v>
      </c>
      <c r="M1217" s="58">
        <f>[2]S1!M1218</f>
        <v>0</v>
      </c>
      <c r="N1217" s="49">
        <f>[2]S1!P1218</f>
        <v>8949821092</v>
      </c>
    </row>
    <row r="1218" spans="1:14" x14ac:dyDescent="0.3">
      <c r="A1218" s="11">
        <v>4265</v>
      </c>
      <c r="B1218" s="12" t="str">
        <f>[3]Name!E3269</f>
        <v>Sona Kumari Saravata</v>
      </c>
      <c r="C1218" s="13">
        <f>[2]S1!C1219</f>
        <v>4500</v>
      </c>
      <c r="D1218" s="13">
        <f>[2]S1!D1219</f>
        <v>0</v>
      </c>
      <c r="E1218" s="26">
        <f>[2]S1!E1219</f>
        <v>200</v>
      </c>
      <c r="F1218" s="26">
        <f>[2]S1!F1219</f>
        <v>0</v>
      </c>
      <c r="G1218" s="22">
        <f>[2]S1!G1219</f>
        <v>0</v>
      </c>
      <c r="H1218" s="22">
        <f>[2]S1!H1219</f>
        <v>0</v>
      </c>
      <c r="I1218" s="22">
        <f>[2]S1!I1219</f>
        <v>0</v>
      </c>
      <c r="J1218" s="13">
        <f>[2]S1!J1219</f>
        <v>0</v>
      </c>
      <c r="K1218" s="19">
        <f>[2]S1!K1219</f>
        <v>200</v>
      </c>
      <c r="L1218" s="52">
        <f>[2]S1!L1219</f>
        <v>0</v>
      </c>
      <c r="M1218" s="58">
        <f>[2]S1!M1219</f>
        <v>0</v>
      </c>
      <c r="N1218" s="49">
        <f>[2]S1!P1219</f>
        <v>8949821092</v>
      </c>
    </row>
    <row r="1219" spans="1:14" x14ac:dyDescent="0.3">
      <c r="A1219" s="11">
        <v>4266</v>
      </c>
      <c r="B1219" s="12" t="str">
        <f>[3]Name!E3270</f>
        <v>Natasa Kumari Saravata</v>
      </c>
      <c r="C1219" s="13">
        <f>[2]S1!C1220</f>
        <v>4500</v>
      </c>
      <c r="D1219" s="13">
        <f>[2]S1!D1220</f>
        <v>0</v>
      </c>
      <c r="E1219" s="26">
        <f>[2]S1!E1220</f>
        <v>200</v>
      </c>
      <c r="F1219" s="26">
        <f>[2]S1!F1220</f>
        <v>0</v>
      </c>
      <c r="G1219" s="22">
        <f>[2]S1!G1220</f>
        <v>150</v>
      </c>
      <c r="H1219" s="22">
        <f>[2]S1!H1220</f>
        <v>0</v>
      </c>
      <c r="I1219" s="22">
        <f>[2]S1!I1220</f>
        <v>47</v>
      </c>
      <c r="J1219" s="13">
        <f>[2]S1!J1220</f>
        <v>0</v>
      </c>
      <c r="K1219" s="19">
        <f>[2]S1!K1220</f>
        <v>397</v>
      </c>
      <c r="L1219" s="52">
        <f>[2]S1!L1220</f>
        <v>4650</v>
      </c>
      <c r="M1219" s="58">
        <f>[2]S1!M1220</f>
        <v>5</v>
      </c>
      <c r="N1219" s="49">
        <f>[2]S1!P1220</f>
        <v>8949821092</v>
      </c>
    </row>
    <row r="1220" spans="1:14" x14ac:dyDescent="0.3">
      <c r="A1220" s="11">
        <v>4267</v>
      </c>
      <c r="B1220" s="12" t="str">
        <f>[3]Name!E3271</f>
        <v>Budiprakash Suniya</v>
      </c>
      <c r="C1220" s="13">
        <f>[2]S1!C1221</f>
        <v>0</v>
      </c>
      <c r="D1220" s="13">
        <f>[2]S1!D1221</f>
        <v>64</v>
      </c>
      <c r="E1220" s="26">
        <f>[2]S1!E1221</f>
        <v>969</v>
      </c>
      <c r="F1220" s="26">
        <f>[2]S1!F1221</f>
        <v>75</v>
      </c>
      <c r="G1220" s="22">
        <f>[2]S1!G1221</f>
        <v>0</v>
      </c>
      <c r="H1220" s="22">
        <f>[2]S1!H1221</f>
        <v>364</v>
      </c>
      <c r="I1220" s="22">
        <f>[2]S1!I1221</f>
        <v>4660</v>
      </c>
      <c r="J1220" s="13">
        <f>[2]S1!J1221</f>
        <v>0</v>
      </c>
      <c r="K1220" s="19">
        <f>[2]S1!K1221</f>
        <v>6068</v>
      </c>
      <c r="L1220" s="52">
        <f>[2]S1!L1221</f>
        <v>93200</v>
      </c>
      <c r="M1220" s="58">
        <f>[2]S1!M1221</f>
        <v>5</v>
      </c>
      <c r="N1220" s="49">
        <f>[2]S1!P1221</f>
        <v>9636762405</v>
      </c>
    </row>
    <row r="1221" spans="1:14" x14ac:dyDescent="0.3">
      <c r="A1221" s="11">
        <v>4268</v>
      </c>
      <c r="B1221" s="12">
        <f>[3]Name!E3272</f>
        <v>0</v>
      </c>
      <c r="C1221" s="13">
        <f>[2]S1!C1222</f>
        <v>0</v>
      </c>
      <c r="D1221" s="13">
        <f>[2]S1!D1222</f>
        <v>0</v>
      </c>
      <c r="E1221" s="26">
        <f>[2]S1!E1222</f>
        <v>200</v>
      </c>
      <c r="F1221" s="26">
        <f>[2]S1!F1222</f>
        <v>0</v>
      </c>
      <c r="G1221" s="22">
        <f>[2]S1!G1222</f>
        <v>0</v>
      </c>
      <c r="H1221" s="22">
        <f>[2]S1!H1222</f>
        <v>0</v>
      </c>
      <c r="I1221" s="22">
        <f>[2]S1!I1222</f>
        <v>0</v>
      </c>
      <c r="J1221" s="13">
        <f>[2]S1!J1222</f>
        <v>0</v>
      </c>
      <c r="K1221" s="19">
        <f>[2]S1!K1222</f>
        <v>200</v>
      </c>
      <c r="L1221" s="52">
        <f>[2]S1!L1222</f>
        <v>0</v>
      </c>
      <c r="M1221" s="58">
        <f>[2]S1!M1222</f>
        <v>0</v>
      </c>
      <c r="N1221" s="49">
        <f>[2]S1!P1222</f>
        <v>8963824354</v>
      </c>
    </row>
    <row r="1222" spans="1:14" x14ac:dyDescent="0.3">
      <c r="A1222" s="11">
        <v>4269</v>
      </c>
      <c r="B1222" s="12">
        <f>[3]Name!E3273</f>
        <v>0</v>
      </c>
      <c r="C1222" s="13">
        <f>[2]S1!C1223</f>
        <v>0</v>
      </c>
      <c r="D1222" s="13">
        <f>[2]S1!D1223</f>
        <v>0</v>
      </c>
      <c r="E1222" s="26">
        <f>[2]S1!E1223</f>
        <v>200</v>
      </c>
      <c r="F1222" s="26">
        <f>[2]S1!F1223</f>
        <v>0</v>
      </c>
      <c r="G1222" s="22">
        <f>[2]S1!G1223</f>
        <v>0</v>
      </c>
      <c r="H1222" s="22">
        <f>[2]S1!H1223</f>
        <v>0</v>
      </c>
      <c r="I1222" s="22">
        <f>[2]S1!I1223</f>
        <v>0</v>
      </c>
      <c r="J1222" s="13">
        <f>[2]S1!J1223</f>
        <v>0</v>
      </c>
      <c r="K1222" s="19">
        <f>[2]S1!K1223</f>
        <v>200</v>
      </c>
      <c r="L1222" s="52">
        <f>[2]S1!L1223</f>
        <v>0</v>
      </c>
      <c r="M1222" s="58">
        <f>[2]S1!M1223</f>
        <v>0</v>
      </c>
      <c r="N1222" s="49">
        <f>[2]S1!P1223</f>
        <v>8963824354</v>
      </c>
    </row>
    <row r="1223" spans="1:14" x14ac:dyDescent="0.3">
      <c r="A1223" s="11">
        <v>4270</v>
      </c>
      <c r="B1223" s="12">
        <f>[3]Name!E3274</f>
        <v>0</v>
      </c>
      <c r="C1223" s="13">
        <f>[2]S1!C1224</f>
        <v>0</v>
      </c>
      <c r="D1223" s="13">
        <f>[2]S1!D1224</f>
        <v>0</v>
      </c>
      <c r="E1223" s="26">
        <f>[2]S1!E1224</f>
        <v>200</v>
      </c>
      <c r="F1223" s="26">
        <f>[2]S1!F1224</f>
        <v>0</v>
      </c>
      <c r="G1223" s="22">
        <f>[2]S1!G1224</f>
        <v>0</v>
      </c>
      <c r="H1223" s="22">
        <f>[2]S1!H1224</f>
        <v>0</v>
      </c>
      <c r="I1223" s="22">
        <f>[2]S1!I1224</f>
        <v>0</v>
      </c>
      <c r="J1223" s="13">
        <f>[2]S1!J1224</f>
        <v>0</v>
      </c>
      <c r="K1223" s="19">
        <f>[2]S1!K1224</f>
        <v>200</v>
      </c>
      <c r="L1223" s="52">
        <f>[2]S1!L1224</f>
        <v>0</v>
      </c>
      <c r="M1223" s="58">
        <f>[2]S1!M1224</f>
        <v>0</v>
      </c>
      <c r="N1223" s="49">
        <f>[2]S1!P1224</f>
        <v>8963824354</v>
      </c>
    </row>
    <row r="1224" spans="1:14" x14ac:dyDescent="0.3">
      <c r="A1224" s="11">
        <v>4271</v>
      </c>
      <c r="B1224" s="12">
        <f>[3]Name!E3275</f>
        <v>0</v>
      </c>
      <c r="C1224" s="13">
        <f>[2]S1!C1225</f>
        <v>0</v>
      </c>
      <c r="D1224" s="13">
        <f>[2]S1!D1225</f>
        <v>0</v>
      </c>
      <c r="E1224" s="26">
        <f>[2]S1!E1225</f>
        <v>200</v>
      </c>
      <c r="F1224" s="26">
        <f>[2]S1!F1225</f>
        <v>0</v>
      </c>
      <c r="G1224" s="22">
        <f>[2]S1!G1225</f>
        <v>0</v>
      </c>
      <c r="H1224" s="22">
        <f>[2]S1!H1225</f>
        <v>0</v>
      </c>
      <c r="I1224" s="22">
        <f>[2]S1!I1225</f>
        <v>0</v>
      </c>
      <c r="J1224" s="13">
        <f>[2]S1!J1225</f>
        <v>0</v>
      </c>
      <c r="K1224" s="19">
        <f>[2]S1!K1225</f>
        <v>200</v>
      </c>
      <c r="L1224" s="52">
        <f>[2]S1!L1225</f>
        <v>0</v>
      </c>
      <c r="M1224" s="58">
        <f>[2]S1!M1225</f>
        <v>0</v>
      </c>
      <c r="N1224" s="49">
        <f>[2]S1!P1225</f>
        <v>8963824354</v>
      </c>
    </row>
    <row r="1225" spans="1:14" x14ac:dyDescent="0.3">
      <c r="A1225" s="11">
        <v>4272</v>
      </c>
      <c r="B1225" s="12">
        <f>[3]Name!E3276</f>
        <v>0</v>
      </c>
      <c r="C1225" s="13">
        <f>[2]S1!C1226</f>
        <v>0</v>
      </c>
      <c r="D1225" s="13">
        <f>[2]S1!D1226</f>
        <v>0</v>
      </c>
      <c r="E1225" s="26">
        <f>[2]S1!E1226</f>
        <v>200</v>
      </c>
      <c r="F1225" s="26">
        <f>[2]S1!F1226</f>
        <v>0</v>
      </c>
      <c r="G1225" s="22">
        <f>[2]S1!G1226</f>
        <v>0</v>
      </c>
      <c r="H1225" s="22">
        <f>[2]S1!H1226</f>
        <v>0</v>
      </c>
      <c r="I1225" s="22">
        <f>[2]S1!I1226</f>
        <v>0</v>
      </c>
      <c r="J1225" s="13">
        <f>[2]S1!J1226</f>
        <v>0</v>
      </c>
      <c r="K1225" s="19">
        <f>[2]S1!K1226</f>
        <v>200</v>
      </c>
      <c r="L1225" s="52">
        <f>[2]S1!L1226</f>
        <v>0</v>
      </c>
      <c r="M1225" s="58">
        <f>[2]S1!M1226</f>
        <v>0</v>
      </c>
      <c r="N1225" s="49">
        <f>[2]S1!P1226</f>
        <v>8963824354</v>
      </c>
    </row>
    <row r="1226" spans="1:14" x14ac:dyDescent="0.3">
      <c r="A1226" s="11">
        <v>4273</v>
      </c>
      <c r="B1226" s="12" t="str">
        <f>[3]Name!E3277</f>
        <v xml:space="preserve">Dinesh Kumar Gudgodiya </v>
      </c>
      <c r="C1226" s="13">
        <f>[2]S1!C1227</f>
        <v>0</v>
      </c>
      <c r="D1226" s="13">
        <f>[2]S1!D1227</f>
        <v>0</v>
      </c>
      <c r="E1226" s="26">
        <f>[2]S1!E1227</f>
        <v>200</v>
      </c>
      <c r="F1226" s="26">
        <f>[2]S1!F1227</f>
        <v>0</v>
      </c>
      <c r="G1226" s="22">
        <f>[2]S1!G1227</f>
        <v>0</v>
      </c>
      <c r="H1226" s="22">
        <f>[2]S1!H1227</f>
        <v>0</v>
      </c>
      <c r="I1226" s="22">
        <f>[2]S1!I1227</f>
        <v>0</v>
      </c>
      <c r="J1226" s="13">
        <f>[2]S1!J1227</f>
        <v>0</v>
      </c>
      <c r="K1226" s="19">
        <f>[2]S1!K1227</f>
        <v>200</v>
      </c>
      <c r="L1226" s="52">
        <f>[2]S1!L1227</f>
        <v>0</v>
      </c>
      <c r="M1226" s="58">
        <f>[2]S1!M1227</f>
        <v>0</v>
      </c>
      <c r="N1226" s="49">
        <f>[2]S1!P1227</f>
        <v>9667302838</v>
      </c>
    </row>
    <row r="1227" spans="1:14" x14ac:dyDescent="0.3">
      <c r="A1227" s="11">
        <v>4274</v>
      </c>
      <c r="B1227" s="12" t="str">
        <f>[3]Name!E3278</f>
        <v xml:space="preserve">Taniska Kumari Gudgodiya </v>
      </c>
      <c r="C1227" s="13">
        <f>[2]S1!C1228</f>
        <v>0</v>
      </c>
      <c r="D1227" s="13">
        <f>[2]S1!D1228</f>
        <v>0</v>
      </c>
      <c r="E1227" s="26">
        <f>[2]S1!E1228</f>
        <v>200</v>
      </c>
      <c r="F1227" s="26">
        <f>[2]S1!F1228</f>
        <v>0</v>
      </c>
      <c r="G1227" s="22">
        <f>[2]S1!G1228</f>
        <v>0</v>
      </c>
      <c r="H1227" s="22">
        <f>[2]S1!H1228</f>
        <v>0</v>
      </c>
      <c r="I1227" s="22">
        <f>[2]S1!I1228</f>
        <v>0</v>
      </c>
      <c r="J1227" s="13">
        <f>[2]S1!J1228</f>
        <v>0</v>
      </c>
      <c r="K1227" s="19">
        <f>[2]S1!K1228</f>
        <v>200</v>
      </c>
      <c r="L1227" s="52">
        <f>[2]S1!L1228</f>
        <v>0</v>
      </c>
      <c r="M1227" s="58">
        <f>[2]S1!M1228</f>
        <v>0</v>
      </c>
      <c r="N1227" s="49">
        <f>[2]S1!P1228</f>
        <v>9667302838</v>
      </c>
    </row>
    <row r="1228" spans="1:14" x14ac:dyDescent="0.3">
      <c r="A1228" s="11">
        <v>4275</v>
      </c>
      <c r="B1228" s="12" t="str">
        <f>[3]Name!E3279</f>
        <v>Krasna Devi Khandelwal</v>
      </c>
      <c r="C1228" s="13">
        <f>[2]S1!C1229</f>
        <v>500</v>
      </c>
      <c r="D1228" s="13">
        <f>[2]S1!D1229</f>
        <v>0</v>
      </c>
      <c r="E1228" s="26">
        <f>[2]S1!E1229</f>
        <v>200</v>
      </c>
      <c r="F1228" s="26">
        <f>[2]S1!F1229</f>
        <v>0</v>
      </c>
      <c r="G1228" s="22">
        <f>[2]S1!G1229</f>
        <v>500</v>
      </c>
      <c r="H1228" s="22">
        <f>[2]S1!H1229</f>
        <v>0</v>
      </c>
      <c r="I1228" s="22">
        <f>[2]S1!I1229</f>
        <v>185</v>
      </c>
      <c r="J1228" s="13">
        <f>[2]S1!J1229</f>
        <v>0</v>
      </c>
      <c r="K1228" s="19">
        <f>[2]S1!K1229</f>
        <v>885</v>
      </c>
      <c r="L1228" s="52">
        <f>[2]S1!L1229</f>
        <v>18500</v>
      </c>
      <c r="M1228" s="58">
        <f>[2]S1!M1229</f>
        <v>4</v>
      </c>
      <c r="N1228" s="49">
        <f>[2]S1!P1229</f>
        <v>8949606003</v>
      </c>
    </row>
    <row r="1229" spans="1:14" x14ac:dyDescent="0.3">
      <c r="A1229" s="11">
        <v>4276</v>
      </c>
      <c r="B1229" s="12" t="str">
        <f>[3]Name!E3280</f>
        <v>Nathi Devi Khandelwal</v>
      </c>
      <c r="C1229" s="13">
        <f>[2]S1!C1230</f>
        <v>500</v>
      </c>
      <c r="D1229" s="13">
        <f>[2]S1!D1230</f>
        <v>0</v>
      </c>
      <c r="E1229" s="26">
        <f>[2]S1!E1230</f>
        <v>200</v>
      </c>
      <c r="F1229" s="26">
        <f>[2]S1!F1230</f>
        <v>0</v>
      </c>
      <c r="G1229" s="22">
        <f>[2]S1!G1230</f>
        <v>500</v>
      </c>
      <c r="H1229" s="22">
        <f>[2]S1!H1230</f>
        <v>0</v>
      </c>
      <c r="I1229" s="22">
        <f>[2]S1!I1230</f>
        <v>185</v>
      </c>
      <c r="J1229" s="13">
        <f>[2]S1!J1230</f>
        <v>0</v>
      </c>
      <c r="K1229" s="19">
        <f>[2]S1!K1230</f>
        <v>885</v>
      </c>
      <c r="L1229" s="52">
        <f>[2]S1!L1230</f>
        <v>18500</v>
      </c>
      <c r="M1229" s="58">
        <f>[2]S1!M1230</f>
        <v>4</v>
      </c>
      <c r="N1229" s="49">
        <f>[2]S1!P1230</f>
        <v>8949606003</v>
      </c>
    </row>
    <row r="1230" spans="1:14" x14ac:dyDescent="0.3">
      <c r="A1230" s="11">
        <v>4277</v>
      </c>
      <c r="B1230" s="12" t="str">
        <f>[3]Name!E3281</f>
        <v>Ramdas Khandelwal</v>
      </c>
      <c r="C1230" s="13">
        <f>[2]S1!C1231</f>
        <v>500</v>
      </c>
      <c r="D1230" s="13">
        <f>[2]S1!D1231</f>
        <v>0</v>
      </c>
      <c r="E1230" s="26">
        <f>[2]S1!E1231</f>
        <v>200</v>
      </c>
      <c r="F1230" s="26">
        <f>[2]S1!F1231</f>
        <v>0</v>
      </c>
      <c r="G1230" s="22">
        <f>[2]S1!G1231</f>
        <v>500</v>
      </c>
      <c r="H1230" s="22">
        <f>[2]S1!H1231</f>
        <v>0</v>
      </c>
      <c r="I1230" s="22">
        <f>[2]S1!I1231</f>
        <v>185</v>
      </c>
      <c r="J1230" s="13">
        <f>[2]S1!J1231</f>
        <v>0</v>
      </c>
      <c r="K1230" s="19">
        <f>[2]S1!K1231</f>
        <v>885</v>
      </c>
      <c r="L1230" s="52">
        <f>[2]S1!L1231</f>
        <v>18500</v>
      </c>
      <c r="M1230" s="58">
        <f>[2]S1!M1231</f>
        <v>4</v>
      </c>
      <c r="N1230" s="49">
        <f>[2]S1!P1231</f>
        <v>8949606003</v>
      </c>
    </row>
    <row r="1231" spans="1:14" x14ac:dyDescent="0.3">
      <c r="A1231" s="11">
        <v>4278</v>
      </c>
      <c r="B1231" s="12" t="str">
        <f>[3]Name!E3282</f>
        <v>Gora Devi Khandelwal</v>
      </c>
      <c r="C1231" s="13">
        <f>[2]S1!C1232</f>
        <v>500</v>
      </c>
      <c r="D1231" s="13">
        <f>[2]S1!D1232</f>
        <v>0</v>
      </c>
      <c r="E1231" s="26">
        <f>[2]S1!E1232</f>
        <v>200</v>
      </c>
      <c r="F1231" s="26">
        <f>[2]S1!F1232</f>
        <v>0</v>
      </c>
      <c r="G1231" s="22">
        <f>[2]S1!G1232</f>
        <v>500</v>
      </c>
      <c r="H1231" s="22">
        <f>[2]S1!H1232</f>
        <v>0</v>
      </c>
      <c r="I1231" s="22">
        <f>[2]S1!I1232</f>
        <v>185</v>
      </c>
      <c r="J1231" s="13">
        <f>[2]S1!J1232</f>
        <v>0</v>
      </c>
      <c r="K1231" s="19">
        <f>[2]S1!K1232</f>
        <v>885</v>
      </c>
      <c r="L1231" s="52">
        <f>[2]S1!L1232</f>
        <v>18500</v>
      </c>
      <c r="M1231" s="58">
        <f>[2]S1!M1232</f>
        <v>4</v>
      </c>
      <c r="N1231" s="49">
        <f>[2]S1!P1232</f>
        <v>8949606003</v>
      </c>
    </row>
    <row r="1232" spans="1:14" x14ac:dyDescent="0.3">
      <c r="A1232" s="11">
        <v>4279</v>
      </c>
      <c r="B1232" s="12" t="str">
        <f>[3]Name!E3283</f>
        <v>Kajod Khandelwal</v>
      </c>
      <c r="C1232" s="13">
        <f>[2]S1!C1233</f>
        <v>500</v>
      </c>
      <c r="D1232" s="13">
        <f>[2]S1!D1233</f>
        <v>0</v>
      </c>
      <c r="E1232" s="26">
        <f>[2]S1!E1233</f>
        <v>200</v>
      </c>
      <c r="F1232" s="26">
        <f>[2]S1!F1233</f>
        <v>0</v>
      </c>
      <c r="G1232" s="22">
        <f>[2]S1!G1233</f>
        <v>500</v>
      </c>
      <c r="H1232" s="22">
        <f>[2]S1!H1233</f>
        <v>0</v>
      </c>
      <c r="I1232" s="22">
        <f>[2]S1!I1233</f>
        <v>185</v>
      </c>
      <c r="J1232" s="13">
        <f>[2]S1!J1233</f>
        <v>0</v>
      </c>
      <c r="K1232" s="19">
        <f>[2]S1!K1233</f>
        <v>885</v>
      </c>
      <c r="L1232" s="52">
        <f>[2]S1!L1233</f>
        <v>18500</v>
      </c>
      <c r="M1232" s="58">
        <f>[2]S1!M1233</f>
        <v>4</v>
      </c>
      <c r="N1232" s="49">
        <f>[2]S1!P1233</f>
        <v>8949606003</v>
      </c>
    </row>
    <row r="1233" spans="1:14" x14ac:dyDescent="0.3">
      <c r="A1233" s="11">
        <v>4280</v>
      </c>
      <c r="B1233" s="12" t="str">
        <f>[3]Name!E3284</f>
        <v>Yasvu Khandelwal</v>
      </c>
      <c r="C1233" s="13">
        <f>[2]S1!C1234</f>
        <v>500</v>
      </c>
      <c r="D1233" s="13">
        <f>[2]S1!D1234</f>
        <v>0</v>
      </c>
      <c r="E1233" s="26">
        <f>[2]S1!E1234</f>
        <v>200</v>
      </c>
      <c r="F1233" s="26">
        <f>[2]S1!F1234</f>
        <v>0</v>
      </c>
      <c r="G1233" s="22">
        <f>[2]S1!G1234</f>
        <v>500</v>
      </c>
      <c r="H1233" s="22">
        <f>[2]S1!H1234</f>
        <v>0</v>
      </c>
      <c r="I1233" s="22">
        <f>[2]S1!I1234</f>
        <v>190</v>
      </c>
      <c r="J1233" s="13">
        <f>[2]S1!J1234</f>
        <v>0</v>
      </c>
      <c r="K1233" s="19">
        <f>[2]S1!K1234</f>
        <v>890</v>
      </c>
      <c r="L1233" s="52">
        <f>[2]S1!L1234</f>
        <v>19000</v>
      </c>
      <c r="M1233" s="58">
        <f>[2]S1!M1234</f>
        <v>3</v>
      </c>
      <c r="N1233" s="49">
        <f>[2]S1!P1234</f>
        <v>8949606003</v>
      </c>
    </row>
    <row r="1234" spans="1:14" x14ac:dyDescent="0.3">
      <c r="A1234" s="11">
        <v>4281</v>
      </c>
      <c r="B1234" s="12" t="str">
        <f>[3]Name!E3285</f>
        <v>Gora Devi Khandelwal</v>
      </c>
      <c r="C1234" s="13">
        <f>[2]S1!C1235</f>
        <v>500</v>
      </c>
      <c r="D1234" s="13">
        <f>[2]S1!D1235</f>
        <v>0</v>
      </c>
      <c r="E1234" s="26">
        <f>[2]S1!E1235</f>
        <v>200</v>
      </c>
      <c r="F1234" s="26">
        <f>[2]S1!F1235</f>
        <v>0</v>
      </c>
      <c r="G1234" s="22">
        <f>[2]S1!G1235</f>
        <v>500</v>
      </c>
      <c r="H1234" s="22">
        <f>[2]S1!H1235</f>
        <v>0</v>
      </c>
      <c r="I1234" s="22">
        <f>[2]S1!I1235</f>
        <v>190</v>
      </c>
      <c r="J1234" s="13">
        <f>[2]S1!J1235</f>
        <v>0</v>
      </c>
      <c r="K1234" s="19">
        <f>[2]S1!K1235</f>
        <v>890</v>
      </c>
      <c r="L1234" s="52">
        <f>[2]S1!L1235</f>
        <v>19000</v>
      </c>
      <c r="M1234" s="58">
        <f>[2]S1!M1235</f>
        <v>3</v>
      </c>
      <c r="N1234" s="49">
        <f>[2]S1!P1235</f>
        <v>8949606003</v>
      </c>
    </row>
    <row r="1235" spans="1:14" x14ac:dyDescent="0.3">
      <c r="A1235" s="11">
        <v>4282</v>
      </c>
      <c r="B1235" s="12" t="str">
        <f>[3]Name!E3286</f>
        <v>Manju Devi Bunkar</v>
      </c>
      <c r="C1235" s="13">
        <f>[2]S1!C1236</f>
        <v>0</v>
      </c>
      <c r="D1235" s="13">
        <f>[2]S1!D1236</f>
        <v>0</v>
      </c>
      <c r="E1235" s="26">
        <f>[2]S1!E1236</f>
        <v>200</v>
      </c>
      <c r="F1235" s="26">
        <f>[2]S1!F1236</f>
        <v>0</v>
      </c>
      <c r="G1235" s="22">
        <f>[2]S1!G1236</f>
        <v>0</v>
      </c>
      <c r="H1235" s="22">
        <f>[2]S1!H1236</f>
        <v>0</v>
      </c>
      <c r="I1235" s="22">
        <f>[2]S1!I1236</f>
        <v>160</v>
      </c>
      <c r="J1235" s="13">
        <f>[2]S1!J1236</f>
        <v>0</v>
      </c>
      <c r="K1235" s="19">
        <f>[2]S1!K1236</f>
        <v>360</v>
      </c>
      <c r="L1235" s="52">
        <f>[2]S1!L1236</f>
        <v>16000</v>
      </c>
      <c r="M1235" s="58">
        <f>[2]S1!M1236</f>
        <v>2</v>
      </c>
      <c r="N1235" s="49">
        <f>[2]S1!P1236</f>
        <v>9829966338</v>
      </c>
    </row>
    <row r="1236" spans="1:14" x14ac:dyDescent="0.3">
      <c r="A1236" s="11">
        <v>4283</v>
      </c>
      <c r="B1236" s="12" t="str">
        <f>[3]Name!E3287</f>
        <v>Manvi Kumari Bunkar</v>
      </c>
      <c r="C1236" s="13">
        <f>[2]S1!C1237</f>
        <v>0</v>
      </c>
      <c r="D1236" s="13">
        <f>[2]S1!D1237</f>
        <v>0</v>
      </c>
      <c r="E1236" s="26">
        <f>[2]S1!E1237</f>
        <v>200</v>
      </c>
      <c r="F1236" s="26">
        <f>[2]S1!F1237</f>
        <v>0</v>
      </c>
      <c r="G1236" s="22">
        <f>[2]S1!G1237</f>
        <v>0</v>
      </c>
      <c r="H1236" s="22">
        <f>[2]S1!H1237</f>
        <v>2</v>
      </c>
      <c r="I1236" s="22">
        <f>[2]S1!I1237</f>
        <v>180</v>
      </c>
      <c r="J1236" s="13">
        <f>[2]S1!J1237</f>
        <v>0</v>
      </c>
      <c r="K1236" s="19">
        <f>[2]S1!K1237</f>
        <v>382</v>
      </c>
      <c r="L1236" s="52">
        <f>[2]S1!L1237</f>
        <v>18000</v>
      </c>
      <c r="M1236" s="58">
        <f>[2]S1!M1237</f>
        <v>2</v>
      </c>
      <c r="N1236" s="49">
        <f>[2]S1!P1237</f>
        <v>9829966338</v>
      </c>
    </row>
    <row r="1237" spans="1:14" x14ac:dyDescent="0.3">
      <c r="A1237" s="11">
        <v>4284</v>
      </c>
      <c r="B1237" s="12" t="str">
        <f>[3]Name!E3288</f>
        <v>Jaanvi Kumari Bunkar</v>
      </c>
      <c r="C1237" s="13">
        <f>[2]S1!C1238</f>
        <v>0</v>
      </c>
      <c r="D1237" s="13">
        <f>[2]S1!D1238</f>
        <v>0</v>
      </c>
      <c r="E1237" s="26">
        <f>[2]S1!E1238</f>
        <v>200</v>
      </c>
      <c r="F1237" s="26">
        <f>[2]S1!F1238</f>
        <v>0</v>
      </c>
      <c r="G1237" s="22">
        <f>[2]S1!G1238</f>
        <v>0</v>
      </c>
      <c r="H1237" s="22">
        <f>[2]S1!H1238</f>
        <v>2</v>
      </c>
      <c r="I1237" s="22">
        <f>[2]S1!I1238</f>
        <v>180</v>
      </c>
      <c r="J1237" s="13">
        <f>[2]S1!J1238</f>
        <v>0</v>
      </c>
      <c r="K1237" s="19">
        <f>[2]S1!K1238</f>
        <v>382</v>
      </c>
      <c r="L1237" s="52">
        <f>[2]S1!L1238</f>
        <v>18000</v>
      </c>
      <c r="M1237" s="58">
        <f>[2]S1!M1238</f>
        <v>2</v>
      </c>
      <c r="N1237" s="49">
        <f>[2]S1!P1238</f>
        <v>9829966338</v>
      </c>
    </row>
    <row r="1238" spans="1:14" x14ac:dyDescent="0.3">
      <c r="A1238" s="11">
        <v>4285</v>
      </c>
      <c r="B1238" s="12" t="str">
        <f>[3]Name!E3289</f>
        <v>Sitaram Aaladiya</v>
      </c>
      <c r="C1238" s="13">
        <f>[2]S1!C1239</f>
        <v>4300</v>
      </c>
      <c r="D1238" s="13">
        <f>[2]S1!D1239</f>
        <v>0</v>
      </c>
      <c r="E1238" s="26">
        <f>[2]S1!E1239</f>
        <v>200</v>
      </c>
      <c r="F1238" s="26">
        <f>[2]S1!F1239</f>
        <v>0</v>
      </c>
      <c r="G1238" s="22">
        <f>[2]S1!G1239</f>
        <v>0</v>
      </c>
      <c r="H1238" s="22">
        <f>[2]S1!H1239</f>
        <v>0</v>
      </c>
      <c r="I1238" s="22">
        <f>[2]S1!I1239</f>
        <v>0</v>
      </c>
      <c r="J1238" s="13">
        <f>[2]S1!J1239</f>
        <v>0</v>
      </c>
      <c r="K1238" s="19">
        <f>[2]S1!K1239</f>
        <v>200</v>
      </c>
      <c r="L1238" s="52">
        <f>[2]S1!L1239</f>
        <v>0</v>
      </c>
      <c r="M1238" s="58">
        <f>[2]S1!M1239</f>
        <v>0</v>
      </c>
      <c r="N1238" s="49">
        <f>[2]S1!P1239</f>
        <v>9829108201</v>
      </c>
    </row>
    <row r="1239" spans="1:14" x14ac:dyDescent="0.3">
      <c r="A1239" s="11">
        <v>4286</v>
      </c>
      <c r="B1239" s="12" t="str">
        <f>[3]Name!E3290</f>
        <v>Sona Kumari Aaladiya</v>
      </c>
      <c r="C1239" s="13">
        <f>[2]S1!C1240</f>
        <v>4500</v>
      </c>
      <c r="D1239" s="13">
        <f>[2]S1!D1240</f>
        <v>0</v>
      </c>
      <c r="E1239" s="26">
        <f>[2]S1!E1240</f>
        <v>200</v>
      </c>
      <c r="F1239" s="26">
        <f>[2]S1!F1240</f>
        <v>0</v>
      </c>
      <c r="G1239" s="22">
        <f>[2]S1!G1240</f>
        <v>0</v>
      </c>
      <c r="H1239" s="22">
        <f>[2]S1!H1240</f>
        <v>0</v>
      </c>
      <c r="I1239" s="22">
        <f>[2]S1!I1240</f>
        <v>0</v>
      </c>
      <c r="J1239" s="13">
        <f>[2]S1!J1240</f>
        <v>0</v>
      </c>
      <c r="K1239" s="19">
        <f>[2]S1!K1240</f>
        <v>200</v>
      </c>
      <c r="L1239" s="52">
        <f>[2]S1!L1240</f>
        <v>0</v>
      </c>
      <c r="M1239" s="58">
        <f>[2]S1!M1240</f>
        <v>0</v>
      </c>
      <c r="N1239" s="49">
        <f>[2]S1!P1240</f>
        <v>9829108201</v>
      </c>
    </row>
    <row r="1240" spans="1:14" x14ac:dyDescent="0.3">
      <c r="A1240" s="11">
        <v>4287</v>
      </c>
      <c r="B1240" s="12" t="str">
        <f>[3]Name!E3291</f>
        <v>Maina Kumari Aaladiya</v>
      </c>
      <c r="C1240" s="13">
        <f>[2]S1!C1241</f>
        <v>4500</v>
      </c>
      <c r="D1240" s="13">
        <f>[2]S1!D1241</f>
        <v>0</v>
      </c>
      <c r="E1240" s="26">
        <f>[2]S1!E1241</f>
        <v>200</v>
      </c>
      <c r="F1240" s="26">
        <f>[2]S1!F1241</f>
        <v>0</v>
      </c>
      <c r="G1240" s="22">
        <f>[2]S1!G1241</f>
        <v>0</v>
      </c>
      <c r="H1240" s="22">
        <f>[2]S1!H1241</f>
        <v>0</v>
      </c>
      <c r="I1240" s="22">
        <f>[2]S1!I1241</f>
        <v>0</v>
      </c>
      <c r="J1240" s="13">
        <f>[2]S1!J1241</f>
        <v>0</v>
      </c>
      <c r="K1240" s="19">
        <f>[2]S1!K1241</f>
        <v>200</v>
      </c>
      <c r="L1240" s="52">
        <f>[2]S1!L1241</f>
        <v>0</v>
      </c>
      <c r="M1240" s="58">
        <f>[2]S1!M1241</f>
        <v>0</v>
      </c>
      <c r="N1240" s="49">
        <f>[2]S1!P1241</f>
        <v>9829108201</v>
      </c>
    </row>
    <row r="1241" spans="1:14" x14ac:dyDescent="0.3">
      <c r="A1241" s="11">
        <v>4288</v>
      </c>
      <c r="B1241" s="12" t="str">
        <f>[3]Name!E3292</f>
        <v>Rvi Kumar Aaladiya</v>
      </c>
      <c r="C1241" s="13">
        <f>[2]S1!C1242</f>
        <v>4500</v>
      </c>
      <c r="D1241" s="13">
        <f>[2]S1!D1242</f>
        <v>0</v>
      </c>
      <c r="E1241" s="26">
        <f>[2]S1!E1242</f>
        <v>200</v>
      </c>
      <c r="F1241" s="26">
        <f>[2]S1!F1242</f>
        <v>0</v>
      </c>
      <c r="G1241" s="22">
        <f>[2]S1!G1242</f>
        <v>0</v>
      </c>
      <c r="H1241" s="22">
        <f>[2]S1!H1242</f>
        <v>0</v>
      </c>
      <c r="I1241" s="22">
        <f>[2]S1!I1242</f>
        <v>0</v>
      </c>
      <c r="J1241" s="13">
        <f>[2]S1!J1242</f>
        <v>0</v>
      </c>
      <c r="K1241" s="19">
        <f>[2]S1!K1242</f>
        <v>200</v>
      </c>
      <c r="L1241" s="52">
        <f>[2]S1!L1242</f>
        <v>0</v>
      </c>
      <c r="M1241" s="58">
        <f>[2]S1!M1242</f>
        <v>0</v>
      </c>
      <c r="N1241" s="49">
        <f>[2]S1!P1242</f>
        <v>9829108201</v>
      </c>
    </row>
    <row r="1242" spans="1:14" x14ac:dyDescent="0.3">
      <c r="A1242" s="11">
        <v>4289</v>
      </c>
      <c r="B1242" s="12" t="str">
        <f>[3]Name!E3293</f>
        <v>Santosh Kumar Aaladiya</v>
      </c>
      <c r="C1242" s="13">
        <f>[2]S1!C1243</f>
        <v>4500</v>
      </c>
      <c r="D1242" s="13">
        <f>[2]S1!D1243</f>
        <v>0</v>
      </c>
      <c r="E1242" s="26">
        <f>[2]S1!E1243</f>
        <v>0</v>
      </c>
      <c r="F1242" s="26">
        <f>[2]S1!F1243</f>
        <v>0</v>
      </c>
      <c r="G1242" s="22">
        <f>[2]S1!G1243</f>
        <v>0</v>
      </c>
      <c r="H1242" s="22">
        <f>[2]S1!H1243</f>
        <v>0</v>
      </c>
      <c r="I1242" s="22">
        <f>[2]S1!I1243</f>
        <v>0</v>
      </c>
      <c r="J1242" s="13">
        <f>[2]S1!J1243</f>
        <v>0</v>
      </c>
      <c r="K1242" s="19">
        <f>[2]S1!K1243</f>
        <v>0</v>
      </c>
      <c r="L1242" s="52">
        <f>[2]S1!L1243</f>
        <v>0</v>
      </c>
      <c r="M1242" s="58">
        <f>[2]S1!M1243</f>
        <v>0</v>
      </c>
      <c r="N1242" s="49">
        <f>[2]S1!P1243</f>
        <v>9829108201</v>
      </c>
    </row>
    <row r="1243" spans="1:14" x14ac:dyDescent="0.3">
      <c r="A1243" s="11">
        <v>4290</v>
      </c>
      <c r="B1243" s="12" t="str">
        <f>[3]Name!E3294</f>
        <v>Kalyan mal alohiya</v>
      </c>
      <c r="C1243" s="13">
        <f>[2]S1!C1244</f>
        <v>0</v>
      </c>
      <c r="D1243" s="13">
        <f>[2]S1!D1244</f>
        <v>0</v>
      </c>
      <c r="E1243" s="26">
        <f>[2]S1!E1244</f>
        <v>200</v>
      </c>
      <c r="F1243" s="26">
        <f>[2]S1!F1244</f>
        <v>2</v>
      </c>
      <c r="G1243" s="22">
        <f>[2]S1!G1244</f>
        <v>0</v>
      </c>
      <c r="H1243" s="22">
        <f>[2]S1!H1244</f>
        <v>0</v>
      </c>
      <c r="I1243" s="22">
        <f>[2]S1!I1244</f>
        <v>0</v>
      </c>
      <c r="J1243" s="13">
        <f>[2]S1!J1244</f>
        <v>0</v>
      </c>
      <c r="K1243" s="19">
        <f>[2]S1!K1244</f>
        <v>202</v>
      </c>
      <c r="L1243" s="52">
        <f>[2]S1!L1244</f>
        <v>0</v>
      </c>
      <c r="M1243" s="58">
        <f>[2]S1!M1244</f>
        <v>0</v>
      </c>
      <c r="N1243" s="49">
        <f>[2]S1!P1244</f>
        <v>7742360357</v>
      </c>
    </row>
    <row r="1244" spans="1:14" x14ac:dyDescent="0.3">
      <c r="A1244" s="11">
        <v>4291</v>
      </c>
      <c r="B1244" s="12" t="str">
        <f>[3]Name!E3295</f>
        <v>Vikash alohiya</v>
      </c>
      <c r="C1244" s="13">
        <f>[2]S1!C1245</f>
        <v>0</v>
      </c>
      <c r="D1244" s="13">
        <f>[2]S1!D1245</f>
        <v>0</v>
      </c>
      <c r="E1244" s="26">
        <f>[2]S1!E1245</f>
        <v>200</v>
      </c>
      <c r="F1244" s="26">
        <f>[2]S1!F1245</f>
        <v>2</v>
      </c>
      <c r="G1244" s="22">
        <f>[2]S1!G1245</f>
        <v>0</v>
      </c>
      <c r="H1244" s="22">
        <f>[2]S1!H1245</f>
        <v>0</v>
      </c>
      <c r="I1244" s="22">
        <f>[2]S1!I1245</f>
        <v>0</v>
      </c>
      <c r="J1244" s="13">
        <f>[2]S1!J1245</f>
        <v>0</v>
      </c>
      <c r="K1244" s="19">
        <f>[2]S1!K1245</f>
        <v>202</v>
      </c>
      <c r="L1244" s="52">
        <f>[2]S1!L1245</f>
        <v>0</v>
      </c>
      <c r="M1244" s="58">
        <f>[2]S1!M1245</f>
        <v>0</v>
      </c>
      <c r="N1244" s="49">
        <f>[2]S1!P1245</f>
        <v>7742360357</v>
      </c>
    </row>
    <row r="1245" spans="1:14" x14ac:dyDescent="0.3">
      <c r="A1245" s="11">
        <v>4292</v>
      </c>
      <c r="B1245" s="12" t="str">
        <f>[3]Name!E3296</f>
        <v>Lali Devi alohiya</v>
      </c>
      <c r="C1245" s="13">
        <f>[2]S1!C1246</f>
        <v>0</v>
      </c>
      <c r="D1245" s="13">
        <f>[2]S1!D1246</f>
        <v>0</v>
      </c>
      <c r="E1245" s="26">
        <f>[2]S1!E1246</f>
        <v>200</v>
      </c>
      <c r="F1245" s="26">
        <f>[2]S1!F1246</f>
        <v>2</v>
      </c>
      <c r="G1245" s="22">
        <f>[2]S1!G1246</f>
        <v>0</v>
      </c>
      <c r="H1245" s="22">
        <f>[2]S1!H1246</f>
        <v>0</v>
      </c>
      <c r="I1245" s="22">
        <f>[2]S1!I1246</f>
        <v>0</v>
      </c>
      <c r="J1245" s="13">
        <f>[2]S1!J1246</f>
        <v>0</v>
      </c>
      <c r="K1245" s="19">
        <f>[2]S1!K1246</f>
        <v>202</v>
      </c>
      <c r="L1245" s="52">
        <f>[2]S1!L1246</f>
        <v>0</v>
      </c>
      <c r="M1245" s="58">
        <f>[2]S1!M1246</f>
        <v>0</v>
      </c>
      <c r="N1245" s="49">
        <f>[2]S1!P1246</f>
        <v>7742360357</v>
      </c>
    </row>
    <row r="1246" spans="1:14" x14ac:dyDescent="0.3">
      <c r="A1246" s="11">
        <v>4293</v>
      </c>
      <c r="B1246" s="12" t="str">
        <f>[3]Name!E3297</f>
        <v>Ladu Ram Bhati</v>
      </c>
      <c r="C1246" s="13">
        <f>[2]S1!C1247</f>
        <v>4500</v>
      </c>
      <c r="D1246" s="13">
        <f>[2]S1!D1247</f>
        <v>0</v>
      </c>
      <c r="E1246" s="26">
        <f>[2]S1!E1247</f>
        <v>200</v>
      </c>
      <c r="F1246" s="26">
        <f>[2]S1!F1247</f>
        <v>0</v>
      </c>
      <c r="G1246" s="22">
        <f>[2]S1!G1247</f>
        <v>500</v>
      </c>
      <c r="H1246" s="22">
        <f>[2]S1!H1247</f>
        <v>0</v>
      </c>
      <c r="I1246" s="22">
        <f>[2]S1!I1247</f>
        <v>50</v>
      </c>
      <c r="J1246" s="13">
        <f>[2]S1!J1247</f>
        <v>0</v>
      </c>
      <c r="K1246" s="19">
        <f>[2]S1!K1247</f>
        <v>750</v>
      </c>
      <c r="L1246" s="52">
        <f>[2]S1!L1247</f>
        <v>5000</v>
      </c>
      <c r="M1246" s="58">
        <f>[2]S1!M1247</f>
        <v>5</v>
      </c>
      <c r="N1246" s="49">
        <f>[2]S1!P1247</f>
        <v>9983266659</v>
      </c>
    </row>
    <row r="1247" spans="1:14" x14ac:dyDescent="0.3">
      <c r="A1247" s="11">
        <v>4294</v>
      </c>
      <c r="B1247" s="12" t="str">
        <f>[3]Name!E3298</f>
        <v>Brajesh Kumar Bhati</v>
      </c>
      <c r="C1247" s="13">
        <f>[2]S1!C1248</f>
        <v>4500</v>
      </c>
      <c r="D1247" s="13">
        <f>[2]S1!D1248</f>
        <v>0</v>
      </c>
      <c r="E1247" s="26">
        <f>[2]S1!E1248</f>
        <v>200</v>
      </c>
      <c r="F1247" s="26">
        <f>[2]S1!F1248</f>
        <v>0</v>
      </c>
      <c r="G1247" s="22">
        <f>[2]S1!G1248</f>
        <v>500</v>
      </c>
      <c r="H1247" s="22">
        <f>[2]S1!H1248</f>
        <v>0</v>
      </c>
      <c r="I1247" s="22">
        <f>[2]S1!I1248</f>
        <v>50</v>
      </c>
      <c r="J1247" s="13">
        <f>[2]S1!J1248</f>
        <v>0</v>
      </c>
      <c r="K1247" s="19">
        <f>[2]S1!K1248</f>
        <v>750</v>
      </c>
      <c r="L1247" s="52">
        <f>[2]S1!L1248</f>
        <v>5000</v>
      </c>
      <c r="M1247" s="58">
        <f>[2]S1!M1248</f>
        <v>5</v>
      </c>
      <c r="N1247" s="49">
        <f>[2]S1!P1248</f>
        <v>9983266659</v>
      </c>
    </row>
    <row r="1248" spans="1:14" x14ac:dyDescent="0.3">
      <c r="A1248" s="11">
        <v>4295</v>
      </c>
      <c r="B1248" s="12" t="str">
        <f>[3]Name!E3299</f>
        <v>Kiran Kumari Bhati</v>
      </c>
      <c r="C1248" s="13">
        <f>[2]S1!C1249</f>
        <v>4500</v>
      </c>
      <c r="D1248" s="13">
        <f>[2]S1!D1249</f>
        <v>0</v>
      </c>
      <c r="E1248" s="26">
        <f>[2]S1!E1249</f>
        <v>200</v>
      </c>
      <c r="F1248" s="26">
        <f>[2]S1!F1249</f>
        <v>0</v>
      </c>
      <c r="G1248" s="22">
        <f>[2]S1!G1249</f>
        <v>500</v>
      </c>
      <c r="H1248" s="22">
        <f>[2]S1!H1249</f>
        <v>0</v>
      </c>
      <c r="I1248" s="22">
        <f>[2]S1!I1249</f>
        <v>50</v>
      </c>
      <c r="J1248" s="13">
        <f>[2]S1!J1249</f>
        <v>0</v>
      </c>
      <c r="K1248" s="19">
        <f>[2]S1!K1249</f>
        <v>750</v>
      </c>
      <c r="L1248" s="52">
        <f>[2]S1!L1249</f>
        <v>5000</v>
      </c>
      <c r="M1248" s="58">
        <f>[2]S1!M1249</f>
        <v>5</v>
      </c>
      <c r="N1248" s="49">
        <f>[2]S1!P1249</f>
        <v>9983266659</v>
      </c>
    </row>
    <row r="1249" spans="1:14" x14ac:dyDescent="0.3">
      <c r="A1249" s="11">
        <v>4296</v>
      </c>
      <c r="B1249" s="12" t="str">
        <f>[3]Name!E3300</f>
        <v>Puja Kumari Bal</v>
      </c>
      <c r="C1249" s="13">
        <f>[2]S1!C1250</f>
        <v>4500</v>
      </c>
      <c r="D1249" s="13">
        <f>[2]S1!D1250</f>
        <v>0</v>
      </c>
      <c r="E1249" s="26">
        <f>[2]S1!E1250</f>
        <v>200</v>
      </c>
      <c r="F1249" s="26">
        <f>[2]S1!F1250</f>
        <v>0</v>
      </c>
      <c r="G1249" s="22">
        <f>[2]S1!G1250</f>
        <v>500</v>
      </c>
      <c r="H1249" s="22">
        <f>[2]S1!H1250</f>
        <v>0</v>
      </c>
      <c r="I1249" s="22">
        <f>[2]S1!I1250</f>
        <v>50</v>
      </c>
      <c r="J1249" s="13">
        <f>[2]S1!J1250</f>
        <v>0</v>
      </c>
      <c r="K1249" s="19">
        <f>[2]S1!K1250</f>
        <v>750</v>
      </c>
      <c r="L1249" s="52">
        <f>[2]S1!L1250</f>
        <v>5000</v>
      </c>
      <c r="M1249" s="58">
        <f>[2]S1!M1250</f>
        <v>5</v>
      </c>
      <c r="N1249" s="49">
        <f>[2]S1!P1250</f>
        <v>9314110308</v>
      </c>
    </row>
    <row r="1250" spans="1:14" x14ac:dyDescent="0.3">
      <c r="A1250" s="11">
        <v>4297</v>
      </c>
      <c r="B1250" s="12" t="str">
        <f>[3]Name!E3301</f>
        <v>Ramkaran Bal</v>
      </c>
      <c r="C1250" s="13">
        <f>[2]S1!C1251</f>
        <v>4500</v>
      </c>
      <c r="D1250" s="13">
        <f>[2]S1!D1251</f>
        <v>0</v>
      </c>
      <c r="E1250" s="26">
        <f>[2]S1!E1251</f>
        <v>200</v>
      </c>
      <c r="F1250" s="26">
        <f>[2]S1!F1251</f>
        <v>0</v>
      </c>
      <c r="G1250" s="22">
        <f>[2]S1!G1251</f>
        <v>500</v>
      </c>
      <c r="H1250" s="22">
        <f>[2]S1!H1251</f>
        <v>0</v>
      </c>
      <c r="I1250" s="22">
        <f>[2]S1!I1251</f>
        <v>50</v>
      </c>
      <c r="J1250" s="13">
        <f>[2]S1!J1251</f>
        <v>0</v>
      </c>
      <c r="K1250" s="19">
        <f>[2]S1!K1251</f>
        <v>750</v>
      </c>
      <c r="L1250" s="52">
        <f>[2]S1!L1251</f>
        <v>5000</v>
      </c>
      <c r="M1250" s="58">
        <f>[2]S1!M1251</f>
        <v>5</v>
      </c>
      <c r="N1250" s="49">
        <f>[2]S1!P1251</f>
        <v>9314110308</v>
      </c>
    </row>
    <row r="1251" spans="1:14" x14ac:dyDescent="0.3">
      <c r="A1251" s="11">
        <v>4298</v>
      </c>
      <c r="B1251" s="12" t="str">
        <f>[3]Name!E3302</f>
        <v>Aarti Kumari Bal</v>
      </c>
      <c r="C1251" s="13">
        <f>[2]S1!C1252</f>
        <v>4500</v>
      </c>
      <c r="D1251" s="13">
        <f>[2]S1!D1252</f>
        <v>0</v>
      </c>
      <c r="E1251" s="26">
        <f>[2]S1!E1252</f>
        <v>200</v>
      </c>
      <c r="F1251" s="26">
        <f>[2]S1!F1252</f>
        <v>0</v>
      </c>
      <c r="G1251" s="22">
        <f>[2]S1!G1252</f>
        <v>500</v>
      </c>
      <c r="H1251" s="22">
        <f>[2]S1!H1252</f>
        <v>0</v>
      </c>
      <c r="I1251" s="22">
        <f>[2]S1!I1252</f>
        <v>50</v>
      </c>
      <c r="J1251" s="13">
        <f>[2]S1!J1252</f>
        <v>0</v>
      </c>
      <c r="K1251" s="19">
        <f>[2]S1!K1252</f>
        <v>750</v>
      </c>
      <c r="L1251" s="52">
        <f>[2]S1!L1252</f>
        <v>5000</v>
      </c>
      <c r="M1251" s="58">
        <f>[2]S1!M1252</f>
        <v>5</v>
      </c>
      <c r="N1251" s="49">
        <f>[2]S1!P1252</f>
        <v>9314110308</v>
      </c>
    </row>
    <row r="1252" spans="1:14" x14ac:dyDescent="0.3">
      <c r="A1252" s="11">
        <v>4299</v>
      </c>
      <c r="B1252" s="12" t="str">
        <f>[3]Name!E3303</f>
        <v>Birdichad Bal</v>
      </c>
      <c r="C1252" s="13">
        <f>[2]S1!C1253</f>
        <v>4500</v>
      </c>
      <c r="D1252" s="13">
        <f>[2]S1!D1253</f>
        <v>0</v>
      </c>
      <c r="E1252" s="26">
        <f>[2]S1!E1253</f>
        <v>200</v>
      </c>
      <c r="F1252" s="26">
        <f>[2]S1!F1253</f>
        <v>0</v>
      </c>
      <c r="G1252" s="22">
        <f>[2]S1!G1253</f>
        <v>0</v>
      </c>
      <c r="H1252" s="22">
        <f>[2]S1!H1253</f>
        <v>0</v>
      </c>
      <c r="I1252" s="22">
        <f>[2]S1!I1253</f>
        <v>40</v>
      </c>
      <c r="J1252" s="13">
        <f>[2]S1!J1253</f>
        <v>0</v>
      </c>
      <c r="K1252" s="19">
        <f>[2]S1!K1253</f>
        <v>240</v>
      </c>
      <c r="L1252" s="52">
        <f>[2]S1!L1253</f>
        <v>3966</v>
      </c>
      <c r="M1252" s="58">
        <f>[2]S1!M1253</f>
        <v>5</v>
      </c>
      <c r="N1252" s="49">
        <f>[2]S1!P1253</f>
        <v>9314110308</v>
      </c>
    </row>
    <row r="1253" spans="1:14" x14ac:dyDescent="0.3">
      <c r="A1253" s="11">
        <v>4300</v>
      </c>
      <c r="B1253" s="12" t="str">
        <f>[3]Name!E3304</f>
        <v>Mohan Kumar Bal</v>
      </c>
      <c r="C1253" s="13">
        <f>[2]S1!C1254</f>
        <v>4500</v>
      </c>
      <c r="D1253" s="13">
        <f>[2]S1!D1254</f>
        <v>0</v>
      </c>
      <c r="E1253" s="26">
        <f>[2]S1!E1254</f>
        <v>200</v>
      </c>
      <c r="F1253" s="26">
        <f>[2]S1!F1254</f>
        <v>0</v>
      </c>
      <c r="G1253" s="22">
        <f>[2]S1!G1254</f>
        <v>0</v>
      </c>
      <c r="H1253" s="22">
        <f>[2]S1!H1254</f>
        <v>0</v>
      </c>
      <c r="I1253" s="22">
        <f>[2]S1!I1254</f>
        <v>0</v>
      </c>
      <c r="J1253" s="13">
        <f>[2]S1!J1254</f>
        <v>0</v>
      </c>
      <c r="K1253" s="19">
        <f>[2]S1!K1254</f>
        <v>200</v>
      </c>
      <c r="L1253" s="52">
        <f>[2]S1!L1254</f>
        <v>0</v>
      </c>
      <c r="M1253" s="58">
        <f>[2]S1!M1254</f>
        <v>0</v>
      </c>
      <c r="N1253" s="49">
        <f>[2]S1!P1254</f>
        <v>9314110308</v>
      </c>
    </row>
    <row r="1254" spans="1:14" x14ac:dyDescent="0.3">
      <c r="A1254" s="11">
        <v>4301</v>
      </c>
      <c r="B1254" s="12" t="str">
        <f>[3]Name!E3305</f>
        <v>Babu Lal Samariya</v>
      </c>
      <c r="C1254" s="13">
        <f>[2]S1!C1255</f>
        <v>1000</v>
      </c>
      <c r="D1254" s="13">
        <f>[2]S1!D1255</f>
        <v>0</v>
      </c>
      <c r="E1254" s="26">
        <f>[2]S1!E1255</f>
        <v>200</v>
      </c>
      <c r="F1254" s="26">
        <f>[2]S1!F1255</f>
        <v>0</v>
      </c>
      <c r="G1254" s="22">
        <f>[2]S1!G1255</f>
        <v>1000</v>
      </c>
      <c r="H1254" s="22">
        <f>[2]S1!H1255</f>
        <v>0</v>
      </c>
      <c r="I1254" s="22">
        <f>[2]S1!I1255</f>
        <v>200</v>
      </c>
      <c r="J1254" s="13">
        <f>[2]S1!J1255</f>
        <v>0</v>
      </c>
      <c r="K1254" s="19">
        <f>[2]S1!K1255</f>
        <v>1400</v>
      </c>
      <c r="L1254" s="52">
        <f>[2]S1!L1255</f>
        <v>20000</v>
      </c>
      <c r="M1254" s="58">
        <f>[2]S1!M1255</f>
        <v>1</v>
      </c>
      <c r="N1254" s="49">
        <f>[2]S1!P1255</f>
        <v>8003247594</v>
      </c>
    </row>
    <row r="1255" spans="1:14" x14ac:dyDescent="0.3">
      <c r="A1255" s="11">
        <v>4302</v>
      </c>
      <c r="B1255" s="12" t="str">
        <f>[3]Name!E3306</f>
        <v>Prakash Samariya</v>
      </c>
      <c r="C1255" s="13">
        <f>[2]S1!C1256</f>
        <v>1000</v>
      </c>
      <c r="D1255" s="13">
        <f>[2]S1!D1256</f>
        <v>0</v>
      </c>
      <c r="E1255" s="26">
        <f>[2]S1!E1256</f>
        <v>200</v>
      </c>
      <c r="F1255" s="26">
        <f>[2]S1!F1256</f>
        <v>0</v>
      </c>
      <c r="G1255" s="22">
        <f>[2]S1!G1256</f>
        <v>1000</v>
      </c>
      <c r="H1255" s="22">
        <f>[2]S1!H1256</f>
        <v>0</v>
      </c>
      <c r="I1255" s="22">
        <f>[2]S1!I1256</f>
        <v>200</v>
      </c>
      <c r="J1255" s="13">
        <f>[2]S1!J1256</f>
        <v>0</v>
      </c>
      <c r="K1255" s="19">
        <f>[2]S1!K1256</f>
        <v>1400</v>
      </c>
      <c r="L1255" s="52">
        <f>[2]S1!L1256</f>
        <v>20000</v>
      </c>
      <c r="M1255" s="58">
        <f>[2]S1!M1256</f>
        <v>1</v>
      </c>
      <c r="N1255" s="49">
        <f>[2]S1!P1256</f>
        <v>8003247594</v>
      </c>
    </row>
    <row r="1256" spans="1:14" x14ac:dyDescent="0.3">
      <c r="A1256" s="11">
        <v>4303</v>
      </c>
      <c r="B1256" s="12" t="str">
        <f>[3]Name!E3307</f>
        <v>Ramsavrup Meharada</v>
      </c>
      <c r="C1256" s="13">
        <f>[2]S1!C1257</f>
        <v>0</v>
      </c>
      <c r="D1256" s="13">
        <f>[2]S1!D1257</f>
        <v>0</v>
      </c>
      <c r="E1256" s="26">
        <f>[2]S1!E1257</f>
        <v>200</v>
      </c>
      <c r="F1256" s="26">
        <f>[2]S1!F1257</f>
        <v>0</v>
      </c>
      <c r="G1256" s="22">
        <f>[2]S1!G1257</f>
        <v>0</v>
      </c>
      <c r="H1256" s="22">
        <f>[2]S1!H1257</f>
        <v>0</v>
      </c>
      <c r="I1256" s="22">
        <f>[2]S1!I1257</f>
        <v>200</v>
      </c>
      <c r="J1256" s="13">
        <f>[2]S1!J1257</f>
        <v>0</v>
      </c>
      <c r="K1256" s="19">
        <f>[2]S1!K1257</f>
        <v>400</v>
      </c>
      <c r="L1256" s="52">
        <f>[2]S1!L1257</f>
        <v>20000</v>
      </c>
      <c r="M1256" s="58">
        <f>[2]S1!M1257</f>
        <v>2</v>
      </c>
      <c r="N1256" s="49">
        <f>[2]S1!P1257</f>
        <v>9694390502</v>
      </c>
    </row>
    <row r="1257" spans="1:14" x14ac:dyDescent="0.3">
      <c r="A1257" s="11">
        <v>4304</v>
      </c>
      <c r="B1257" s="12" t="str">
        <f>[3]Name!E3308</f>
        <v>mamta Devi Meharda</v>
      </c>
      <c r="C1257" s="13">
        <f>[2]S1!C1258</f>
        <v>1000</v>
      </c>
      <c r="D1257" s="13">
        <f>[2]S1!D1258</f>
        <v>0</v>
      </c>
      <c r="E1257" s="26">
        <f>[2]S1!E1258</f>
        <v>200</v>
      </c>
      <c r="F1257" s="26">
        <f>[2]S1!F1258</f>
        <v>0</v>
      </c>
      <c r="G1257" s="22">
        <f>[2]S1!G1258</f>
        <v>1000</v>
      </c>
      <c r="H1257" s="22">
        <f>[2]S1!H1258</f>
        <v>0</v>
      </c>
      <c r="I1257" s="22">
        <f>[2]S1!I1258</f>
        <v>200</v>
      </c>
      <c r="J1257" s="13">
        <f>[2]S1!J1258</f>
        <v>0</v>
      </c>
      <c r="K1257" s="19">
        <f>[2]S1!K1258</f>
        <v>1400</v>
      </c>
      <c r="L1257" s="52">
        <f>[2]S1!L1258</f>
        <v>20000</v>
      </c>
      <c r="M1257" s="58">
        <f>[2]S1!M1258</f>
        <v>1</v>
      </c>
      <c r="N1257" s="49">
        <f>[2]S1!P1258</f>
        <v>9694390502</v>
      </c>
    </row>
    <row r="1258" spans="1:14" x14ac:dyDescent="0.3">
      <c r="A1258" s="11">
        <v>4305</v>
      </c>
      <c r="B1258" s="12" t="str">
        <f>[3]Name!E3309</f>
        <v>Ramkisor</v>
      </c>
      <c r="C1258" s="13">
        <f>[2]S1!C1259</f>
        <v>4500</v>
      </c>
      <c r="D1258" s="13">
        <f>[2]S1!D1259</f>
        <v>0</v>
      </c>
      <c r="E1258" s="26">
        <f>[2]S1!E1259</f>
        <v>200</v>
      </c>
      <c r="F1258" s="26">
        <f>[2]S1!F1259</f>
        <v>0</v>
      </c>
      <c r="G1258" s="22">
        <f>[2]S1!G1259</f>
        <v>0</v>
      </c>
      <c r="H1258" s="22">
        <f>[2]S1!H1259</f>
        <v>0</v>
      </c>
      <c r="I1258" s="22">
        <f>[2]S1!I1259</f>
        <v>27</v>
      </c>
      <c r="J1258" s="13">
        <f>[2]S1!J1259</f>
        <v>0</v>
      </c>
      <c r="K1258" s="19">
        <f>[2]S1!K1259</f>
        <v>227</v>
      </c>
      <c r="L1258" s="52">
        <f>[2]S1!L1259</f>
        <v>2686</v>
      </c>
      <c r="M1258" s="58">
        <f>[2]S1!M1259</f>
        <v>5</v>
      </c>
      <c r="N1258" s="49">
        <f>[2]S1!P1259</f>
        <v>9509644420</v>
      </c>
    </row>
    <row r="1259" spans="1:14" x14ac:dyDescent="0.3">
      <c r="A1259" s="11">
        <v>4306</v>
      </c>
      <c r="B1259" s="12" t="str">
        <f>[3]Name!E3310</f>
        <v>Basu Kumari</v>
      </c>
      <c r="C1259" s="13">
        <f>[2]S1!C1260</f>
        <v>4500</v>
      </c>
      <c r="D1259" s="13">
        <f>[2]S1!D1260</f>
        <v>0</v>
      </c>
      <c r="E1259" s="26">
        <f>[2]S1!E1260</f>
        <v>200</v>
      </c>
      <c r="F1259" s="26">
        <f>[2]S1!F1260</f>
        <v>0</v>
      </c>
      <c r="G1259" s="22">
        <f>[2]S1!G1260</f>
        <v>500</v>
      </c>
      <c r="H1259" s="22">
        <f>[2]S1!H1260</f>
        <v>0</v>
      </c>
      <c r="I1259" s="22">
        <f>[2]S1!I1260</f>
        <v>50</v>
      </c>
      <c r="J1259" s="13">
        <f>[2]S1!J1260</f>
        <v>0</v>
      </c>
      <c r="K1259" s="19">
        <f>[2]S1!K1260</f>
        <v>750</v>
      </c>
      <c r="L1259" s="52">
        <f>[2]S1!L1260</f>
        <v>5000</v>
      </c>
      <c r="M1259" s="58">
        <f>[2]S1!M1260</f>
        <v>5</v>
      </c>
      <c r="N1259" s="49">
        <f>[2]S1!P1260</f>
        <v>9509644420</v>
      </c>
    </row>
    <row r="1260" spans="1:14" x14ac:dyDescent="0.3">
      <c r="A1260" s="11">
        <v>4307</v>
      </c>
      <c r="B1260" s="12" t="str">
        <f>[3]Name!E3311</f>
        <v>Hemraj Kandela</v>
      </c>
      <c r="C1260" s="13">
        <f>[2]S1!C1261</f>
        <v>1000</v>
      </c>
      <c r="D1260" s="13">
        <f>[2]S1!D1261</f>
        <v>0</v>
      </c>
      <c r="E1260" s="26">
        <f>[2]S1!E1261</f>
        <v>200</v>
      </c>
      <c r="F1260" s="26">
        <f>[2]S1!F1261</f>
        <v>0</v>
      </c>
      <c r="G1260" s="22">
        <f>[2]S1!G1261</f>
        <v>1000</v>
      </c>
      <c r="H1260" s="22">
        <f>[2]S1!H1261</f>
        <v>0</v>
      </c>
      <c r="I1260" s="22">
        <f>[2]S1!I1261</f>
        <v>180</v>
      </c>
      <c r="J1260" s="13">
        <f>[2]S1!J1261</f>
        <v>0</v>
      </c>
      <c r="K1260" s="19">
        <f>[2]S1!K1261</f>
        <v>1380</v>
      </c>
      <c r="L1260" s="52">
        <f>[2]S1!L1261</f>
        <v>18000</v>
      </c>
      <c r="M1260" s="58">
        <f>[2]S1!M1261</f>
        <v>3</v>
      </c>
      <c r="N1260" s="49">
        <f>[2]S1!P1261</f>
        <v>8279298677</v>
      </c>
    </row>
    <row r="1261" spans="1:14" x14ac:dyDescent="0.3">
      <c r="A1261" s="11">
        <v>4308</v>
      </c>
      <c r="B1261" s="12" t="str">
        <f>[3]Name!E3312</f>
        <v>Rajesh Kumar Godeta</v>
      </c>
      <c r="C1261" s="13">
        <f>[2]S1!C1262</f>
        <v>0</v>
      </c>
      <c r="D1261" s="13">
        <f>[2]S1!D1262</f>
        <v>0</v>
      </c>
      <c r="E1261" s="26">
        <f>[2]S1!E1262</f>
        <v>200</v>
      </c>
      <c r="F1261" s="26">
        <f>[2]S1!F1262</f>
        <v>0</v>
      </c>
      <c r="G1261" s="22">
        <f>[2]S1!G1262</f>
        <v>0</v>
      </c>
      <c r="H1261" s="22">
        <f>[2]S1!H1262</f>
        <v>0</v>
      </c>
      <c r="I1261" s="22">
        <f>[2]S1!I1262</f>
        <v>0</v>
      </c>
      <c r="J1261" s="13">
        <f>[2]S1!J1262</f>
        <v>0</v>
      </c>
      <c r="K1261" s="19">
        <f>[2]S1!K1262</f>
        <v>200</v>
      </c>
      <c r="L1261" s="52">
        <f>[2]S1!L1262</f>
        <v>0</v>
      </c>
      <c r="M1261" s="58">
        <f>[2]S1!M1262</f>
        <v>0</v>
      </c>
      <c r="N1261" s="49">
        <f>[2]S1!P1262</f>
        <v>8769913917</v>
      </c>
    </row>
    <row r="1262" spans="1:14" x14ac:dyDescent="0.3">
      <c r="A1262" s="11">
        <v>4309</v>
      </c>
      <c r="B1262" s="12" t="str">
        <f>[3]Name!E3313</f>
        <v>Manna Devi Kala</v>
      </c>
      <c r="C1262" s="13">
        <f>[2]S1!C1263</f>
        <v>4500</v>
      </c>
      <c r="D1262" s="13">
        <f>[2]S1!D1263</f>
        <v>0</v>
      </c>
      <c r="E1262" s="26">
        <f>[2]S1!E1263</f>
        <v>200</v>
      </c>
      <c r="F1262" s="26">
        <f>[2]S1!F1263</f>
        <v>0</v>
      </c>
      <c r="G1262" s="22">
        <f>[2]S1!G1263</f>
        <v>0</v>
      </c>
      <c r="H1262" s="22">
        <f>[2]S1!H1263</f>
        <v>0</v>
      </c>
      <c r="I1262" s="22">
        <f>[2]S1!I1263</f>
        <v>45</v>
      </c>
      <c r="J1262" s="13">
        <f>[2]S1!J1263</f>
        <v>0</v>
      </c>
      <c r="K1262" s="19">
        <f>[2]S1!K1263</f>
        <v>245</v>
      </c>
      <c r="L1262" s="52">
        <f>[2]S1!L1263</f>
        <v>4500</v>
      </c>
      <c r="M1262" s="58">
        <f>[2]S1!M1263</f>
        <v>5</v>
      </c>
      <c r="N1262" s="49">
        <f>[2]S1!P1263</f>
        <v>9799808935</v>
      </c>
    </row>
    <row r="1263" spans="1:14" x14ac:dyDescent="0.3">
      <c r="A1263" s="11">
        <v>4310</v>
      </c>
      <c r="B1263" s="12" t="str">
        <f>[3]Name!E3314</f>
        <v>Nathu Lal Khardiya</v>
      </c>
      <c r="C1263" s="13">
        <f>[2]S1!C1264</f>
        <v>4500</v>
      </c>
      <c r="D1263" s="13">
        <f>[2]S1!D1264</f>
        <v>0</v>
      </c>
      <c r="E1263" s="26">
        <f>[2]S1!E1264</f>
        <v>200</v>
      </c>
      <c r="F1263" s="26">
        <f>[2]S1!F1264</f>
        <v>0</v>
      </c>
      <c r="G1263" s="22">
        <f>[2]S1!G1264</f>
        <v>500</v>
      </c>
      <c r="H1263" s="22">
        <f>[2]S1!H1264</f>
        <v>0</v>
      </c>
      <c r="I1263" s="22">
        <f>[2]S1!I1264</f>
        <v>50</v>
      </c>
      <c r="J1263" s="13">
        <f>[2]S1!J1264</f>
        <v>0</v>
      </c>
      <c r="K1263" s="19">
        <f>[2]S1!K1264</f>
        <v>750</v>
      </c>
      <c r="L1263" s="52">
        <f>[2]S1!L1264</f>
        <v>5000</v>
      </c>
      <c r="M1263" s="58">
        <f>[2]S1!M1264</f>
        <v>5</v>
      </c>
      <c r="N1263" s="49">
        <f>[2]S1!P1264</f>
        <v>7791888847</v>
      </c>
    </row>
    <row r="1264" spans="1:14" x14ac:dyDescent="0.3">
      <c r="A1264" s="11">
        <v>4311</v>
      </c>
      <c r="B1264" s="12" t="str">
        <f>[3]Name!E3315</f>
        <v>Sima Devi Khardiya</v>
      </c>
      <c r="C1264" s="13">
        <f>[2]S1!C1265</f>
        <v>4500</v>
      </c>
      <c r="D1264" s="13">
        <f>[2]S1!D1265</f>
        <v>0</v>
      </c>
      <c r="E1264" s="26">
        <f>[2]S1!E1265</f>
        <v>200</v>
      </c>
      <c r="F1264" s="26">
        <f>[2]S1!F1265</f>
        <v>0</v>
      </c>
      <c r="G1264" s="22">
        <f>[2]S1!G1265</f>
        <v>500</v>
      </c>
      <c r="H1264" s="22">
        <f>[2]S1!H1265</f>
        <v>0</v>
      </c>
      <c r="I1264" s="22">
        <f>[2]S1!I1265</f>
        <v>50</v>
      </c>
      <c r="J1264" s="13">
        <f>[2]S1!J1265</f>
        <v>0</v>
      </c>
      <c r="K1264" s="19">
        <f>[2]S1!K1265</f>
        <v>750</v>
      </c>
      <c r="L1264" s="52">
        <f>[2]S1!L1265</f>
        <v>5000</v>
      </c>
      <c r="M1264" s="58">
        <f>[2]S1!M1265</f>
        <v>5</v>
      </c>
      <c r="N1264" s="49">
        <f>[2]S1!P1265</f>
        <v>7791888847</v>
      </c>
    </row>
    <row r="1265" spans="1:14" x14ac:dyDescent="0.3">
      <c r="A1265" s="11">
        <v>4312</v>
      </c>
      <c r="B1265" s="12" t="str">
        <f>[3]Name!E3316</f>
        <v>Chetan Khardiya</v>
      </c>
      <c r="C1265" s="13">
        <f>[2]S1!C1266</f>
        <v>4500</v>
      </c>
      <c r="D1265" s="13">
        <f>[2]S1!D1266</f>
        <v>0</v>
      </c>
      <c r="E1265" s="26">
        <f>[2]S1!E1266</f>
        <v>200</v>
      </c>
      <c r="F1265" s="26">
        <f>[2]S1!F1266</f>
        <v>0</v>
      </c>
      <c r="G1265" s="22">
        <f>[2]S1!G1266</f>
        <v>500</v>
      </c>
      <c r="H1265" s="22">
        <f>[2]S1!H1266</f>
        <v>0</v>
      </c>
      <c r="I1265" s="22">
        <f>[2]S1!I1266</f>
        <v>50</v>
      </c>
      <c r="J1265" s="13">
        <f>[2]S1!J1266</f>
        <v>0</v>
      </c>
      <c r="K1265" s="19">
        <f>[2]S1!K1266</f>
        <v>750</v>
      </c>
      <c r="L1265" s="52">
        <f>[2]S1!L1266</f>
        <v>5000</v>
      </c>
      <c r="M1265" s="58">
        <f>[2]S1!M1266</f>
        <v>5</v>
      </c>
      <c r="N1265" s="49">
        <f>[2]S1!P1266</f>
        <v>7791888847</v>
      </c>
    </row>
    <row r="1266" spans="1:14" x14ac:dyDescent="0.3">
      <c r="A1266" s="11">
        <v>4313</v>
      </c>
      <c r="B1266" s="12" t="str">
        <f>[3]Name!E3317</f>
        <v>Jagadish Kumar Khardiya</v>
      </c>
      <c r="C1266" s="13">
        <f>[2]S1!C1267</f>
        <v>4500</v>
      </c>
      <c r="D1266" s="13">
        <f>[2]S1!D1267</f>
        <v>0</v>
      </c>
      <c r="E1266" s="26">
        <f>[2]S1!E1267</f>
        <v>800</v>
      </c>
      <c r="F1266" s="26">
        <f>[2]S1!F1267</f>
        <v>51</v>
      </c>
      <c r="G1266" s="22">
        <f>[2]S1!G1267</f>
        <v>500</v>
      </c>
      <c r="H1266" s="22">
        <f>[2]S1!H1267</f>
        <v>3</v>
      </c>
      <c r="I1266" s="22">
        <f>[2]S1!I1267</f>
        <v>100</v>
      </c>
      <c r="J1266" s="13">
        <f>[2]S1!J1267</f>
        <v>0</v>
      </c>
      <c r="K1266" s="19">
        <f>[2]S1!K1267</f>
        <v>1454</v>
      </c>
      <c r="L1266" s="52">
        <f>[2]S1!L1267</f>
        <v>5000</v>
      </c>
      <c r="M1266" s="58">
        <f>[2]S1!M1267</f>
        <v>5</v>
      </c>
      <c r="N1266" s="49">
        <f>[2]S1!P1267</f>
        <v>8386966572</v>
      </c>
    </row>
    <row r="1267" spans="1:14" x14ac:dyDescent="0.3">
      <c r="A1267" s="11">
        <v>4314</v>
      </c>
      <c r="B1267" s="12" t="str">
        <f>[3]Name!E3318</f>
        <v>Sajana Devi Khardiya</v>
      </c>
      <c r="C1267" s="13">
        <f>[2]S1!C1268</f>
        <v>4500</v>
      </c>
      <c r="D1267" s="13">
        <f>[2]S1!D1268</f>
        <v>0</v>
      </c>
      <c r="E1267" s="26">
        <f>[2]S1!E1268</f>
        <v>800</v>
      </c>
      <c r="F1267" s="26">
        <f>[2]S1!F1268</f>
        <v>51</v>
      </c>
      <c r="G1267" s="22">
        <f>[2]S1!G1268</f>
        <v>500</v>
      </c>
      <c r="H1267" s="22">
        <f>[2]S1!H1268</f>
        <v>3</v>
      </c>
      <c r="I1267" s="22">
        <f>[2]S1!I1268</f>
        <v>100</v>
      </c>
      <c r="J1267" s="13">
        <f>[2]S1!J1268</f>
        <v>0</v>
      </c>
      <c r="K1267" s="19">
        <f>[2]S1!K1268</f>
        <v>1454</v>
      </c>
      <c r="L1267" s="52">
        <f>[2]S1!L1268</f>
        <v>5000</v>
      </c>
      <c r="M1267" s="58">
        <f>[2]S1!M1268</f>
        <v>5</v>
      </c>
      <c r="N1267" s="49">
        <f>[2]S1!P1268</f>
        <v>8386966572</v>
      </c>
    </row>
    <row r="1268" spans="1:14" x14ac:dyDescent="0.3">
      <c r="A1268" s="11">
        <v>4315</v>
      </c>
      <c r="B1268" s="12" t="str">
        <f>[3]Name!E3319</f>
        <v>Nikita Khardiya</v>
      </c>
      <c r="C1268" s="13">
        <f>[2]S1!C1269</f>
        <v>4500</v>
      </c>
      <c r="D1268" s="13">
        <f>[2]S1!D1269</f>
        <v>0</v>
      </c>
      <c r="E1268" s="26">
        <f>[2]S1!E1269</f>
        <v>569</v>
      </c>
      <c r="F1268" s="26">
        <f>[2]S1!F1269</f>
        <v>27</v>
      </c>
      <c r="G1268" s="22">
        <f>[2]S1!G1269</f>
        <v>500</v>
      </c>
      <c r="H1268" s="22">
        <f>[2]S1!H1269</f>
        <v>3</v>
      </c>
      <c r="I1268" s="22">
        <f>[2]S1!I1269</f>
        <v>100</v>
      </c>
      <c r="J1268" s="13">
        <f>[2]S1!J1269</f>
        <v>0</v>
      </c>
      <c r="K1268" s="19">
        <f>[2]S1!K1269</f>
        <v>1199</v>
      </c>
      <c r="L1268" s="52">
        <f>[2]S1!L1269</f>
        <v>5000</v>
      </c>
      <c r="M1268" s="58">
        <f>[2]S1!M1269</f>
        <v>5</v>
      </c>
      <c r="N1268" s="49">
        <f>[2]S1!P1269</f>
        <v>8386966572</v>
      </c>
    </row>
    <row r="1269" spans="1:14" x14ac:dyDescent="0.3">
      <c r="A1269" s="11">
        <v>4316</v>
      </c>
      <c r="B1269" s="12" t="str">
        <f>[3]Name!E3320</f>
        <v>Kana Ram Sachoriya</v>
      </c>
      <c r="C1269" s="13">
        <f>[2]S1!C1270</f>
        <v>0</v>
      </c>
      <c r="D1269" s="13">
        <f>[2]S1!D1270</f>
        <v>0</v>
      </c>
      <c r="E1269" s="26">
        <f>[2]S1!E1270</f>
        <v>200</v>
      </c>
      <c r="F1269" s="26">
        <f>[2]S1!F1270</f>
        <v>0</v>
      </c>
      <c r="G1269" s="22">
        <f>[2]S1!G1270</f>
        <v>0</v>
      </c>
      <c r="H1269" s="22">
        <f>[2]S1!H1270</f>
        <v>0</v>
      </c>
      <c r="I1269" s="22">
        <f>[2]S1!I1270</f>
        <v>0</v>
      </c>
      <c r="J1269" s="13">
        <f>[2]S1!J1270</f>
        <v>0</v>
      </c>
      <c r="K1269" s="19">
        <f>[2]S1!K1270</f>
        <v>200</v>
      </c>
      <c r="L1269" s="52">
        <f>[2]S1!L1270</f>
        <v>0</v>
      </c>
      <c r="M1269" s="58">
        <f>[2]S1!M1270</f>
        <v>0</v>
      </c>
      <c r="N1269" s="49">
        <f>[2]S1!P1270</f>
        <v>9602956137</v>
      </c>
    </row>
    <row r="1270" spans="1:14" x14ac:dyDescent="0.3">
      <c r="A1270" s="11">
        <v>4317</v>
      </c>
      <c r="B1270" s="12" t="str">
        <f>[3]Name!E3321</f>
        <v>Gulab Devi Sachoriya</v>
      </c>
      <c r="C1270" s="13">
        <f>[2]S1!C1271</f>
        <v>0</v>
      </c>
      <c r="D1270" s="13">
        <f>[2]S1!D1271</f>
        <v>0</v>
      </c>
      <c r="E1270" s="26">
        <f>[2]S1!E1271</f>
        <v>200</v>
      </c>
      <c r="F1270" s="26">
        <f>[2]S1!F1271</f>
        <v>0</v>
      </c>
      <c r="G1270" s="22">
        <f>[2]S1!G1271</f>
        <v>0</v>
      </c>
      <c r="H1270" s="22">
        <f>[2]S1!H1271</f>
        <v>0</v>
      </c>
      <c r="I1270" s="22">
        <f>[2]S1!I1271</f>
        <v>0</v>
      </c>
      <c r="J1270" s="13">
        <f>[2]S1!J1271</f>
        <v>0</v>
      </c>
      <c r="K1270" s="19">
        <f>[2]S1!K1271</f>
        <v>200</v>
      </c>
      <c r="L1270" s="52">
        <f>[2]S1!L1271</f>
        <v>0</v>
      </c>
      <c r="M1270" s="58">
        <f>[2]S1!M1271</f>
        <v>0</v>
      </c>
      <c r="N1270" s="49">
        <f>[2]S1!P1271</f>
        <v>9602956137</v>
      </c>
    </row>
    <row r="1271" spans="1:14" x14ac:dyDescent="0.3">
      <c r="A1271" s="11">
        <v>4318</v>
      </c>
      <c r="B1271" s="12" t="str">
        <f>[3]Name!E3322</f>
        <v>Aman Kumar Badela</v>
      </c>
      <c r="C1271" s="13">
        <f>[2]S1!C1272</f>
        <v>2000</v>
      </c>
      <c r="D1271" s="13">
        <f>[2]S1!D1272</f>
        <v>0</v>
      </c>
      <c r="E1271" s="26">
        <f>[2]S1!E1272</f>
        <v>200</v>
      </c>
      <c r="F1271" s="26">
        <f>[2]S1!F1272</f>
        <v>0</v>
      </c>
      <c r="G1271" s="22">
        <f>[2]S1!G1272</f>
        <v>2000</v>
      </c>
      <c r="H1271" s="22">
        <f>[2]S1!H1272</f>
        <v>0</v>
      </c>
      <c r="I1271" s="22">
        <f>[2]S1!I1272</f>
        <v>140</v>
      </c>
      <c r="J1271" s="13">
        <f>[2]S1!J1272</f>
        <v>0</v>
      </c>
      <c r="K1271" s="19">
        <f>[2]S1!K1272</f>
        <v>2340</v>
      </c>
      <c r="L1271" s="52">
        <f>[2]S1!L1272</f>
        <v>14000</v>
      </c>
      <c r="M1271" s="58">
        <f>[2]S1!M1272</f>
        <v>4</v>
      </c>
      <c r="N1271" s="49">
        <f>[2]S1!P1272</f>
        <v>8107212427</v>
      </c>
    </row>
    <row r="1272" spans="1:14" x14ac:dyDescent="0.3">
      <c r="A1272" s="11">
        <v>4319</v>
      </c>
      <c r="B1272" s="12" t="str">
        <f>[3]Name!E3323</f>
        <v>Aakash Kumar Badela</v>
      </c>
      <c r="C1272" s="13">
        <f>[2]S1!C1273</f>
        <v>2000</v>
      </c>
      <c r="D1272" s="13">
        <f>[2]S1!D1273</f>
        <v>0</v>
      </c>
      <c r="E1272" s="26">
        <f>[2]S1!E1273</f>
        <v>200</v>
      </c>
      <c r="F1272" s="26">
        <f>[2]S1!F1273</f>
        <v>0</v>
      </c>
      <c r="G1272" s="22">
        <f>[2]S1!G1273</f>
        <v>2000</v>
      </c>
      <c r="H1272" s="22">
        <f>[2]S1!H1273</f>
        <v>0</v>
      </c>
      <c r="I1272" s="22">
        <f>[2]S1!I1273</f>
        <v>140</v>
      </c>
      <c r="J1272" s="13">
        <f>[2]S1!J1273</f>
        <v>0</v>
      </c>
      <c r="K1272" s="19">
        <f>[2]S1!K1273</f>
        <v>2340</v>
      </c>
      <c r="L1272" s="52">
        <f>[2]S1!L1273</f>
        <v>14000</v>
      </c>
      <c r="M1272" s="58">
        <f>[2]S1!M1273</f>
        <v>4</v>
      </c>
      <c r="N1272" s="49">
        <f>[2]S1!P1273</f>
        <v>8107212427</v>
      </c>
    </row>
    <row r="1273" spans="1:14" x14ac:dyDescent="0.3">
      <c r="A1273" s="11">
        <v>4320</v>
      </c>
      <c r="B1273" s="12" t="str">
        <f>[3]Name!E3324</f>
        <v>Sima Kumari Badela</v>
      </c>
      <c r="C1273" s="13">
        <f>[2]S1!C1274</f>
        <v>2000</v>
      </c>
      <c r="D1273" s="13">
        <f>[2]S1!D1274</f>
        <v>0</v>
      </c>
      <c r="E1273" s="26">
        <f>[2]S1!E1274</f>
        <v>200</v>
      </c>
      <c r="F1273" s="26">
        <f>[2]S1!F1274</f>
        <v>0</v>
      </c>
      <c r="G1273" s="22">
        <f>[2]S1!G1274</f>
        <v>2000</v>
      </c>
      <c r="H1273" s="22">
        <f>[2]S1!H1274</f>
        <v>0</v>
      </c>
      <c r="I1273" s="22">
        <f>[2]S1!I1274</f>
        <v>140</v>
      </c>
      <c r="J1273" s="13">
        <f>[2]S1!J1274</f>
        <v>0</v>
      </c>
      <c r="K1273" s="19">
        <f>[2]S1!K1274</f>
        <v>2340</v>
      </c>
      <c r="L1273" s="52">
        <f>[2]S1!L1274</f>
        <v>14000</v>
      </c>
      <c r="M1273" s="58">
        <f>[2]S1!M1274</f>
        <v>4</v>
      </c>
      <c r="N1273" s="49">
        <f>[2]S1!P1274</f>
        <v>8107212427</v>
      </c>
    </row>
    <row r="1274" spans="1:14" x14ac:dyDescent="0.3">
      <c r="A1274" s="11">
        <v>4321</v>
      </c>
      <c r="B1274" s="12" t="str">
        <f>[3]Name!E3325</f>
        <v>Pappu Kumar Badela</v>
      </c>
      <c r="C1274" s="13">
        <f>[2]S1!C1275</f>
        <v>0</v>
      </c>
      <c r="D1274" s="13">
        <f>[2]S1!D1275</f>
        <v>0</v>
      </c>
      <c r="E1274" s="26">
        <f>[2]S1!E1275</f>
        <v>200</v>
      </c>
      <c r="F1274" s="26">
        <f>[2]S1!F1275</f>
        <v>0</v>
      </c>
      <c r="G1274" s="22">
        <f>[2]S1!G1275</f>
        <v>0</v>
      </c>
      <c r="H1274" s="22">
        <f>[2]S1!H1275</f>
        <v>0</v>
      </c>
      <c r="I1274" s="22">
        <f>[2]S1!I1275</f>
        <v>0</v>
      </c>
      <c r="J1274" s="13">
        <f>[2]S1!J1275</f>
        <v>0</v>
      </c>
      <c r="K1274" s="19">
        <f>[2]S1!K1275</f>
        <v>200</v>
      </c>
      <c r="L1274" s="52">
        <f>[2]S1!L1275</f>
        <v>0</v>
      </c>
      <c r="M1274" s="58">
        <f>[2]S1!M1275</f>
        <v>0</v>
      </c>
      <c r="N1274" s="49">
        <f>[2]S1!P1275</f>
        <v>8107212427</v>
      </c>
    </row>
    <row r="1275" spans="1:14" x14ac:dyDescent="0.3">
      <c r="A1275" s="11">
        <v>4322</v>
      </c>
      <c r="B1275" s="12" t="str">
        <f>[3]Name!E3326</f>
        <v>Sunita Devi Depan</v>
      </c>
      <c r="C1275" s="13">
        <f>[2]S1!C1276</f>
        <v>1000</v>
      </c>
      <c r="D1275" s="13">
        <f>[2]S1!D1276</f>
        <v>0</v>
      </c>
      <c r="E1275" s="26">
        <f>[2]S1!E1276</f>
        <v>200</v>
      </c>
      <c r="F1275" s="26">
        <f>[2]S1!F1276</f>
        <v>0</v>
      </c>
      <c r="G1275" s="22">
        <f>[2]S1!G1276</f>
        <v>1000</v>
      </c>
      <c r="H1275" s="22">
        <f>[2]S1!H1276</f>
        <v>0</v>
      </c>
      <c r="I1275" s="22">
        <f>[2]S1!I1276</f>
        <v>160</v>
      </c>
      <c r="J1275" s="13">
        <f>[2]S1!J1276</f>
        <v>0</v>
      </c>
      <c r="K1275" s="19">
        <f>[2]S1!K1276</f>
        <v>1360</v>
      </c>
      <c r="L1275" s="52">
        <f>[2]S1!L1276</f>
        <v>16000</v>
      </c>
      <c r="M1275" s="58">
        <f>[2]S1!M1276</f>
        <v>5</v>
      </c>
      <c r="N1275" s="49">
        <f>[2]S1!P1276</f>
        <v>9929832722</v>
      </c>
    </row>
    <row r="1276" spans="1:14" x14ac:dyDescent="0.3">
      <c r="A1276" s="11">
        <v>4323</v>
      </c>
      <c r="B1276" s="12" t="str">
        <f>[3]Name!E3327</f>
        <v>Prem ChndDepan</v>
      </c>
      <c r="C1276" s="13">
        <f>[2]S1!C1277</f>
        <v>1000</v>
      </c>
      <c r="D1276" s="13">
        <f>[2]S1!D1277</f>
        <v>0</v>
      </c>
      <c r="E1276" s="26">
        <f>[2]S1!E1277</f>
        <v>200</v>
      </c>
      <c r="F1276" s="26">
        <f>[2]S1!F1277</f>
        <v>0</v>
      </c>
      <c r="G1276" s="22">
        <f>[2]S1!G1277</f>
        <v>1000</v>
      </c>
      <c r="H1276" s="22">
        <f>[2]S1!H1277</f>
        <v>0</v>
      </c>
      <c r="I1276" s="22">
        <f>[2]S1!I1277</f>
        <v>160</v>
      </c>
      <c r="J1276" s="13">
        <f>[2]S1!J1277</f>
        <v>0</v>
      </c>
      <c r="K1276" s="19">
        <f>[2]S1!K1277</f>
        <v>1360</v>
      </c>
      <c r="L1276" s="52">
        <f>[2]S1!L1277</f>
        <v>16000</v>
      </c>
      <c r="M1276" s="58">
        <f>[2]S1!M1277</f>
        <v>5</v>
      </c>
      <c r="N1276" s="49">
        <f>[2]S1!P1277</f>
        <v>9929832722</v>
      </c>
    </row>
    <row r="1277" spans="1:14" x14ac:dyDescent="0.3">
      <c r="A1277" s="11">
        <v>4324</v>
      </c>
      <c r="B1277" s="12" t="str">
        <f>[3]Name!E3328</f>
        <v>Palak Budgaya</v>
      </c>
      <c r="C1277" s="13">
        <f>[2]S1!C1278</f>
        <v>1000</v>
      </c>
      <c r="D1277" s="13">
        <f>[2]S1!D1278</f>
        <v>0</v>
      </c>
      <c r="E1277" s="26">
        <f>[2]S1!E1278</f>
        <v>200</v>
      </c>
      <c r="F1277" s="26">
        <f>[2]S1!F1278</f>
        <v>0</v>
      </c>
      <c r="G1277" s="22">
        <f>[2]S1!G1278</f>
        <v>1000</v>
      </c>
      <c r="H1277" s="22">
        <f>[2]S1!H1278</f>
        <v>0</v>
      </c>
      <c r="I1277" s="22">
        <f>[2]S1!I1278</f>
        <v>170</v>
      </c>
      <c r="J1277" s="13">
        <f>[2]S1!J1278</f>
        <v>0</v>
      </c>
      <c r="K1277" s="19">
        <f>[2]S1!K1278</f>
        <v>1370</v>
      </c>
      <c r="L1277" s="52">
        <f>[2]S1!L1278</f>
        <v>17000</v>
      </c>
      <c r="M1277" s="58">
        <f>[2]S1!M1278</f>
        <v>4</v>
      </c>
      <c r="N1277" s="49">
        <f>[2]S1!P1278</f>
        <v>7742957778</v>
      </c>
    </row>
    <row r="1278" spans="1:14" x14ac:dyDescent="0.3">
      <c r="A1278" s="11">
        <v>4325</v>
      </c>
      <c r="B1278" s="12" t="str">
        <f>[3]Name!E3329</f>
        <v>Darm Pal Bunkar</v>
      </c>
      <c r="C1278" s="13">
        <f>[2]S1!C1279</f>
        <v>18000</v>
      </c>
      <c r="D1278" s="13">
        <f>[2]S1!D1279</f>
        <v>0</v>
      </c>
      <c r="E1278" s="26">
        <f>[2]S1!E1279</f>
        <v>200</v>
      </c>
      <c r="F1278" s="26">
        <f>[2]S1!F1279</f>
        <v>0</v>
      </c>
      <c r="G1278" s="22">
        <f>[2]S1!G1279</f>
        <v>2000</v>
      </c>
      <c r="H1278" s="22">
        <f>[2]S1!H1279</f>
        <v>0</v>
      </c>
      <c r="I1278" s="22">
        <f>[2]S1!I1279</f>
        <v>200</v>
      </c>
      <c r="J1278" s="13">
        <f>[2]S1!J1279</f>
        <v>0</v>
      </c>
      <c r="K1278" s="19">
        <f>[2]S1!K1279</f>
        <v>2400</v>
      </c>
      <c r="L1278" s="52">
        <f>[2]S1!L1279</f>
        <v>20000</v>
      </c>
      <c r="M1278" s="58">
        <f>[2]S1!M1279</f>
        <v>5</v>
      </c>
      <c r="N1278" s="49">
        <f>[2]S1!P1279</f>
        <v>8000857197</v>
      </c>
    </row>
    <row r="1279" spans="1:14" x14ac:dyDescent="0.3">
      <c r="A1279" s="11">
        <v>4326</v>
      </c>
      <c r="B1279" s="12" t="str">
        <f>[3]Name!E3330</f>
        <v>Riya Kumari Bunkar</v>
      </c>
      <c r="C1279" s="13">
        <f>[2]S1!C1280</f>
        <v>18000</v>
      </c>
      <c r="D1279" s="13">
        <f>[2]S1!D1280</f>
        <v>0</v>
      </c>
      <c r="E1279" s="26">
        <f>[2]S1!E1280</f>
        <v>200</v>
      </c>
      <c r="F1279" s="26">
        <f>[2]S1!F1280</f>
        <v>0</v>
      </c>
      <c r="G1279" s="22">
        <f>[2]S1!G1280</f>
        <v>2000</v>
      </c>
      <c r="H1279" s="22">
        <f>[2]S1!H1280</f>
        <v>0</v>
      </c>
      <c r="I1279" s="22">
        <f>[2]S1!I1280</f>
        <v>200</v>
      </c>
      <c r="J1279" s="13">
        <f>[2]S1!J1280</f>
        <v>0</v>
      </c>
      <c r="K1279" s="19">
        <f>[2]S1!K1280</f>
        <v>2400</v>
      </c>
      <c r="L1279" s="52">
        <f>[2]S1!L1280</f>
        <v>20000</v>
      </c>
      <c r="M1279" s="58">
        <f>[2]S1!M1280</f>
        <v>5</v>
      </c>
      <c r="N1279" s="49">
        <f>[2]S1!P1280</f>
        <v>8000857197</v>
      </c>
    </row>
    <row r="1280" spans="1:14" x14ac:dyDescent="0.3">
      <c r="A1280" s="11">
        <v>4327</v>
      </c>
      <c r="B1280" s="12" t="str">
        <f>[3]Name!E3331</f>
        <v>Ram Sahay Balai</v>
      </c>
      <c r="C1280" s="13">
        <f>[2]S1!C1281</f>
        <v>1000</v>
      </c>
      <c r="D1280" s="13">
        <f>[2]S1!D1281</f>
        <v>0</v>
      </c>
      <c r="E1280" s="26">
        <f>[2]S1!E1281</f>
        <v>200</v>
      </c>
      <c r="F1280" s="26">
        <f>[2]S1!F1281</f>
        <v>0</v>
      </c>
      <c r="G1280" s="22">
        <f>[2]S1!G1281</f>
        <v>1000</v>
      </c>
      <c r="H1280" s="22">
        <f>[2]S1!H1281</f>
        <v>0</v>
      </c>
      <c r="I1280" s="22">
        <f>[2]S1!I1281</f>
        <v>200</v>
      </c>
      <c r="J1280" s="13">
        <f>[2]S1!J1281</f>
        <v>0</v>
      </c>
      <c r="K1280" s="19">
        <f>[2]S1!K1281</f>
        <v>1400</v>
      </c>
      <c r="L1280" s="52">
        <f>[2]S1!L1281</f>
        <v>20000</v>
      </c>
      <c r="M1280" s="58">
        <f>[2]S1!M1281</f>
        <v>1</v>
      </c>
      <c r="N1280" s="49">
        <f>[2]S1!P1281</f>
        <v>8000857197</v>
      </c>
    </row>
    <row r="1281" spans="1:14" x14ac:dyDescent="0.3">
      <c r="A1281" s="11">
        <v>4328</v>
      </c>
      <c r="B1281" s="12" t="str">
        <f>[3]Name!E3332</f>
        <v>Sonu Bunkar</v>
      </c>
      <c r="C1281" s="13">
        <f>[2]S1!C1282</f>
        <v>1000</v>
      </c>
      <c r="D1281" s="13">
        <f>[2]S1!D1282</f>
        <v>0</v>
      </c>
      <c r="E1281" s="26">
        <f>[2]S1!E1282</f>
        <v>200</v>
      </c>
      <c r="F1281" s="26">
        <f>[2]S1!F1282</f>
        <v>0</v>
      </c>
      <c r="G1281" s="22">
        <f>[2]S1!G1282</f>
        <v>1000</v>
      </c>
      <c r="H1281" s="22">
        <f>[2]S1!H1282</f>
        <v>0</v>
      </c>
      <c r="I1281" s="22">
        <f>[2]S1!I1282</f>
        <v>200</v>
      </c>
      <c r="J1281" s="13">
        <f>[2]S1!J1282</f>
        <v>0</v>
      </c>
      <c r="K1281" s="19">
        <f>[2]S1!K1282</f>
        <v>1400</v>
      </c>
      <c r="L1281" s="52">
        <f>[2]S1!L1282</f>
        <v>20000</v>
      </c>
      <c r="M1281" s="58">
        <f>[2]S1!M1282</f>
        <v>1</v>
      </c>
      <c r="N1281" s="49">
        <f>[2]S1!P1282</f>
        <v>8000857197</v>
      </c>
    </row>
    <row r="1282" spans="1:14" x14ac:dyDescent="0.3">
      <c r="A1282" s="11">
        <v>4329</v>
      </c>
      <c r="B1282" s="12" t="str">
        <f>[3]Name!E3333</f>
        <v>Babu Lal Pachriya</v>
      </c>
      <c r="C1282" s="13">
        <f>[2]S1!C1283</f>
        <v>0</v>
      </c>
      <c r="D1282" s="13">
        <f>[2]S1!D1283</f>
        <v>0</v>
      </c>
      <c r="E1282" s="26">
        <f>[2]S1!E1283</f>
        <v>400</v>
      </c>
      <c r="F1282" s="26">
        <f>[2]S1!F1283</f>
        <v>10</v>
      </c>
      <c r="G1282" s="22">
        <f>[2]S1!G1283</f>
        <v>0</v>
      </c>
      <c r="H1282" s="22">
        <f>[2]S1!H1283</f>
        <v>0</v>
      </c>
      <c r="I1282" s="22">
        <f>[2]S1!I1283</f>
        <v>0</v>
      </c>
      <c r="J1282" s="13">
        <f>[2]S1!J1283</f>
        <v>0</v>
      </c>
      <c r="K1282" s="19">
        <f>[2]S1!K1283</f>
        <v>410</v>
      </c>
      <c r="L1282" s="52">
        <f>[2]S1!L1283</f>
        <v>0</v>
      </c>
      <c r="M1282" s="58">
        <f>[2]S1!M1283</f>
        <v>0</v>
      </c>
      <c r="N1282" s="49">
        <f>[2]S1!P1283</f>
        <v>9001114455</v>
      </c>
    </row>
    <row r="1283" spans="1:14" x14ac:dyDescent="0.3">
      <c r="A1283" s="11">
        <v>4330</v>
      </c>
      <c r="B1283" s="12" t="str">
        <f>[3]Name!E3334</f>
        <v>Susila Pachriya</v>
      </c>
      <c r="C1283" s="13">
        <f>[2]S1!C1284</f>
        <v>0</v>
      </c>
      <c r="D1283" s="13">
        <f>[2]S1!D1284</f>
        <v>0</v>
      </c>
      <c r="E1283" s="26">
        <f>[2]S1!E1284</f>
        <v>400</v>
      </c>
      <c r="F1283" s="26">
        <f>[2]S1!F1284</f>
        <v>10</v>
      </c>
      <c r="G1283" s="22">
        <f>[2]S1!G1284</f>
        <v>0</v>
      </c>
      <c r="H1283" s="22">
        <f>[2]S1!H1284</f>
        <v>0</v>
      </c>
      <c r="I1283" s="22">
        <f>[2]S1!I1284</f>
        <v>0</v>
      </c>
      <c r="J1283" s="13">
        <f>[2]S1!J1284</f>
        <v>0</v>
      </c>
      <c r="K1283" s="19">
        <f>[2]S1!K1284</f>
        <v>410</v>
      </c>
      <c r="L1283" s="52">
        <f>[2]S1!L1284</f>
        <v>0</v>
      </c>
      <c r="M1283" s="58">
        <f>[2]S1!M1284</f>
        <v>0</v>
      </c>
      <c r="N1283" s="49">
        <f>[2]S1!P1284</f>
        <v>9001114455</v>
      </c>
    </row>
    <row r="1284" spans="1:14" x14ac:dyDescent="0.3">
      <c r="A1284" s="11">
        <v>4331</v>
      </c>
      <c r="B1284" s="12" t="str">
        <f>[3]Name!E3335</f>
        <v>Hiya Pachriya</v>
      </c>
      <c r="C1284" s="13">
        <f>[2]S1!C1285</f>
        <v>0</v>
      </c>
      <c r="D1284" s="13">
        <f>[2]S1!D1285</f>
        <v>0</v>
      </c>
      <c r="E1284" s="26">
        <f>[2]S1!E1285</f>
        <v>400</v>
      </c>
      <c r="F1284" s="26">
        <f>[2]S1!F1285</f>
        <v>10</v>
      </c>
      <c r="G1284" s="22">
        <f>[2]S1!G1285</f>
        <v>0</v>
      </c>
      <c r="H1284" s="22">
        <f>[2]S1!H1285</f>
        <v>0</v>
      </c>
      <c r="I1284" s="22">
        <f>[2]S1!I1285</f>
        <v>0</v>
      </c>
      <c r="J1284" s="13">
        <f>[2]S1!J1285</f>
        <v>0</v>
      </c>
      <c r="K1284" s="19">
        <f>[2]S1!K1285</f>
        <v>410</v>
      </c>
      <c r="L1284" s="52">
        <f>[2]S1!L1285</f>
        <v>0</v>
      </c>
      <c r="M1284" s="58">
        <f>[2]S1!M1285</f>
        <v>0</v>
      </c>
      <c r="N1284" s="49">
        <f>[2]S1!P1285</f>
        <v>9001114455</v>
      </c>
    </row>
    <row r="1285" spans="1:14" x14ac:dyDescent="0.3">
      <c r="A1285" s="11">
        <v>4332</v>
      </c>
      <c r="B1285" s="12" t="str">
        <f>[3]Name!E3336</f>
        <v>Lihan Pachriya</v>
      </c>
      <c r="C1285" s="13">
        <f>[2]S1!C1286</f>
        <v>0</v>
      </c>
      <c r="D1285" s="13">
        <f>[2]S1!D1286</f>
        <v>0</v>
      </c>
      <c r="E1285" s="26">
        <f>[2]S1!E1286</f>
        <v>400</v>
      </c>
      <c r="F1285" s="26">
        <f>[2]S1!F1286</f>
        <v>10</v>
      </c>
      <c r="G1285" s="22">
        <f>[2]S1!G1286</f>
        <v>0</v>
      </c>
      <c r="H1285" s="22">
        <f>[2]S1!H1286</f>
        <v>0</v>
      </c>
      <c r="I1285" s="22">
        <f>[2]S1!I1286</f>
        <v>0</v>
      </c>
      <c r="J1285" s="13">
        <f>[2]S1!J1286</f>
        <v>0</v>
      </c>
      <c r="K1285" s="19">
        <f>[2]S1!K1286</f>
        <v>410</v>
      </c>
      <c r="L1285" s="52">
        <f>[2]S1!L1286</f>
        <v>0</v>
      </c>
      <c r="M1285" s="58">
        <f>[2]S1!M1286</f>
        <v>0</v>
      </c>
      <c r="N1285" s="49">
        <f>[2]S1!P1286</f>
        <v>9001114455</v>
      </c>
    </row>
    <row r="1286" spans="1:14" x14ac:dyDescent="0.3">
      <c r="A1286" s="11">
        <v>4333</v>
      </c>
      <c r="B1286" s="12" t="str">
        <f>[3]Name!E3337</f>
        <v>Mahendr Kumar Maharda</v>
      </c>
      <c r="C1286" s="13">
        <f>[2]S1!C1287</f>
        <v>0</v>
      </c>
      <c r="D1286" s="13">
        <f>[2]S1!D1287</f>
        <v>0</v>
      </c>
      <c r="E1286" s="26">
        <f>[2]S1!E1287</f>
        <v>400</v>
      </c>
      <c r="F1286" s="26">
        <f>[2]S1!F1287</f>
        <v>10</v>
      </c>
      <c r="G1286" s="22">
        <f>[2]S1!G1287</f>
        <v>0</v>
      </c>
      <c r="H1286" s="22">
        <f>[2]S1!H1287</f>
        <v>0</v>
      </c>
      <c r="I1286" s="22">
        <f>[2]S1!I1287</f>
        <v>0</v>
      </c>
      <c r="J1286" s="13">
        <f>[2]S1!J1287</f>
        <v>0</v>
      </c>
      <c r="K1286" s="19">
        <f>[2]S1!K1287</f>
        <v>410</v>
      </c>
      <c r="L1286" s="52">
        <f>[2]S1!L1287</f>
        <v>0</v>
      </c>
      <c r="M1286" s="58">
        <f>[2]S1!M1287</f>
        <v>0</v>
      </c>
      <c r="N1286" s="49">
        <f>[2]S1!P1287</f>
        <v>7737727272</v>
      </c>
    </row>
    <row r="1287" spans="1:14" x14ac:dyDescent="0.3">
      <c r="A1287" s="11">
        <v>4334</v>
      </c>
      <c r="B1287" s="12" t="str">
        <f>[3]Name!E3338</f>
        <v>Piyanka DeviMaharda</v>
      </c>
      <c r="C1287" s="13">
        <f>[2]S1!C1288</f>
        <v>0</v>
      </c>
      <c r="D1287" s="13">
        <f>[2]S1!D1288</f>
        <v>0</v>
      </c>
      <c r="E1287" s="26">
        <f>[2]S1!E1288</f>
        <v>400</v>
      </c>
      <c r="F1287" s="26">
        <f>[2]S1!F1288</f>
        <v>10</v>
      </c>
      <c r="G1287" s="22">
        <f>[2]S1!G1288</f>
        <v>0</v>
      </c>
      <c r="H1287" s="22">
        <f>[2]S1!H1288</f>
        <v>0</v>
      </c>
      <c r="I1287" s="22">
        <f>[2]S1!I1288</f>
        <v>0</v>
      </c>
      <c r="J1287" s="13">
        <f>[2]S1!J1288</f>
        <v>0</v>
      </c>
      <c r="K1287" s="19">
        <f>[2]S1!K1288</f>
        <v>410</v>
      </c>
      <c r="L1287" s="52">
        <f>[2]S1!L1288</f>
        <v>0</v>
      </c>
      <c r="M1287" s="58">
        <f>[2]S1!M1288</f>
        <v>0</v>
      </c>
      <c r="N1287" s="49">
        <f>[2]S1!P1288</f>
        <v>7737727272</v>
      </c>
    </row>
    <row r="1288" spans="1:14" x14ac:dyDescent="0.3">
      <c r="A1288" s="11">
        <v>4335</v>
      </c>
      <c r="B1288" s="12" t="str">
        <f>[3]Name!E3339</f>
        <v>Vabhav Kumar Maharda</v>
      </c>
      <c r="C1288" s="13">
        <f>[2]S1!C1289</f>
        <v>0</v>
      </c>
      <c r="D1288" s="13">
        <f>[2]S1!D1289</f>
        <v>0</v>
      </c>
      <c r="E1288" s="26">
        <f>[2]S1!E1289</f>
        <v>400</v>
      </c>
      <c r="F1288" s="26">
        <f>[2]S1!F1289</f>
        <v>10</v>
      </c>
      <c r="G1288" s="22">
        <f>[2]S1!G1289</f>
        <v>0</v>
      </c>
      <c r="H1288" s="22">
        <f>[2]S1!H1289</f>
        <v>0</v>
      </c>
      <c r="I1288" s="22">
        <f>[2]S1!I1289</f>
        <v>0</v>
      </c>
      <c r="J1288" s="13">
        <f>[2]S1!J1289</f>
        <v>0</v>
      </c>
      <c r="K1288" s="19">
        <f>[2]S1!K1289</f>
        <v>410</v>
      </c>
      <c r="L1288" s="52">
        <f>[2]S1!L1289</f>
        <v>0</v>
      </c>
      <c r="M1288" s="58">
        <f>[2]S1!M1289</f>
        <v>0</v>
      </c>
      <c r="N1288" s="49">
        <f>[2]S1!P1289</f>
        <v>7737727272</v>
      </c>
    </row>
    <row r="1289" spans="1:14" x14ac:dyDescent="0.3">
      <c r="A1289" s="11">
        <v>4336</v>
      </c>
      <c r="B1289" s="12" t="str">
        <f>[3]Name!E3340</f>
        <v>Punam Rojada</v>
      </c>
      <c r="C1289" s="13">
        <f>[2]S1!C1290</f>
        <v>0</v>
      </c>
      <c r="D1289" s="13">
        <f>[2]S1!D1290</f>
        <v>0</v>
      </c>
      <c r="E1289" s="26">
        <f>[2]S1!E1290</f>
        <v>400</v>
      </c>
      <c r="F1289" s="26">
        <f>[2]S1!F1290</f>
        <v>10</v>
      </c>
      <c r="G1289" s="22">
        <f>[2]S1!G1290</f>
        <v>0</v>
      </c>
      <c r="H1289" s="22">
        <f>[2]S1!H1290</f>
        <v>0</v>
      </c>
      <c r="I1289" s="22">
        <f>[2]S1!I1290</f>
        <v>0</v>
      </c>
      <c r="J1289" s="13">
        <f>[2]S1!J1290</f>
        <v>0</v>
      </c>
      <c r="K1289" s="19">
        <f>[2]S1!K1290</f>
        <v>410</v>
      </c>
      <c r="L1289" s="52">
        <f>[2]S1!L1290</f>
        <v>0</v>
      </c>
      <c r="M1289" s="58">
        <f>[2]S1!M1290</f>
        <v>0</v>
      </c>
      <c r="N1289" s="49">
        <f>[2]S1!P1290</f>
        <v>7737727272</v>
      </c>
    </row>
    <row r="1290" spans="1:14" x14ac:dyDescent="0.3">
      <c r="A1290" s="11">
        <v>4337</v>
      </c>
      <c r="B1290" s="12" t="str">
        <f>[3]Name!E3341</f>
        <v>Bhagavan Sahay Bal</v>
      </c>
      <c r="C1290" s="13">
        <f>[2]S1!C1291</f>
        <v>0</v>
      </c>
      <c r="D1290" s="13">
        <f>[2]S1!D1291</f>
        <v>0</v>
      </c>
      <c r="E1290" s="26">
        <f>[2]S1!E1291</f>
        <v>200</v>
      </c>
      <c r="F1290" s="26">
        <f>[2]S1!F1291</f>
        <v>2</v>
      </c>
      <c r="G1290" s="22">
        <f>[2]S1!G1291</f>
        <v>0</v>
      </c>
      <c r="H1290" s="22">
        <f>[2]S1!H1291</f>
        <v>0</v>
      </c>
      <c r="I1290" s="22">
        <f>[2]S1!I1291</f>
        <v>0</v>
      </c>
      <c r="J1290" s="13">
        <f>[2]S1!J1291</f>
        <v>0</v>
      </c>
      <c r="K1290" s="19">
        <f>[2]S1!K1291</f>
        <v>202</v>
      </c>
      <c r="L1290" s="52">
        <f>[2]S1!L1291</f>
        <v>0</v>
      </c>
      <c r="M1290" s="58">
        <f>[2]S1!M1291</f>
        <v>0</v>
      </c>
      <c r="N1290" s="49">
        <f>[2]S1!P1291</f>
        <v>9829450072</v>
      </c>
    </row>
    <row r="1291" spans="1:14" x14ac:dyDescent="0.3">
      <c r="A1291" s="11">
        <v>4338</v>
      </c>
      <c r="B1291" s="12" t="str">
        <f>[3]Name!E3342</f>
        <v>Rajendra Kumar Bal</v>
      </c>
      <c r="C1291" s="13">
        <f>[2]S1!C1292</f>
        <v>2700</v>
      </c>
      <c r="D1291" s="13">
        <f>[2]S1!D1292</f>
        <v>0</v>
      </c>
      <c r="E1291" s="26">
        <f>[2]S1!E1292</f>
        <v>200</v>
      </c>
      <c r="F1291" s="26">
        <f>[2]S1!F1292</f>
        <v>2</v>
      </c>
      <c r="G1291" s="22">
        <f>[2]S1!G1292</f>
        <v>0</v>
      </c>
      <c r="H1291" s="22">
        <f>[2]S1!H1292</f>
        <v>0</v>
      </c>
      <c r="I1291" s="22">
        <f>[2]S1!I1292</f>
        <v>6</v>
      </c>
      <c r="J1291" s="13">
        <f>[2]S1!J1292</f>
        <v>0</v>
      </c>
      <c r="K1291" s="19">
        <f>[2]S1!K1292</f>
        <v>208</v>
      </c>
      <c r="L1291" s="52">
        <f>[2]S1!L1292</f>
        <v>601</v>
      </c>
      <c r="M1291" s="58">
        <f>[2]S1!M1292</f>
        <v>5</v>
      </c>
      <c r="N1291" s="49">
        <f>[2]S1!P1292</f>
        <v>9829450072</v>
      </c>
    </row>
    <row r="1292" spans="1:14" x14ac:dyDescent="0.3">
      <c r="A1292" s="11">
        <v>4339</v>
      </c>
      <c r="B1292" s="12" t="str">
        <f>[3]Name!E3343</f>
        <v>Bagavan Sahay Dokhoriya</v>
      </c>
      <c r="C1292" s="13">
        <f>[2]S1!C1293</f>
        <v>24700</v>
      </c>
      <c r="D1292" s="13">
        <f>[2]S1!D1293</f>
        <v>0</v>
      </c>
      <c r="E1292" s="26">
        <f>[2]S1!E1293</f>
        <v>200</v>
      </c>
      <c r="F1292" s="26">
        <f>[2]S1!F1293</f>
        <v>0</v>
      </c>
      <c r="G1292" s="22">
        <f>[2]S1!G1293</f>
        <v>728</v>
      </c>
      <c r="H1292" s="22">
        <f>[2]S1!H1293</f>
        <v>0</v>
      </c>
      <c r="I1292" s="22">
        <f>[2]S1!I1293</f>
        <v>254</v>
      </c>
      <c r="J1292" s="13">
        <f>[2]S1!J1293</f>
        <v>0</v>
      </c>
      <c r="K1292" s="19">
        <f>[2]S1!K1293</f>
        <v>1182</v>
      </c>
      <c r="L1292" s="52">
        <f>[2]S1!L1293</f>
        <v>25428</v>
      </c>
      <c r="M1292" s="58">
        <f>[2]S1!M1293</f>
        <v>5</v>
      </c>
      <c r="N1292" s="49">
        <f>[2]S1!P1293</f>
        <v>8432252783</v>
      </c>
    </row>
    <row r="1293" spans="1:14" x14ac:dyDescent="0.3">
      <c r="A1293" s="11">
        <v>4340</v>
      </c>
      <c r="B1293" s="12" t="str">
        <f>[3]Name!E3344</f>
        <v>Babu Lal Bunkar</v>
      </c>
      <c r="C1293" s="13">
        <f>[2]S1!C1294</f>
        <v>9200</v>
      </c>
      <c r="D1293" s="13">
        <f>[2]S1!D1294</f>
        <v>0</v>
      </c>
      <c r="E1293" s="26">
        <f>[2]S1!E1294</f>
        <v>1000</v>
      </c>
      <c r="F1293" s="26">
        <f>[2]S1!F1294</f>
        <v>78</v>
      </c>
      <c r="G1293" s="22">
        <f>[2]S1!G1294</f>
        <v>1041</v>
      </c>
      <c r="H1293" s="22">
        <f>[2]S1!H1294</f>
        <v>39</v>
      </c>
      <c r="I1293" s="22">
        <f>[2]S1!I1294</f>
        <v>510</v>
      </c>
      <c r="J1293" s="13">
        <f>[2]S1!J1294</f>
        <v>3</v>
      </c>
      <c r="K1293" s="19">
        <f>[2]S1!K1294</f>
        <v>2671</v>
      </c>
      <c r="L1293" s="52">
        <f>[2]S1!L1294</f>
        <v>10241</v>
      </c>
      <c r="M1293" s="58">
        <f>[2]S1!M1294</f>
        <v>5</v>
      </c>
      <c r="N1293" s="49">
        <f>[2]S1!P1294</f>
        <v>8005672481</v>
      </c>
    </row>
    <row r="1294" spans="1:14" x14ac:dyDescent="0.3">
      <c r="A1294" s="11">
        <v>4341</v>
      </c>
      <c r="B1294" s="12" t="str">
        <f>[3]Name!E3345</f>
        <v>Chigan Lal Mahich</v>
      </c>
      <c r="C1294" s="13">
        <f>[2]S1!C1295</f>
        <v>500</v>
      </c>
      <c r="D1294" s="13">
        <f>[2]S1!D1295</f>
        <v>0</v>
      </c>
      <c r="E1294" s="26">
        <f>[2]S1!E1295</f>
        <v>200</v>
      </c>
      <c r="F1294" s="26">
        <f>[2]S1!F1295</f>
        <v>0</v>
      </c>
      <c r="G1294" s="22">
        <f>[2]S1!G1295</f>
        <v>0</v>
      </c>
      <c r="H1294" s="22">
        <f>[2]S1!H1295</f>
        <v>0</v>
      </c>
      <c r="I1294" s="22">
        <f>[2]S1!I1295</f>
        <v>0</v>
      </c>
      <c r="J1294" s="13">
        <f>[2]S1!J1295</f>
        <v>0</v>
      </c>
      <c r="K1294" s="19">
        <f>[2]S1!K1295</f>
        <v>200</v>
      </c>
      <c r="L1294" s="52">
        <f>[2]S1!L1295</f>
        <v>0</v>
      </c>
      <c r="M1294" s="58">
        <f>[2]S1!M1295</f>
        <v>0</v>
      </c>
      <c r="N1294" s="49">
        <f>[2]S1!P1295</f>
        <v>9461038259</v>
      </c>
    </row>
    <row r="1295" spans="1:14" x14ac:dyDescent="0.3">
      <c r="A1295" s="11">
        <v>4342</v>
      </c>
      <c r="B1295" s="12" t="str">
        <f>[3]Name!E3346</f>
        <v>Babu Lal Bal</v>
      </c>
      <c r="C1295" s="13">
        <f>[2]S1!C1296</f>
        <v>27900</v>
      </c>
      <c r="D1295" s="13">
        <f>[2]S1!D1296</f>
        <v>0</v>
      </c>
      <c r="E1295" s="26">
        <f>[2]S1!E1296</f>
        <v>1000</v>
      </c>
      <c r="F1295" s="26">
        <f>[2]S1!F1296</f>
        <v>78</v>
      </c>
      <c r="G1295" s="22">
        <f>[2]S1!G1296</f>
        <v>3085</v>
      </c>
      <c r="H1295" s="22">
        <f>[2]S1!H1296</f>
        <v>121</v>
      </c>
      <c r="I1295" s="22">
        <f>[2]S1!I1296</f>
        <v>1550</v>
      </c>
      <c r="J1295" s="13">
        <f>[2]S1!J1296</f>
        <v>10</v>
      </c>
      <c r="K1295" s="19">
        <f>[2]S1!K1296</f>
        <v>5844</v>
      </c>
      <c r="L1295" s="52">
        <f>[2]S1!L1296</f>
        <v>30985</v>
      </c>
      <c r="M1295" s="58">
        <f>[2]S1!M1296</f>
        <v>5</v>
      </c>
      <c r="N1295" s="49">
        <f>[2]S1!P1296</f>
        <v>9983482890</v>
      </c>
    </row>
    <row r="1296" spans="1:14" x14ac:dyDescent="0.3">
      <c r="A1296" s="11">
        <v>4343</v>
      </c>
      <c r="B1296" s="12" t="str">
        <f>[3]Name!E3347</f>
        <v>Bhagavan Sahay Suniya</v>
      </c>
      <c r="C1296" s="13">
        <f>[2]S1!C1297</f>
        <v>0</v>
      </c>
      <c r="D1296" s="13">
        <f>[2]S1!D1297</f>
        <v>0</v>
      </c>
      <c r="E1296" s="26">
        <f>[2]S1!E1297</f>
        <v>800</v>
      </c>
      <c r="F1296" s="26">
        <f>[2]S1!F1297</f>
        <v>53</v>
      </c>
      <c r="G1296" s="22">
        <f>[2]S1!G1297</f>
        <v>0</v>
      </c>
      <c r="H1296" s="22">
        <f>[2]S1!H1297</f>
        <v>258</v>
      </c>
      <c r="I1296" s="22">
        <f>[2]S1!I1297</f>
        <v>4656</v>
      </c>
      <c r="J1296" s="13">
        <f>[2]S1!J1297</f>
        <v>1188</v>
      </c>
      <c r="K1296" s="19">
        <f>[2]S1!K1297</f>
        <v>6955</v>
      </c>
      <c r="L1296" s="52">
        <f>[2]S1!L1297</f>
        <v>116370</v>
      </c>
      <c r="M1296" s="58">
        <f>[2]S1!M1297</f>
        <v>5</v>
      </c>
      <c r="N1296" s="49">
        <f>[2]S1!P1297</f>
        <v>9783595811</v>
      </c>
    </row>
    <row r="1297" spans="1:14" x14ac:dyDescent="0.3">
      <c r="A1297" s="11">
        <v>4344</v>
      </c>
      <c r="B1297" s="12" t="str">
        <f>[3]Name!E3348</f>
        <v>Banvari Lal Bunkar</v>
      </c>
      <c r="C1297" s="13">
        <f>[2]S1!C1298</f>
        <v>4500</v>
      </c>
      <c r="D1297" s="13">
        <f>[2]S1!D1298</f>
        <v>0</v>
      </c>
      <c r="E1297" s="26">
        <f>[2]S1!E1298</f>
        <v>186</v>
      </c>
      <c r="F1297" s="26">
        <f>[2]S1!F1298</f>
        <v>0</v>
      </c>
      <c r="G1297" s="22">
        <f>[2]S1!G1298</f>
        <v>0</v>
      </c>
      <c r="H1297" s="22">
        <f>[2]S1!H1298</f>
        <v>0</v>
      </c>
      <c r="I1297" s="22">
        <f>[2]S1!I1298</f>
        <v>0</v>
      </c>
      <c r="J1297" s="13">
        <f>[2]S1!J1298</f>
        <v>0</v>
      </c>
      <c r="K1297" s="19">
        <f>[2]S1!K1298</f>
        <v>186</v>
      </c>
      <c r="L1297" s="52">
        <f>[2]S1!L1298</f>
        <v>0</v>
      </c>
      <c r="M1297" s="58">
        <f>[2]S1!M1298</f>
        <v>0</v>
      </c>
      <c r="N1297" s="49">
        <f>[2]S1!P1298</f>
        <v>9166340028</v>
      </c>
    </row>
    <row r="1298" spans="1:14" x14ac:dyDescent="0.3">
      <c r="A1298" s="11">
        <v>4345</v>
      </c>
      <c r="B1298" s="12" t="str">
        <f>[3]Name!E3349</f>
        <v>Laxmi Devi Bunkar</v>
      </c>
      <c r="C1298" s="13">
        <f>[2]S1!C1299</f>
        <v>2000</v>
      </c>
      <c r="D1298" s="13">
        <f>[2]S1!D1299</f>
        <v>0</v>
      </c>
      <c r="E1298" s="26">
        <f>[2]S1!E1299</f>
        <v>200</v>
      </c>
      <c r="F1298" s="26">
        <f>[2]S1!F1299</f>
        <v>0</v>
      </c>
      <c r="G1298" s="22">
        <f>[2]S1!G1299</f>
        <v>2000</v>
      </c>
      <c r="H1298" s="22">
        <f>[2]S1!H1299</f>
        <v>0</v>
      </c>
      <c r="I1298" s="22">
        <f>[2]S1!I1299</f>
        <v>180</v>
      </c>
      <c r="J1298" s="13">
        <f>[2]S1!J1299</f>
        <v>0</v>
      </c>
      <c r="K1298" s="19">
        <f>[2]S1!K1299</f>
        <v>2380</v>
      </c>
      <c r="L1298" s="52">
        <f>[2]S1!L1299</f>
        <v>18000</v>
      </c>
      <c r="M1298" s="58">
        <f>[2]S1!M1299</f>
        <v>2</v>
      </c>
      <c r="N1298" s="49">
        <f>[2]S1!P1299</f>
        <v>9166340028</v>
      </c>
    </row>
    <row r="1299" spans="1:14" x14ac:dyDescent="0.3">
      <c r="A1299" s="11">
        <v>4346</v>
      </c>
      <c r="B1299" s="12" t="str">
        <f>[3]Name!E3350</f>
        <v>Varun Kumar Bunkar</v>
      </c>
      <c r="C1299" s="13">
        <f>[2]S1!C1300</f>
        <v>2000</v>
      </c>
      <c r="D1299" s="13">
        <f>[2]S1!D1300</f>
        <v>0</v>
      </c>
      <c r="E1299" s="26">
        <f>[2]S1!E1300</f>
        <v>200</v>
      </c>
      <c r="F1299" s="26">
        <f>[2]S1!F1300</f>
        <v>0</v>
      </c>
      <c r="G1299" s="22">
        <f>[2]S1!G1300</f>
        <v>2000</v>
      </c>
      <c r="H1299" s="22">
        <f>[2]S1!H1300</f>
        <v>0</v>
      </c>
      <c r="I1299" s="22">
        <f>[2]S1!I1300</f>
        <v>180</v>
      </c>
      <c r="J1299" s="13">
        <f>[2]S1!J1300</f>
        <v>0</v>
      </c>
      <c r="K1299" s="19">
        <f>[2]S1!K1300</f>
        <v>2380</v>
      </c>
      <c r="L1299" s="52">
        <f>[2]S1!L1300</f>
        <v>18000</v>
      </c>
      <c r="M1299" s="58">
        <f>[2]S1!M1300</f>
        <v>2</v>
      </c>
      <c r="N1299" s="49">
        <f>[2]S1!P1300</f>
        <v>9166340028</v>
      </c>
    </row>
    <row r="1300" spans="1:14" x14ac:dyDescent="0.3">
      <c r="A1300" s="11">
        <v>4347</v>
      </c>
      <c r="B1300" s="12" t="str">
        <f>[3]Name!E3351</f>
        <v>Sankar Lal Mannotya</v>
      </c>
      <c r="C1300" s="13">
        <f>[2]S1!C1301</f>
        <v>3100</v>
      </c>
      <c r="D1300" s="13">
        <f>[2]S1!D1301</f>
        <v>0</v>
      </c>
      <c r="E1300" s="26">
        <f>[2]S1!E1301</f>
        <v>200</v>
      </c>
      <c r="F1300" s="26">
        <f>[2]S1!F1301</f>
        <v>0</v>
      </c>
      <c r="G1300" s="22">
        <f>[2]S1!G1301</f>
        <v>0</v>
      </c>
      <c r="H1300" s="22">
        <f>[2]S1!H1301</f>
        <v>0</v>
      </c>
      <c r="I1300" s="22">
        <f>[2]S1!I1301</f>
        <v>10</v>
      </c>
      <c r="J1300" s="13">
        <f>[2]S1!J1301</f>
        <v>0</v>
      </c>
      <c r="K1300" s="19">
        <f>[2]S1!K1301</f>
        <v>210</v>
      </c>
      <c r="L1300" s="52">
        <f>[2]S1!L1301</f>
        <v>973</v>
      </c>
      <c r="M1300" s="58">
        <f>[2]S1!M1301</f>
        <v>5</v>
      </c>
      <c r="N1300" s="49">
        <f>[2]S1!P1301</f>
        <v>9694027034</v>
      </c>
    </row>
    <row r="1301" spans="1:14" x14ac:dyDescent="0.3">
      <c r="A1301" s="11">
        <v>4348</v>
      </c>
      <c r="B1301" s="12" t="str">
        <f>[3]Name!E3352</f>
        <v>Jitendr Kumar Tandada</v>
      </c>
      <c r="C1301" s="13">
        <f>[2]S1!C1302</f>
        <v>0</v>
      </c>
      <c r="D1301" s="13">
        <f>[2]S1!D1302</f>
        <v>0</v>
      </c>
      <c r="E1301" s="26">
        <f>[2]S1!E1302</f>
        <v>200</v>
      </c>
      <c r="F1301" s="26">
        <f>[2]S1!F1302</f>
        <v>0</v>
      </c>
      <c r="G1301" s="22">
        <f>[2]S1!G1302</f>
        <v>0</v>
      </c>
      <c r="H1301" s="22">
        <f>[2]S1!H1302</f>
        <v>0</v>
      </c>
      <c r="I1301" s="22">
        <f>[2]S1!I1302</f>
        <v>0</v>
      </c>
      <c r="J1301" s="13">
        <f>[2]S1!J1302</f>
        <v>0</v>
      </c>
      <c r="K1301" s="19">
        <f>[2]S1!K1302</f>
        <v>200</v>
      </c>
      <c r="L1301" s="52">
        <f>[2]S1!L1302</f>
        <v>0</v>
      </c>
      <c r="M1301" s="58">
        <f>[2]S1!M1302</f>
        <v>0</v>
      </c>
      <c r="N1301" s="49">
        <f>[2]S1!P1302</f>
        <v>9928813200</v>
      </c>
    </row>
    <row r="1302" spans="1:14" x14ac:dyDescent="0.3">
      <c r="A1302" s="11">
        <v>4349</v>
      </c>
      <c r="B1302" s="12" t="str">
        <f>[3]Name!E3353</f>
        <v>Ramesh Kumar Meharda</v>
      </c>
      <c r="C1302" s="13">
        <f>[2]S1!C1303</f>
        <v>500</v>
      </c>
      <c r="D1302" s="13">
        <f>[2]S1!D1303</f>
        <v>0</v>
      </c>
      <c r="E1302" s="26">
        <f>[2]S1!E1303</f>
        <v>800</v>
      </c>
      <c r="F1302" s="26">
        <f>[2]S1!F1303</f>
        <v>53</v>
      </c>
      <c r="G1302" s="22">
        <f>[2]S1!G1303</f>
        <v>2000</v>
      </c>
      <c r="H1302" s="22">
        <f>[2]S1!H1303</f>
        <v>267</v>
      </c>
      <c r="I1302" s="22">
        <f>[2]S1!I1303</f>
        <v>2000</v>
      </c>
      <c r="J1302" s="13">
        <f>[2]S1!J1303</f>
        <v>0</v>
      </c>
      <c r="K1302" s="19">
        <f>[2]S1!K1303</f>
        <v>5120</v>
      </c>
      <c r="L1302" s="52">
        <f>[2]S1!L1303</f>
        <v>50000</v>
      </c>
      <c r="M1302" s="58">
        <f>[2]S1!M1303</f>
        <v>4</v>
      </c>
      <c r="N1302" s="49">
        <f>[2]S1!P1303</f>
        <v>9829622211</v>
      </c>
    </row>
    <row r="1303" spans="1:14" x14ac:dyDescent="0.3">
      <c r="A1303" s="11">
        <v>4350</v>
      </c>
      <c r="B1303" s="12" t="str">
        <f>[3]Name!E3354</f>
        <v>Abhisek Kumar Meharda</v>
      </c>
      <c r="C1303" s="13">
        <f>[2]S1!C1304</f>
        <v>500</v>
      </c>
      <c r="D1303" s="13">
        <f>[2]S1!D1304</f>
        <v>0</v>
      </c>
      <c r="E1303" s="26">
        <f>[2]S1!E1304</f>
        <v>800</v>
      </c>
      <c r="F1303" s="26">
        <f>[2]S1!F1304</f>
        <v>53</v>
      </c>
      <c r="G1303" s="22">
        <f>[2]S1!G1304</f>
        <v>2000</v>
      </c>
      <c r="H1303" s="22">
        <f>[2]S1!H1304</f>
        <v>267</v>
      </c>
      <c r="I1303" s="22">
        <f>[2]S1!I1304</f>
        <v>2000</v>
      </c>
      <c r="J1303" s="13">
        <f>[2]S1!J1304</f>
        <v>0</v>
      </c>
      <c r="K1303" s="19">
        <f>[2]S1!K1304</f>
        <v>5120</v>
      </c>
      <c r="L1303" s="52">
        <f>[2]S1!L1304</f>
        <v>50000</v>
      </c>
      <c r="M1303" s="58">
        <f>[2]S1!M1304</f>
        <v>4</v>
      </c>
      <c r="N1303" s="49">
        <f>[2]S1!P1304</f>
        <v>9829622211</v>
      </c>
    </row>
    <row r="1304" spans="1:14" x14ac:dyDescent="0.3">
      <c r="A1304" s="11">
        <v>4351</v>
      </c>
      <c r="B1304" s="12" t="str">
        <f>[3]Name!E3355</f>
        <v>Himansu Mahich</v>
      </c>
      <c r="C1304" s="13">
        <f>[2]S1!C1305</f>
        <v>500</v>
      </c>
      <c r="D1304" s="13">
        <f>[2]S1!D1305</f>
        <v>0</v>
      </c>
      <c r="E1304" s="26">
        <f>[2]S1!E1305</f>
        <v>200</v>
      </c>
      <c r="F1304" s="26">
        <f>[2]S1!F1305</f>
        <v>0</v>
      </c>
      <c r="G1304" s="22">
        <f>[2]S1!G1305</f>
        <v>0</v>
      </c>
      <c r="H1304" s="22">
        <f>[2]S1!H1305</f>
        <v>0</v>
      </c>
      <c r="I1304" s="22">
        <f>[2]S1!I1305</f>
        <v>0</v>
      </c>
      <c r="J1304" s="13">
        <f>[2]S1!J1305</f>
        <v>0</v>
      </c>
      <c r="K1304" s="19">
        <f>[2]S1!K1305</f>
        <v>200</v>
      </c>
      <c r="L1304" s="52">
        <f>[2]S1!L1305</f>
        <v>0</v>
      </c>
      <c r="M1304" s="58">
        <f>[2]S1!M1305</f>
        <v>0</v>
      </c>
      <c r="N1304" s="49">
        <f>[2]S1!P1305</f>
        <v>9461038259</v>
      </c>
    </row>
    <row r="1305" spans="1:14" x14ac:dyDescent="0.3">
      <c r="A1305" s="11">
        <v>4352</v>
      </c>
      <c r="B1305" s="12" t="str">
        <f>[3]Name!E3356</f>
        <v>Krisnaa Mahich</v>
      </c>
      <c r="C1305" s="13">
        <f>[2]S1!C1306</f>
        <v>500</v>
      </c>
      <c r="D1305" s="13">
        <f>[2]S1!D1306</f>
        <v>0</v>
      </c>
      <c r="E1305" s="26">
        <f>[2]S1!E1306</f>
        <v>200</v>
      </c>
      <c r="F1305" s="26">
        <f>[2]S1!F1306</f>
        <v>0</v>
      </c>
      <c r="G1305" s="22">
        <f>[2]S1!G1306</f>
        <v>0</v>
      </c>
      <c r="H1305" s="22">
        <f>[2]S1!H1306</f>
        <v>0</v>
      </c>
      <c r="I1305" s="22">
        <f>[2]S1!I1306</f>
        <v>23</v>
      </c>
      <c r="J1305" s="13">
        <f>[2]S1!J1306</f>
        <v>0</v>
      </c>
      <c r="K1305" s="19">
        <f>[2]S1!K1306</f>
        <v>223</v>
      </c>
      <c r="L1305" s="52">
        <f>[2]S1!L1306</f>
        <v>2295</v>
      </c>
      <c r="M1305" s="58">
        <f>[2]S1!M1306</f>
        <v>4</v>
      </c>
      <c r="N1305" s="49">
        <f>[2]S1!P1306</f>
        <v>9461038259</v>
      </c>
    </row>
    <row r="1306" spans="1:14" x14ac:dyDescent="0.3">
      <c r="A1306" s="11">
        <v>4353</v>
      </c>
      <c r="B1306" s="12" t="str">
        <f>[3]Name!E3357</f>
        <v>Ganpat Lal Meharda</v>
      </c>
      <c r="C1306" s="13">
        <f>[2]S1!C1307</f>
        <v>500</v>
      </c>
      <c r="D1306" s="13">
        <f>[2]S1!D1307</f>
        <v>0</v>
      </c>
      <c r="E1306" s="26">
        <f>[2]S1!E1307</f>
        <v>200</v>
      </c>
      <c r="F1306" s="26">
        <f>[2]S1!F1307</f>
        <v>0</v>
      </c>
      <c r="G1306" s="22">
        <f>[2]S1!G1307</f>
        <v>0</v>
      </c>
      <c r="H1306" s="22">
        <f>[2]S1!H1307</f>
        <v>0</v>
      </c>
      <c r="I1306" s="22">
        <f>[2]S1!I1307</f>
        <v>20</v>
      </c>
      <c r="J1306" s="13">
        <f>[2]S1!J1307</f>
        <v>0</v>
      </c>
      <c r="K1306" s="19">
        <f>[2]S1!K1307</f>
        <v>220</v>
      </c>
      <c r="L1306" s="52">
        <f>[2]S1!L1307</f>
        <v>2000</v>
      </c>
      <c r="M1306" s="58">
        <f>[2]S1!M1307</f>
        <v>4</v>
      </c>
      <c r="N1306" s="49">
        <f>[2]S1!P1307</f>
        <v>9783982680</v>
      </c>
    </row>
    <row r="1307" spans="1:14" x14ac:dyDescent="0.3">
      <c r="A1307" s="11">
        <v>4354</v>
      </c>
      <c r="B1307" s="12" t="str">
        <f>[3]Name!E3358</f>
        <v>Balram Meharda</v>
      </c>
      <c r="C1307" s="13">
        <f>[2]S1!C1308</f>
        <v>1000</v>
      </c>
      <c r="D1307" s="13">
        <f>[2]S1!D1308</f>
        <v>0</v>
      </c>
      <c r="E1307" s="26">
        <f>[2]S1!E1308</f>
        <v>200</v>
      </c>
      <c r="F1307" s="26">
        <f>[2]S1!F1308</f>
        <v>0</v>
      </c>
      <c r="G1307" s="22">
        <f>[2]S1!G1308</f>
        <v>1000</v>
      </c>
      <c r="H1307" s="22">
        <f>[2]S1!H1308</f>
        <v>0</v>
      </c>
      <c r="I1307" s="22">
        <f>[2]S1!I1308</f>
        <v>200</v>
      </c>
      <c r="J1307" s="13">
        <f>[2]S1!J1308</f>
        <v>0</v>
      </c>
      <c r="K1307" s="19">
        <f>[2]S1!K1308</f>
        <v>1400</v>
      </c>
      <c r="L1307" s="52">
        <f>[2]S1!L1308</f>
        <v>20000</v>
      </c>
      <c r="M1307" s="58">
        <f>[2]S1!M1308</f>
        <v>1</v>
      </c>
      <c r="N1307" s="49">
        <f>[2]S1!P1308</f>
        <v>9783982680</v>
      </c>
    </row>
    <row r="1308" spans="1:14" x14ac:dyDescent="0.3">
      <c r="A1308" s="11">
        <v>4355</v>
      </c>
      <c r="B1308" s="12" t="str">
        <f>[3]Name!E3359</f>
        <v>Monika Devi Meharda</v>
      </c>
      <c r="C1308" s="13">
        <f>[2]S1!C1309</f>
        <v>500</v>
      </c>
      <c r="D1308" s="13">
        <f>[2]S1!D1309</f>
        <v>0</v>
      </c>
      <c r="E1308" s="26">
        <f>[2]S1!E1309</f>
        <v>200</v>
      </c>
      <c r="F1308" s="26">
        <f>[2]S1!F1309</f>
        <v>0</v>
      </c>
      <c r="G1308" s="22">
        <f>[2]S1!G1309</f>
        <v>0</v>
      </c>
      <c r="H1308" s="22">
        <f>[2]S1!H1309</f>
        <v>0</v>
      </c>
      <c r="I1308" s="22">
        <f>[2]S1!I1309</f>
        <v>50</v>
      </c>
      <c r="J1308" s="13">
        <f>[2]S1!J1309</f>
        <v>0</v>
      </c>
      <c r="K1308" s="19">
        <f>[2]S1!K1309</f>
        <v>250</v>
      </c>
      <c r="L1308" s="52">
        <f>[2]S1!L1309</f>
        <v>5000</v>
      </c>
      <c r="M1308" s="58">
        <f>[2]S1!M1309</f>
        <v>4</v>
      </c>
      <c r="N1308" s="49">
        <f>[2]S1!P1309</f>
        <v>9783982680</v>
      </c>
    </row>
    <row r="1309" spans="1:14" x14ac:dyDescent="0.3">
      <c r="A1309" s="11">
        <v>4356</v>
      </c>
      <c r="B1309" s="12" t="str">
        <f>[3]Name!E3360</f>
        <v>KrisnaMahich</v>
      </c>
      <c r="C1309" s="13">
        <f>[2]S1!C1310</f>
        <v>500</v>
      </c>
      <c r="D1309" s="13">
        <f>[2]S1!D1310</f>
        <v>0</v>
      </c>
      <c r="E1309" s="26">
        <f>[2]S1!E1310</f>
        <v>200</v>
      </c>
      <c r="F1309" s="26">
        <f>[2]S1!F1310</f>
        <v>0</v>
      </c>
      <c r="G1309" s="22">
        <f>[2]S1!G1310</f>
        <v>0</v>
      </c>
      <c r="H1309" s="22">
        <f>[2]S1!H1310</f>
        <v>0</v>
      </c>
      <c r="I1309" s="22">
        <f>[2]S1!I1310</f>
        <v>50</v>
      </c>
      <c r="J1309" s="13">
        <f>[2]S1!J1310</f>
        <v>0</v>
      </c>
      <c r="K1309" s="19">
        <f>[2]S1!K1310</f>
        <v>250</v>
      </c>
      <c r="L1309" s="52">
        <f>[2]S1!L1310</f>
        <v>5000</v>
      </c>
      <c r="M1309" s="58">
        <f>[2]S1!M1310</f>
        <v>4</v>
      </c>
      <c r="N1309" s="49">
        <f>[2]S1!P1310</f>
        <v>9461038259</v>
      </c>
    </row>
    <row r="1310" spans="1:14" x14ac:dyDescent="0.3">
      <c r="A1310" s="11">
        <v>4357</v>
      </c>
      <c r="B1310" s="12" t="str">
        <f>[3]Name!E3361</f>
        <v>Radesyam Bhamniya</v>
      </c>
      <c r="C1310" s="13">
        <f>[2]S1!C1311</f>
        <v>500</v>
      </c>
      <c r="D1310" s="13">
        <f>[2]S1!D1311</f>
        <v>0</v>
      </c>
      <c r="E1310" s="26">
        <f>[2]S1!E1311</f>
        <v>200</v>
      </c>
      <c r="F1310" s="26">
        <f>[2]S1!F1311</f>
        <v>0</v>
      </c>
      <c r="G1310" s="22">
        <f>[2]S1!G1311</f>
        <v>0</v>
      </c>
      <c r="H1310" s="22">
        <f>[2]S1!H1311</f>
        <v>0</v>
      </c>
      <c r="I1310" s="22">
        <f>[2]S1!I1311</f>
        <v>0</v>
      </c>
      <c r="J1310" s="13">
        <f>[2]S1!J1311</f>
        <v>0</v>
      </c>
      <c r="K1310" s="19">
        <f>[2]S1!K1311</f>
        <v>200</v>
      </c>
      <c r="L1310" s="52">
        <f>[2]S1!L1311</f>
        <v>0</v>
      </c>
      <c r="M1310" s="58">
        <f>[2]S1!M1311</f>
        <v>0</v>
      </c>
      <c r="N1310" s="49">
        <f>[2]S1!P1311</f>
        <v>9784228870</v>
      </c>
    </row>
    <row r="1311" spans="1:14" x14ac:dyDescent="0.3">
      <c r="A1311" s="11">
        <v>4358</v>
      </c>
      <c r="B1311" s="12" t="str">
        <f>[3]Name!E3362</f>
        <v>Sagar Bhamniya</v>
      </c>
      <c r="C1311" s="13">
        <f>[2]S1!C1312</f>
        <v>500</v>
      </c>
      <c r="D1311" s="13">
        <f>[2]S1!D1312</f>
        <v>0</v>
      </c>
      <c r="E1311" s="26">
        <f>[2]S1!E1312</f>
        <v>200</v>
      </c>
      <c r="F1311" s="26">
        <f>[2]S1!F1312</f>
        <v>0</v>
      </c>
      <c r="G1311" s="22">
        <f>[2]S1!G1312</f>
        <v>0</v>
      </c>
      <c r="H1311" s="22">
        <f>[2]S1!H1312</f>
        <v>0</v>
      </c>
      <c r="I1311" s="22">
        <f>[2]S1!I1312</f>
        <v>0</v>
      </c>
      <c r="J1311" s="13">
        <f>[2]S1!J1312</f>
        <v>0</v>
      </c>
      <c r="K1311" s="19">
        <f>[2]S1!K1312</f>
        <v>200</v>
      </c>
      <c r="L1311" s="52">
        <f>[2]S1!L1312</f>
        <v>0</v>
      </c>
      <c r="M1311" s="58">
        <f>[2]S1!M1312</f>
        <v>0</v>
      </c>
      <c r="N1311" s="49">
        <f>[2]S1!P1312</f>
        <v>9784228870</v>
      </c>
    </row>
    <row r="1312" spans="1:14" x14ac:dyDescent="0.3">
      <c r="A1312" s="11">
        <v>4359</v>
      </c>
      <c r="B1312" s="12" t="str">
        <f>[3]Name!E3363</f>
        <v>Savitri Bhamniya</v>
      </c>
      <c r="C1312" s="13">
        <f>[2]S1!C1313</f>
        <v>500</v>
      </c>
      <c r="D1312" s="13">
        <f>[2]S1!D1313</f>
        <v>0</v>
      </c>
      <c r="E1312" s="26">
        <f>[2]S1!E1313</f>
        <v>200</v>
      </c>
      <c r="F1312" s="26">
        <f>[2]S1!F1313</f>
        <v>0</v>
      </c>
      <c r="G1312" s="22">
        <f>[2]S1!G1313</f>
        <v>0</v>
      </c>
      <c r="H1312" s="22">
        <f>[2]S1!H1313</f>
        <v>0</v>
      </c>
      <c r="I1312" s="22">
        <f>[2]S1!I1313</f>
        <v>0</v>
      </c>
      <c r="J1312" s="13">
        <f>[2]S1!J1313</f>
        <v>0</v>
      </c>
      <c r="K1312" s="19">
        <f>[2]S1!K1313</f>
        <v>200</v>
      </c>
      <c r="L1312" s="52">
        <f>[2]S1!L1313</f>
        <v>0</v>
      </c>
      <c r="M1312" s="58">
        <f>[2]S1!M1313</f>
        <v>0</v>
      </c>
      <c r="N1312" s="49">
        <f>[2]S1!P1313</f>
        <v>9784228870</v>
      </c>
    </row>
    <row r="1313" spans="1:14" x14ac:dyDescent="0.3">
      <c r="A1313" s="11">
        <v>4360</v>
      </c>
      <c r="B1313" s="12" t="str">
        <f>[3]Name!E3364</f>
        <v>Jannt Bhamniya</v>
      </c>
      <c r="C1313" s="13">
        <f>[2]S1!C1314</f>
        <v>500</v>
      </c>
      <c r="D1313" s="13">
        <f>[2]S1!D1314</f>
        <v>0</v>
      </c>
      <c r="E1313" s="26">
        <f>[2]S1!E1314</f>
        <v>191</v>
      </c>
      <c r="F1313" s="26">
        <f>[2]S1!F1314</f>
        <v>0</v>
      </c>
      <c r="G1313" s="22">
        <f>[2]S1!G1314</f>
        <v>0</v>
      </c>
      <c r="H1313" s="22">
        <f>[2]S1!H1314</f>
        <v>0</v>
      </c>
      <c r="I1313" s="22">
        <f>[2]S1!I1314</f>
        <v>0</v>
      </c>
      <c r="J1313" s="13">
        <f>[2]S1!J1314</f>
        <v>0</v>
      </c>
      <c r="K1313" s="19">
        <f>[2]S1!K1314</f>
        <v>191</v>
      </c>
      <c r="L1313" s="52">
        <f>[2]S1!L1314</f>
        <v>0</v>
      </c>
      <c r="M1313" s="58">
        <f>[2]S1!M1314</f>
        <v>0</v>
      </c>
      <c r="N1313" s="49">
        <f>[2]S1!P1314</f>
        <v>9784228870</v>
      </c>
    </row>
    <row r="1314" spans="1:14" x14ac:dyDescent="0.3">
      <c r="A1314" s="11">
        <v>4361</v>
      </c>
      <c r="B1314" s="12" t="str">
        <f>[3]Name!E3365</f>
        <v>Suraj Bhamniya</v>
      </c>
      <c r="C1314" s="13">
        <f>[2]S1!C1315</f>
        <v>0</v>
      </c>
      <c r="D1314" s="13">
        <f>[2]S1!D1315</f>
        <v>0</v>
      </c>
      <c r="E1314" s="26">
        <f>[2]S1!E1315</f>
        <v>200</v>
      </c>
      <c r="F1314" s="26">
        <f>[2]S1!F1315</f>
        <v>0</v>
      </c>
      <c r="G1314" s="22">
        <f>[2]S1!G1315</f>
        <v>0</v>
      </c>
      <c r="H1314" s="22">
        <f>[2]S1!H1315</f>
        <v>0</v>
      </c>
      <c r="I1314" s="22">
        <f>[2]S1!I1315</f>
        <v>0</v>
      </c>
      <c r="J1314" s="13">
        <f>[2]S1!J1315</f>
        <v>0</v>
      </c>
      <c r="K1314" s="19">
        <f>[2]S1!K1315</f>
        <v>200</v>
      </c>
      <c r="L1314" s="52">
        <f>[2]S1!L1315</f>
        <v>0</v>
      </c>
      <c r="M1314" s="58">
        <f>[2]S1!M1315</f>
        <v>0</v>
      </c>
      <c r="N1314" s="49">
        <f>[2]S1!P1315</f>
        <v>9784228870</v>
      </c>
    </row>
    <row r="1315" spans="1:14" x14ac:dyDescent="0.3">
      <c r="A1315" s="11">
        <v>4362</v>
      </c>
      <c r="B1315" s="12">
        <f>[3]Name!E3366</f>
        <v>0</v>
      </c>
      <c r="C1315" s="13">
        <f>[2]S1!C1316</f>
        <v>0</v>
      </c>
      <c r="D1315" s="13">
        <f>[2]S1!D1316</f>
        <v>0</v>
      </c>
      <c r="E1315" s="26">
        <f>[2]S1!E1316</f>
        <v>200</v>
      </c>
      <c r="F1315" s="26">
        <f>[2]S1!F1316</f>
        <v>0</v>
      </c>
      <c r="G1315" s="22">
        <f>[2]S1!G1316</f>
        <v>0</v>
      </c>
      <c r="H1315" s="22">
        <f>[2]S1!H1316</f>
        <v>0</v>
      </c>
      <c r="I1315" s="22">
        <f>[2]S1!I1316</f>
        <v>0</v>
      </c>
      <c r="J1315" s="13">
        <f>[2]S1!J1316</f>
        <v>0</v>
      </c>
      <c r="K1315" s="19">
        <f>[2]S1!K1316</f>
        <v>200</v>
      </c>
      <c r="L1315" s="52">
        <f>[2]S1!L1316</f>
        <v>0</v>
      </c>
      <c r="M1315" s="58">
        <f>[2]S1!M1316</f>
        <v>0</v>
      </c>
      <c r="N1315" s="49">
        <f>[2]S1!P1316</f>
        <v>9828069556</v>
      </c>
    </row>
    <row r="1316" spans="1:14" x14ac:dyDescent="0.3">
      <c r="A1316" s="11">
        <v>4363</v>
      </c>
      <c r="B1316" s="12">
        <f>[3]Name!E3367</f>
        <v>0</v>
      </c>
      <c r="C1316" s="13">
        <f>[2]S1!C1317</f>
        <v>0</v>
      </c>
      <c r="D1316" s="13">
        <f>[2]S1!D1317</f>
        <v>0</v>
      </c>
      <c r="E1316" s="26">
        <f>[2]S1!E1317</f>
        <v>200</v>
      </c>
      <c r="F1316" s="26">
        <f>[2]S1!F1317</f>
        <v>0</v>
      </c>
      <c r="G1316" s="22">
        <f>[2]S1!G1317</f>
        <v>0</v>
      </c>
      <c r="H1316" s="22">
        <f>[2]S1!H1317</f>
        <v>0</v>
      </c>
      <c r="I1316" s="22">
        <f>[2]S1!I1317</f>
        <v>0</v>
      </c>
      <c r="J1316" s="13">
        <f>[2]S1!J1317</f>
        <v>0</v>
      </c>
      <c r="K1316" s="19">
        <f>[2]S1!K1317</f>
        <v>200</v>
      </c>
      <c r="L1316" s="52">
        <f>[2]S1!L1317</f>
        <v>0</v>
      </c>
      <c r="M1316" s="58">
        <f>[2]S1!M1317</f>
        <v>0</v>
      </c>
      <c r="N1316" s="49">
        <f>[2]S1!P1317</f>
        <v>9828069556</v>
      </c>
    </row>
    <row r="1317" spans="1:14" x14ac:dyDescent="0.3">
      <c r="A1317" s="11">
        <v>4364</v>
      </c>
      <c r="B1317" s="12">
        <f>[3]Name!E3368</f>
        <v>0</v>
      </c>
      <c r="C1317" s="13">
        <f>[2]S1!C1318</f>
        <v>0</v>
      </c>
      <c r="D1317" s="13">
        <f>[2]S1!D1318</f>
        <v>0</v>
      </c>
      <c r="E1317" s="26">
        <f>[2]S1!E1318</f>
        <v>200</v>
      </c>
      <c r="F1317" s="26">
        <f>[2]S1!F1318</f>
        <v>0</v>
      </c>
      <c r="G1317" s="22">
        <f>[2]S1!G1318</f>
        <v>0</v>
      </c>
      <c r="H1317" s="22">
        <f>[2]S1!H1318</f>
        <v>0</v>
      </c>
      <c r="I1317" s="22">
        <f>[2]S1!I1318</f>
        <v>0</v>
      </c>
      <c r="J1317" s="13">
        <f>[2]S1!J1318</f>
        <v>0</v>
      </c>
      <c r="K1317" s="19">
        <f>[2]S1!K1318</f>
        <v>200</v>
      </c>
      <c r="L1317" s="52">
        <f>[2]S1!L1318</f>
        <v>0</v>
      </c>
      <c r="M1317" s="58">
        <f>[2]S1!M1318</f>
        <v>0</v>
      </c>
      <c r="N1317" s="49">
        <f>[2]S1!P1318</f>
        <v>9828069556</v>
      </c>
    </row>
    <row r="1318" spans="1:14" x14ac:dyDescent="0.3">
      <c r="A1318" s="11">
        <v>4365</v>
      </c>
      <c r="B1318" s="12">
        <f>[3]Name!E3369</f>
        <v>0</v>
      </c>
      <c r="C1318" s="13">
        <f>[2]S1!C1319</f>
        <v>0</v>
      </c>
      <c r="D1318" s="13">
        <f>[2]S1!D1319</f>
        <v>0</v>
      </c>
      <c r="E1318" s="26">
        <f>[2]S1!E1319</f>
        <v>200</v>
      </c>
      <c r="F1318" s="26">
        <f>[2]S1!F1319</f>
        <v>0</v>
      </c>
      <c r="G1318" s="22">
        <f>[2]S1!G1319</f>
        <v>0</v>
      </c>
      <c r="H1318" s="22">
        <f>[2]S1!H1319</f>
        <v>0</v>
      </c>
      <c r="I1318" s="22">
        <f>[2]S1!I1319</f>
        <v>0</v>
      </c>
      <c r="J1318" s="13">
        <f>[2]S1!J1319</f>
        <v>0</v>
      </c>
      <c r="K1318" s="19">
        <f>[2]S1!K1319</f>
        <v>200</v>
      </c>
      <c r="L1318" s="52">
        <f>[2]S1!L1319</f>
        <v>0</v>
      </c>
      <c r="M1318" s="58">
        <f>[2]S1!M1319</f>
        <v>0</v>
      </c>
      <c r="N1318" s="49">
        <f>[2]S1!P1319</f>
        <v>9828069556</v>
      </c>
    </row>
    <row r="1319" spans="1:14" x14ac:dyDescent="0.3">
      <c r="A1319" s="11">
        <v>4366</v>
      </c>
      <c r="B1319" s="12" t="str">
        <f>[3]Name!E3370</f>
        <v>Kailash Kumar balai</v>
      </c>
      <c r="C1319" s="13">
        <f>[2]S1!C1320</f>
        <v>0</v>
      </c>
      <c r="D1319" s="13">
        <f>[2]S1!D1320</f>
        <v>0</v>
      </c>
      <c r="E1319" s="26">
        <f>[2]S1!E1320</f>
        <v>163</v>
      </c>
      <c r="F1319" s="26">
        <f>[2]S1!F1320</f>
        <v>2</v>
      </c>
      <c r="G1319" s="22">
        <f>[2]S1!G1320</f>
        <v>0</v>
      </c>
      <c r="H1319" s="22">
        <f>[2]S1!H1320</f>
        <v>0</v>
      </c>
      <c r="I1319" s="22">
        <f>[2]S1!I1320</f>
        <v>0</v>
      </c>
      <c r="J1319" s="13">
        <f>[2]S1!J1320</f>
        <v>0</v>
      </c>
      <c r="K1319" s="19">
        <f>[2]S1!K1320</f>
        <v>165</v>
      </c>
      <c r="L1319" s="52">
        <f>[2]S1!L1320</f>
        <v>0</v>
      </c>
      <c r="M1319" s="58">
        <f>[2]S1!M1320</f>
        <v>0</v>
      </c>
      <c r="N1319" s="49">
        <f>[2]S1!P1320</f>
        <v>9660428871</v>
      </c>
    </row>
    <row r="1320" spans="1:14" x14ac:dyDescent="0.3">
      <c r="A1320" s="11">
        <v>4367</v>
      </c>
      <c r="B1320" s="12" t="str">
        <f>[3]Name!E3371</f>
        <v>Lali Devi balai</v>
      </c>
      <c r="C1320" s="13">
        <f>[2]S1!C1321</f>
        <v>0</v>
      </c>
      <c r="D1320" s="13">
        <f>[2]S1!D1321</f>
        <v>0</v>
      </c>
      <c r="E1320" s="26">
        <f>[2]S1!E1321</f>
        <v>200</v>
      </c>
      <c r="F1320" s="26">
        <f>[2]S1!F1321</f>
        <v>2</v>
      </c>
      <c r="G1320" s="22">
        <f>[2]S1!G1321</f>
        <v>0</v>
      </c>
      <c r="H1320" s="22">
        <f>[2]S1!H1321</f>
        <v>0</v>
      </c>
      <c r="I1320" s="22">
        <f>[2]S1!I1321</f>
        <v>0</v>
      </c>
      <c r="J1320" s="13">
        <f>[2]S1!J1321</f>
        <v>0</v>
      </c>
      <c r="K1320" s="19">
        <f>[2]S1!K1321</f>
        <v>202</v>
      </c>
      <c r="L1320" s="52">
        <f>[2]S1!L1321</f>
        <v>0</v>
      </c>
      <c r="M1320" s="58">
        <f>[2]S1!M1321</f>
        <v>0</v>
      </c>
      <c r="N1320" s="49">
        <f>[2]S1!P1321</f>
        <v>9660428871</v>
      </c>
    </row>
    <row r="1321" spans="1:14" x14ac:dyDescent="0.3">
      <c r="A1321" s="11">
        <v>4368</v>
      </c>
      <c r="B1321" s="12" t="str">
        <f>[3]Name!E3372</f>
        <v>Hitesh balai</v>
      </c>
      <c r="C1321" s="13">
        <f>[2]S1!C1322</f>
        <v>0</v>
      </c>
      <c r="D1321" s="13">
        <f>[2]S1!D1322</f>
        <v>0</v>
      </c>
      <c r="E1321" s="26">
        <f>[2]S1!E1322</f>
        <v>200</v>
      </c>
      <c r="F1321" s="26">
        <f>[2]S1!F1322</f>
        <v>2</v>
      </c>
      <c r="G1321" s="22">
        <f>[2]S1!G1322</f>
        <v>0</v>
      </c>
      <c r="H1321" s="22">
        <f>[2]S1!H1322</f>
        <v>0</v>
      </c>
      <c r="I1321" s="22">
        <f>[2]S1!I1322</f>
        <v>0</v>
      </c>
      <c r="J1321" s="13">
        <f>[2]S1!J1322</f>
        <v>0</v>
      </c>
      <c r="K1321" s="19">
        <f>[2]S1!K1322</f>
        <v>202</v>
      </c>
      <c r="L1321" s="52">
        <f>[2]S1!L1322</f>
        <v>0</v>
      </c>
      <c r="M1321" s="58">
        <f>[2]S1!M1322</f>
        <v>0</v>
      </c>
      <c r="N1321" s="49">
        <f>[2]S1!P1322</f>
        <v>9660428871</v>
      </c>
    </row>
    <row r="1322" spans="1:14" x14ac:dyDescent="0.3">
      <c r="A1322" s="11">
        <v>4369</v>
      </c>
      <c r="B1322" s="12" t="str">
        <f>[3]Name!E3373</f>
        <v>Vivek Kumar balai</v>
      </c>
      <c r="C1322" s="13">
        <f>[2]S1!C1323</f>
        <v>0</v>
      </c>
      <c r="D1322" s="13">
        <f>[2]S1!D1323</f>
        <v>0</v>
      </c>
      <c r="E1322" s="26">
        <f>[2]S1!E1323</f>
        <v>200</v>
      </c>
      <c r="F1322" s="26">
        <f>[2]S1!F1323</f>
        <v>2</v>
      </c>
      <c r="G1322" s="22">
        <f>[2]S1!G1323</f>
        <v>0</v>
      </c>
      <c r="H1322" s="22">
        <f>[2]S1!H1323</f>
        <v>0</v>
      </c>
      <c r="I1322" s="22">
        <f>[2]S1!I1323</f>
        <v>0</v>
      </c>
      <c r="J1322" s="13">
        <f>[2]S1!J1323</f>
        <v>0</v>
      </c>
      <c r="K1322" s="19">
        <f>[2]S1!K1323</f>
        <v>202</v>
      </c>
      <c r="L1322" s="52">
        <f>[2]S1!L1323</f>
        <v>0</v>
      </c>
      <c r="M1322" s="58">
        <f>[2]S1!M1323</f>
        <v>0</v>
      </c>
      <c r="N1322" s="49">
        <f>[2]S1!P1323</f>
        <v>9660428871</v>
      </c>
    </row>
    <row r="1323" spans="1:14" x14ac:dyDescent="0.3">
      <c r="A1323" s="11">
        <v>4370</v>
      </c>
      <c r="B1323" s="12">
        <f>[3]Name!E3374</f>
        <v>0</v>
      </c>
      <c r="C1323" s="13">
        <f>[2]S1!C1324</f>
        <v>0</v>
      </c>
      <c r="D1323" s="13">
        <f>[2]S1!D1324</f>
        <v>0</v>
      </c>
      <c r="E1323" s="26">
        <f>[2]S1!E1324</f>
        <v>0</v>
      </c>
      <c r="F1323" s="26">
        <f>[2]S1!F1324</f>
        <v>0</v>
      </c>
      <c r="G1323" s="22">
        <f>[2]S1!G1324</f>
        <v>0</v>
      </c>
      <c r="H1323" s="22">
        <f>[2]S1!H1324</f>
        <v>0</v>
      </c>
      <c r="I1323" s="22">
        <f>[2]S1!I1324</f>
        <v>0</v>
      </c>
      <c r="J1323" s="13">
        <f>[2]S1!J1324</f>
        <v>0</v>
      </c>
      <c r="K1323" s="19">
        <f>[2]S1!K1324</f>
        <v>0</v>
      </c>
      <c r="L1323" s="52">
        <f>[2]S1!L1324</f>
        <v>0</v>
      </c>
      <c r="M1323" s="58">
        <f>[2]S1!M1324</f>
        <v>0</v>
      </c>
      <c r="N1323" s="49">
        <f>[2]S1!P1324</f>
        <v>0</v>
      </c>
    </row>
    <row r="1324" spans="1:14" x14ac:dyDescent="0.3">
      <c r="A1324" s="11">
        <v>4371</v>
      </c>
      <c r="B1324" s="12">
        <f>[3]Name!E3375</f>
        <v>0</v>
      </c>
      <c r="C1324" s="13">
        <f>[2]S1!C1325</f>
        <v>0</v>
      </c>
      <c r="D1324" s="13">
        <f>[2]S1!D1325</f>
        <v>0</v>
      </c>
      <c r="E1324" s="26">
        <f>[2]S1!E1325</f>
        <v>0</v>
      </c>
      <c r="F1324" s="26">
        <f>[2]S1!F1325</f>
        <v>0</v>
      </c>
      <c r="G1324" s="22">
        <f>[2]S1!G1325</f>
        <v>0</v>
      </c>
      <c r="H1324" s="22">
        <f>[2]S1!H1325</f>
        <v>0</v>
      </c>
      <c r="I1324" s="22">
        <f>[2]S1!I1325</f>
        <v>0</v>
      </c>
      <c r="J1324" s="13">
        <f>[2]S1!J1325</f>
        <v>0</v>
      </c>
      <c r="K1324" s="19">
        <f>[2]S1!K1325</f>
        <v>0</v>
      </c>
      <c r="L1324" s="52">
        <f>[2]S1!L1325</f>
        <v>0</v>
      </c>
      <c r="M1324" s="58">
        <f>[2]S1!M1325</f>
        <v>0</v>
      </c>
      <c r="N1324" s="49">
        <f>[2]S1!P1325</f>
        <v>0</v>
      </c>
    </row>
    <row r="1325" spans="1:14" x14ac:dyDescent="0.3">
      <c r="A1325" s="11">
        <v>4372</v>
      </c>
      <c r="B1325" s="12">
        <f>[3]Name!E3376</f>
        <v>0</v>
      </c>
      <c r="C1325" s="13">
        <f>[2]S1!C1326</f>
        <v>0</v>
      </c>
      <c r="D1325" s="13">
        <f>[2]S1!D1326</f>
        <v>0</v>
      </c>
      <c r="E1325" s="26">
        <f>[2]S1!E1326</f>
        <v>0</v>
      </c>
      <c r="F1325" s="26">
        <f>[2]S1!F1326</f>
        <v>0</v>
      </c>
      <c r="G1325" s="22">
        <f>[2]S1!G1326</f>
        <v>0</v>
      </c>
      <c r="H1325" s="22">
        <f>[2]S1!H1326</f>
        <v>0</v>
      </c>
      <c r="I1325" s="22">
        <f>[2]S1!I1326</f>
        <v>0</v>
      </c>
      <c r="J1325" s="13">
        <f>[2]S1!J1326</f>
        <v>0</v>
      </c>
      <c r="K1325" s="19">
        <f>[2]S1!K1326</f>
        <v>0</v>
      </c>
      <c r="L1325" s="52">
        <f>[2]S1!L1326</f>
        <v>0</v>
      </c>
      <c r="M1325" s="58">
        <f>[2]S1!M1326</f>
        <v>0</v>
      </c>
      <c r="N1325" s="49">
        <f>[2]S1!P1326</f>
        <v>0</v>
      </c>
    </row>
    <row r="1326" spans="1:14" x14ac:dyDescent="0.3">
      <c r="A1326" s="11">
        <v>4373</v>
      </c>
      <c r="B1326" s="12">
        <f>[3]Name!E3377</f>
        <v>0</v>
      </c>
      <c r="C1326" s="13">
        <f>[2]S1!C1327</f>
        <v>0</v>
      </c>
      <c r="D1326" s="13">
        <f>[2]S1!D1327</f>
        <v>0</v>
      </c>
      <c r="E1326" s="26">
        <f>[2]S1!E1327</f>
        <v>0</v>
      </c>
      <c r="F1326" s="26">
        <f>[2]S1!F1327</f>
        <v>0</v>
      </c>
      <c r="G1326" s="22">
        <f>[2]S1!G1327</f>
        <v>0</v>
      </c>
      <c r="H1326" s="22">
        <f>[2]S1!H1327</f>
        <v>0</v>
      </c>
      <c r="I1326" s="22">
        <f>[2]S1!I1327</f>
        <v>0</v>
      </c>
      <c r="J1326" s="13">
        <f>[2]S1!J1327</f>
        <v>0</v>
      </c>
      <c r="K1326" s="19">
        <f>[2]S1!K1327</f>
        <v>0</v>
      </c>
      <c r="L1326" s="52">
        <f>[2]S1!L1327</f>
        <v>0</v>
      </c>
      <c r="M1326" s="58">
        <f>[2]S1!M1327</f>
        <v>0</v>
      </c>
      <c r="N1326" s="49">
        <f>[2]S1!P1327</f>
        <v>0</v>
      </c>
    </row>
    <row r="1327" spans="1:14" x14ac:dyDescent="0.3">
      <c r="A1327" s="11">
        <v>4374</v>
      </c>
      <c r="B1327" s="12">
        <f>[3]Name!E3378</f>
        <v>0</v>
      </c>
      <c r="C1327" s="13">
        <f>[2]S1!C1328</f>
        <v>0</v>
      </c>
      <c r="D1327" s="13">
        <f>[2]S1!D1328</f>
        <v>0</v>
      </c>
      <c r="E1327" s="26">
        <f>[2]S1!E1328</f>
        <v>0</v>
      </c>
      <c r="F1327" s="26">
        <f>[2]S1!F1328</f>
        <v>0</v>
      </c>
      <c r="G1327" s="22">
        <f>[2]S1!G1328</f>
        <v>0</v>
      </c>
      <c r="H1327" s="22">
        <f>[2]S1!H1328</f>
        <v>0</v>
      </c>
      <c r="I1327" s="22">
        <f>[2]S1!I1328</f>
        <v>0</v>
      </c>
      <c r="J1327" s="13">
        <f>[2]S1!J1328</f>
        <v>0</v>
      </c>
      <c r="K1327" s="19">
        <f>[2]S1!K1328</f>
        <v>0</v>
      </c>
      <c r="L1327" s="52">
        <f>[2]S1!L1328</f>
        <v>0</v>
      </c>
      <c r="M1327" s="58">
        <f>[2]S1!M1328</f>
        <v>0</v>
      </c>
      <c r="N1327" s="49">
        <f>[2]S1!P1328</f>
        <v>0</v>
      </c>
    </row>
    <row r="1328" spans="1:14" x14ac:dyDescent="0.3">
      <c r="A1328" s="11">
        <v>4375</v>
      </c>
      <c r="B1328" s="12">
        <f>[3]Name!E3379</f>
        <v>0</v>
      </c>
      <c r="C1328" s="13">
        <f>[2]S1!C1329</f>
        <v>0</v>
      </c>
      <c r="D1328" s="13">
        <f>[2]S1!D1329</f>
        <v>0</v>
      </c>
      <c r="E1328" s="26">
        <f>[2]S1!E1329</f>
        <v>0</v>
      </c>
      <c r="F1328" s="26">
        <f>[2]S1!F1329</f>
        <v>0</v>
      </c>
      <c r="G1328" s="22">
        <f>[2]S1!G1329</f>
        <v>0</v>
      </c>
      <c r="H1328" s="22">
        <f>[2]S1!H1329</f>
        <v>0</v>
      </c>
      <c r="I1328" s="22">
        <f>[2]S1!I1329</f>
        <v>0</v>
      </c>
      <c r="J1328" s="13">
        <f>[2]S1!J1329</f>
        <v>0</v>
      </c>
      <c r="K1328" s="19">
        <f>[2]S1!K1329</f>
        <v>0</v>
      </c>
      <c r="L1328" s="52">
        <f>[2]S1!L1329</f>
        <v>0</v>
      </c>
      <c r="M1328" s="58">
        <f>[2]S1!M1329</f>
        <v>0</v>
      </c>
      <c r="N1328" s="49">
        <f>[2]S1!P1329</f>
        <v>0</v>
      </c>
    </row>
    <row r="1329" spans="1:14" x14ac:dyDescent="0.3">
      <c r="A1329" s="11">
        <v>4376</v>
      </c>
      <c r="B1329" s="12">
        <f>[3]Name!E3380</f>
        <v>0</v>
      </c>
      <c r="C1329" s="13">
        <f>[2]S1!C1330</f>
        <v>0</v>
      </c>
      <c r="D1329" s="13">
        <f>[2]S1!D1330</f>
        <v>0</v>
      </c>
      <c r="E1329" s="26">
        <f>[2]S1!E1330</f>
        <v>0</v>
      </c>
      <c r="F1329" s="26">
        <f>[2]S1!F1330</f>
        <v>0</v>
      </c>
      <c r="G1329" s="22">
        <f>[2]S1!G1330</f>
        <v>0</v>
      </c>
      <c r="H1329" s="22">
        <f>[2]S1!H1330</f>
        <v>0</v>
      </c>
      <c r="I1329" s="22">
        <f>[2]S1!I1330</f>
        <v>0</v>
      </c>
      <c r="J1329" s="13">
        <f>[2]S1!J1330</f>
        <v>0</v>
      </c>
      <c r="K1329" s="19">
        <f>[2]S1!K1330</f>
        <v>0</v>
      </c>
      <c r="L1329" s="52">
        <f>[2]S1!L1330</f>
        <v>0</v>
      </c>
      <c r="M1329" s="58">
        <f>[2]S1!M1330</f>
        <v>0</v>
      </c>
      <c r="N1329" s="49">
        <f>[2]S1!P1330</f>
        <v>0</v>
      </c>
    </row>
    <row r="1330" spans="1:14" x14ac:dyDescent="0.3">
      <c r="A1330" s="11">
        <v>4377</v>
      </c>
      <c r="B1330" s="12">
        <f>[3]Name!E3381</f>
        <v>0</v>
      </c>
      <c r="C1330" s="13">
        <f>[2]S1!C1331</f>
        <v>0</v>
      </c>
      <c r="D1330" s="13">
        <f>[2]S1!D1331</f>
        <v>0</v>
      </c>
      <c r="E1330" s="26">
        <f>[2]S1!E1331</f>
        <v>0</v>
      </c>
      <c r="F1330" s="26">
        <f>[2]S1!F1331</f>
        <v>0</v>
      </c>
      <c r="G1330" s="22">
        <f>[2]S1!G1331</f>
        <v>0</v>
      </c>
      <c r="H1330" s="22">
        <f>[2]S1!H1331</f>
        <v>0</v>
      </c>
      <c r="I1330" s="22">
        <f>[2]S1!I1331</f>
        <v>0</v>
      </c>
      <c r="J1330" s="13">
        <f>[2]S1!J1331</f>
        <v>0</v>
      </c>
      <c r="K1330" s="19">
        <f>[2]S1!K1331</f>
        <v>0</v>
      </c>
      <c r="L1330" s="52">
        <f>[2]S1!L1331</f>
        <v>0</v>
      </c>
      <c r="M1330" s="58">
        <f>[2]S1!M1331</f>
        <v>0</v>
      </c>
      <c r="N1330" s="49">
        <f>[2]S1!P1331</f>
        <v>0</v>
      </c>
    </row>
    <row r="1331" spans="1:14" x14ac:dyDescent="0.3">
      <c r="A1331" s="11">
        <v>4378</v>
      </c>
      <c r="B1331" s="12">
        <f>[3]Name!E3382</f>
        <v>0</v>
      </c>
      <c r="C1331" s="13">
        <f>[2]S1!C1332</f>
        <v>0</v>
      </c>
      <c r="D1331" s="13">
        <f>[2]S1!D1332</f>
        <v>0</v>
      </c>
      <c r="E1331" s="26">
        <f>[2]S1!E1332</f>
        <v>0</v>
      </c>
      <c r="F1331" s="26">
        <f>[2]S1!F1332</f>
        <v>0</v>
      </c>
      <c r="G1331" s="22">
        <f>[2]S1!G1332</f>
        <v>0</v>
      </c>
      <c r="H1331" s="22">
        <f>[2]S1!H1332</f>
        <v>0</v>
      </c>
      <c r="I1331" s="22">
        <f>[2]S1!I1332</f>
        <v>0</v>
      </c>
      <c r="J1331" s="13">
        <f>[2]S1!J1332</f>
        <v>0</v>
      </c>
      <c r="K1331" s="19">
        <f>[2]S1!K1332</f>
        <v>0</v>
      </c>
      <c r="L1331" s="52">
        <f>[2]S1!L1332</f>
        <v>0</v>
      </c>
      <c r="M1331" s="58">
        <f>[2]S1!M1332</f>
        <v>0</v>
      </c>
      <c r="N1331" s="49">
        <f>[2]S1!P1332</f>
        <v>0</v>
      </c>
    </row>
    <row r="1332" spans="1:14" x14ac:dyDescent="0.3">
      <c r="A1332" s="11">
        <v>4379</v>
      </c>
      <c r="B1332" s="12">
        <f>[3]Name!E3383</f>
        <v>0</v>
      </c>
      <c r="C1332" s="13">
        <f>[2]S1!C1333</f>
        <v>0</v>
      </c>
      <c r="D1332" s="13">
        <f>[2]S1!D1333</f>
        <v>0</v>
      </c>
      <c r="E1332" s="26">
        <f>[2]S1!E1333</f>
        <v>0</v>
      </c>
      <c r="F1332" s="26">
        <f>[2]S1!F1333</f>
        <v>0</v>
      </c>
      <c r="G1332" s="22">
        <f>[2]S1!G1333</f>
        <v>0</v>
      </c>
      <c r="H1332" s="22">
        <f>[2]S1!H1333</f>
        <v>0</v>
      </c>
      <c r="I1332" s="22">
        <f>[2]S1!I1333</f>
        <v>0</v>
      </c>
      <c r="J1332" s="13">
        <f>[2]S1!J1333</f>
        <v>0</v>
      </c>
      <c r="K1332" s="19">
        <f>[2]S1!K1333</f>
        <v>0</v>
      </c>
      <c r="L1332" s="52">
        <f>[2]S1!L1333</f>
        <v>0</v>
      </c>
      <c r="M1332" s="58">
        <f>[2]S1!M1333</f>
        <v>0</v>
      </c>
      <c r="N1332" s="49">
        <f>[2]S1!P1333</f>
        <v>0</v>
      </c>
    </row>
    <row r="1333" spans="1:14" x14ac:dyDescent="0.3">
      <c r="A1333" s="11">
        <v>4380</v>
      </c>
      <c r="B1333" s="12">
        <f>[3]Name!E3384</f>
        <v>0</v>
      </c>
      <c r="C1333" s="13">
        <f>[2]S1!C1334</f>
        <v>0</v>
      </c>
      <c r="D1333" s="13">
        <f>[2]S1!D1334</f>
        <v>0</v>
      </c>
      <c r="E1333" s="26">
        <f>[2]S1!E1334</f>
        <v>0</v>
      </c>
      <c r="F1333" s="26">
        <f>[2]S1!F1334</f>
        <v>0</v>
      </c>
      <c r="G1333" s="22">
        <f>[2]S1!G1334</f>
        <v>0</v>
      </c>
      <c r="H1333" s="22">
        <f>[2]S1!H1334</f>
        <v>0</v>
      </c>
      <c r="I1333" s="22">
        <f>[2]S1!I1334</f>
        <v>0</v>
      </c>
      <c r="J1333" s="13">
        <f>[2]S1!J1334</f>
        <v>0</v>
      </c>
      <c r="K1333" s="19">
        <f>[2]S1!K1334</f>
        <v>0</v>
      </c>
      <c r="L1333" s="52">
        <f>[2]S1!L1334</f>
        <v>0</v>
      </c>
      <c r="M1333" s="58">
        <f>[2]S1!M1334</f>
        <v>0</v>
      </c>
      <c r="N1333" s="49">
        <f>[2]S1!P1334</f>
        <v>0</v>
      </c>
    </row>
    <row r="1334" spans="1:14" x14ac:dyDescent="0.3">
      <c r="A1334" s="11">
        <v>4381</v>
      </c>
      <c r="B1334" s="12">
        <f>[3]Name!E3385</f>
        <v>0</v>
      </c>
      <c r="C1334" s="13">
        <f>[2]S1!C1335</f>
        <v>0</v>
      </c>
      <c r="D1334" s="13">
        <f>[2]S1!D1335</f>
        <v>0</v>
      </c>
      <c r="E1334" s="26">
        <f>[2]S1!E1335</f>
        <v>0</v>
      </c>
      <c r="F1334" s="26">
        <f>[2]S1!F1335</f>
        <v>0</v>
      </c>
      <c r="G1334" s="22">
        <f>[2]S1!G1335</f>
        <v>0</v>
      </c>
      <c r="H1334" s="22">
        <f>[2]S1!H1335</f>
        <v>0</v>
      </c>
      <c r="I1334" s="22">
        <f>[2]S1!I1335</f>
        <v>0</v>
      </c>
      <c r="J1334" s="13">
        <f>[2]S1!J1335</f>
        <v>0</v>
      </c>
      <c r="K1334" s="19">
        <f>[2]S1!K1335</f>
        <v>0</v>
      </c>
      <c r="L1334" s="52">
        <f>[2]S1!L1335</f>
        <v>0</v>
      </c>
      <c r="M1334" s="58">
        <f>[2]S1!M1335</f>
        <v>0</v>
      </c>
      <c r="N1334" s="49">
        <f>[2]S1!P1335</f>
        <v>0</v>
      </c>
    </row>
    <row r="1335" spans="1:14" x14ac:dyDescent="0.3">
      <c r="A1335" s="11">
        <v>4382</v>
      </c>
      <c r="B1335" s="12">
        <f>[3]Name!E3386</f>
        <v>0</v>
      </c>
      <c r="C1335" s="13">
        <f>[2]S1!C1336</f>
        <v>0</v>
      </c>
      <c r="D1335" s="13">
        <f>[2]S1!D1336</f>
        <v>0</v>
      </c>
      <c r="E1335" s="26">
        <f>[2]S1!E1336</f>
        <v>0</v>
      </c>
      <c r="F1335" s="26">
        <f>[2]S1!F1336</f>
        <v>0</v>
      </c>
      <c r="G1335" s="22">
        <f>[2]S1!G1336</f>
        <v>0</v>
      </c>
      <c r="H1335" s="22">
        <f>[2]S1!H1336</f>
        <v>0</v>
      </c>
      <c r="I1335" s="22">
        <f>[2]S1!I1336</f>
        <v>0</v>
      </c>
      <c r="J1335" s="13">
        <f>[2]S1!J1336</f>
        <v>0</v>
      </c>
      <c r="K1335" s="19">
        <f>[2]S1!K1336</f>
        <v>0</v>
      </c>
      <c r="L1335" s="52">
        <f>[2]S1!L1336</f>
        <v>0</v>
      </c>
      <c r="M1335" s="58">
        <f>[2]S1!M1336</f>
        <v>0</v>
      </c>
      <c r="N1335" s="49">
        <f>[2]S1!P1336</f>
        <v>0</v>
      </c>
    </row>
    <row r="1336" spans="1:14" x14ac:dyDescent="0.3">
      <c r="A1336" s="11">
        <v>4383</v>
      </c>
      <c r="B1336" s="12">
        <f>[3]Name!E3387</f>
        <v>0</v>
      </c>
      <c r="C1336" s="13">
        <f>[2]S1!C1337</f>
        <v>0</v>
      </c>
      <c r="D1336" s="13">
        <f>[2]S1!D1337</f>
        <v>0</v>
      </c>
      <c r="E1336" s="26">
        <f>[2]S1!E1337</f>
        <v>0</v>
      </c>
      <c r="F1336" s="26">
        <f>[2]S1!F1337</f>
        <v>0</v>
      </c>
      <c r="G1336" s="22">
        <f>[2]S1!G1337</f>
        <v>0</v>
      </c>
      <c r="H1336" s="22">
        <f>[2]S1!H1337</f>
        <v>0</v>
      </c>
      <c r="I1336" s="22">
        <f>[2]S1!I1337</f>
        <v>0</v>
      </c>
      <c r="J1336" s="13">
        <f>[2]S1!J1337</f>
        <v>0</v>
      </c>
      <c r="K1336" s="19">
        <f>[2]S1!K1337</f>
        <v>0</v>
      </c>
      <c r="L1336" s="52">
        <f>[2]S1!L1337</f>
        <v>0</v>
      </c>
      <c r="M1336" s="58">
        <f>[2]S1!M1337</f>
        <v>0</v>
      </c>
      <c r="N1336" s="49">
        <f>[2]S1!P1337</f>
        <v>0</v>
      </c>
    </row>
    <row r="1337" spans="1:14" x14ac:dyDescent="0.3">
      <c r="A1337" s="11">
        <v>4384</v>
      </c>
      <c r="B1337" s="12">
        <f>[3]Name!E3388</f>
        <v>0</v>
      </c>
      <c r="C1337" s="13">
        <f>[2]S1!C1338</f>
        <v>0</v>
      </c>
      <c r="D1337" s="13">
        <f>[2]S1!D1338</f>
        <v>0</v>
      </c>
      <c r="E1337" s="26">
        <f>[2]S1!E1338</f>
        <v>0</v>
      </c>
      <c r="F1337" s="26">
        <f>[2]S1!F1338</f>
        <v>0</v>
      </c>
      <c r="G1337" s="22">
        <f>[2]S1!G1338</f>
        <v>0</v>
      </c>
      <c r="H1337" s="22">
        <f>[2]S1!H1338</f>
        <v>0</v>
      </c>
      <c r="I1337" s="22">
        <f>[2]S1!I1338</f>
        <v>0</v>
      </c>
      <c r="J1337" s="13">
        <f>[2]S1!J1338</f>
        <v>0</v>
      </c>
      <c r="K1337" s="19">
        <f>[2]S1!K1338</f>
        <v>0</v>
      </c>
      <c r="L1337" s="52">
        <f>[2]S1!L1338</f>
        <v>0</v>
      </c>
      <c r="M1337" s="58">
        <f>[2]S1!M1338</f>
        <v>0</v>
      </c>
      <c r="N1337" s="49">
        <f>[2]S1!P1338</f>
        <v>0</v>
      </c>
    </row>
    <row r="1338" spans="1:14" x14ac:dyDescent="0.3">
      <c r="A1338" s="11">
        <v>4385</v>
      </c>
      <c r="B1338" s="12">
        <f>[3]Name!E3389</f>
        <v>0</v>
      </c>
      <c r="C1338" s="13">
        <f>[2]S1!C1339</f>
        <v>0</v>
      </c>
      <c r="D1338" s="13">
        <f>[2]S1!D1339</f>
        <v>0</v>
      </c>
      <c r="E1338" s="26">
        <f>[2]S1!E1339</f>
        <v>0</v>
      </c>
      <c r="F1338" s="26">
        <f>[2]S1!F1339</f>
        <v>0</v>
      </c>
      <c r="G1338" s="22">
        <f>[2]S1!G1339</f>
        <v>0</v>
      </c>
      <c r="H1338" s="22">
        <f>[2]S1!H1339</f>
        <v>0</v>
      </c>
      <c r="I1338" s="22">
        <f>[2]S1!I1339</f>
        <v>0</v>
      </c>
      <c r="J1338" s="13">
        <f>[2]S1!J1339</f>
        <v>0</v>
      </c>
      <c r="K1338" s="19">
        <f>[2]S1!K1339</f>
        <v>0</v>
      </c>
      <c r="L1338" s="52">
        <f>[2]S1!L1339</f>
        <v>0</v>
      </c>
      <c r="M1338" s="58">
        <f>[2]S1!M1339</f>
        <v>0</v>
      </c>
      <c r="N1338" s="49">
        <f>[2]S1!P1339</f>
        <v>0</v>
      </c>
    </row>
    <row r="1339" spans="1:14" x14ac:dyDescent="0.3">
      <c r="A1339" s="11">
        <v>4386</v>
      </c>
      <c r="B1339" s="12">
        <f>[3]Name!E3390</f>
        <v>0</v>
      </c>
      <c r="C1339" s="13">
        <f>[2]S1!C1340</f>
        <v>0</v>
      </c>
      <c r="D1339" s="13">
        <f>[2]S1!D1340</f>
        <v>0</v>
      </c>
      <c r="E1339" s="26">
        <f>[2]S1!E1340</f>
        <v>0</v>
      </c>
      <c r="F1339" s="26">
        <f>[2]S1!F1340</f>
        <v>0</v>
      </c>
      <c r="G1339" s="22">
        <f>[2]S1!G1340</f>
        <v>0</v>
      </c>
      <c r="H1339" s="22">
        <f>[2]S1!H1340</f>
        <v>0</v>
      </c>
      <c r="I1339" s="22">
        <f>[2]S1!I1340</f>
        <v>0</v>
      </c>
      <c r="J1339" s="13">
        <f>[2]S1!J1340</f>
        <v>0</v>
      </c>
      <c r="K1339" s="19">
        <f>[2]S1!K1340</f>
        <v>0</v>
      </c>
      <c r="L1339" s="52">
        <f>[2]S1!L1340</f>
        <v>0</v>
      </c>
      <c r="M1339" s="58">
        <f>[2]S1!M1340</f>
        <v>0</v>
      </c>
      <c r="N1339" s="49">
        <f>[2]S1!P1340</f>
        <v>0</v>
      </c>
    </row>
    <row r="1340" spans="1:14" x14ac:dyDescent="0.3">
      <c r="A1340" s="11">
        <v>4387</v>
      </c>
      <c r="B1340" s="12">
        <f>[3]Name!E3391</f>
        <v>0</v>
      </c>
      <c r="C1340" s="13">
        <f>[2]S1!C1341</f>
        <v>0</v>
      </c>
      <c r="D1340" s="13">
        <f>[2]S1!D1341</f>
        <v>0</v>
      </c>
      <c r="E1340" s="26">
        <f>[2]S1!E1341</f>
        <v>0</v>
      </c>
      <c r="F1340" s="26">
        <f>[2]S1!F1341</f>
        <v>0</v>
      </c>
      <c r="G1340" s="22">
        <f>[2]S1!G1341</f>
        <v>0</v>
      </c>
      <c r="H1340" s="22">
        <f>[2]S1!H1341</f>
        <v>0</v>
      </c>
      <c r="I1340" s="22">
        <f>[2]S1!I1341</f>
        <v>0</v>
      </c>
      <c r="J1340" s="13">
        <f>[2]S1!J1341</f>
        <v>0</v>
      </c>
      <c r="K1340" s="19">
        <f>[2]S1!K1341</f>
        <v>0</v>
      </c>
      <c r="L1340" s="52">
        <f>[2]S1!L1341</f>
        <v>0</v>
      </c>
      <c r="M1340" s="58">
        <f>[2]S1!M1341</f>
        <v>0</v>
      </c>
      <c r="N1340" s="49">
        <f>[2]S1!P1341</f>
        <v>0</v>
      </c>
    </row>
    <row r="1341" spans="1:14" x14ac:dyDescent="0.3">
      <c r="A1341" s="11">
        <v>4388</v>
      </c>
      <c r="B1341" s="12">
        <f>[3]Name!E3392</f>
        <v>0</v>
      </c>
      <c r="C1341" s="13">
        <f>[2]S1!C1342</f>
        <v>0</v>
      </c>
      <c r="D1341" s="13">
        <f>[2]S1!D1342</f>
        <v>0</v>
      </c>
      <c r="E1341" s="26">
        <f>[2]S1!E1342</f>
        <v>0</v>
      </c>
      <c r="F1341" s="26">
        <f>[2]S1!F1342</f>
        <v>0</v>
      </c>
      <c r="G1341" s="22">
        <f>[2]S1!G1342</f>
        <v>0</v>
      </c>
      <c r="H1341" s="22">
        <f>[2]S1!H1342</f>
        <v>0</v>
      </c>
      <c r="I1341" s="22">
        <f>[2]S1!I1342</f>
        <v>0</v>
      </c>
      <c r="J1341" s="13">
        <f>[2]S1!J1342</f>
        <v>0</v>
      </c>
      <c r="K1341" s="19">
        <f>[2]S1!K1342</f>
        <v>0</v>
      </c>
      <c r="L1341" s="52">
        <f>[2]S1!L1342</f>
        <v>0</v>
      </c>
      <c r="M1341" s="58">
        <f>[2]S1!M1342</f>
        <v>0</v>
      </c>
      <c r="N1341" s="49">
        <f>[2]S1!P1342</f>
        <v>0</v>
      </c>
    </row>
    <row r="1342" spans="1:14" x14ac:dyDescent="0.3">
      <c r="A1342" s="11">
        <v>4389</v>
      </c>
      <c r="B1342" s="12">
        <f>[3]Name!E3393</f>
        <v>0</v>
      </c>
      <c r="C1342" s="13">
        <f>[2]S1!C1343</f>
        <v>0</v>
      </c>
      <c r="D1342" s="13">
        <f>[2]S1!D1343</f>
        <v>0</v>
      </c>
      <c r="E1342" s="26">
        <f>[2]S1!E1343</f>
        <v>0</v>
      </c>
      <c r="F1342" s="26">
        <f>[2]S1!F1343</f>
        <v>0</v>
      </c>
      <c r="G1342" s="22">
        <f>[2]S1!G1343</f>
        <v>0</v>
      </c>
      <c r="H1342" s="22">
        <f>[2]S1!H1343</f>
        <v>0</v>
      </c>
      <c r="I1342" s="22">
        <f>[2]S1!I1343</f>
        <v>0</v>
      </c>
      <c r="J1342" s="13">
        <f>[2]S1!J1343</f>
        <v>0</v>
      </c>
      <c r="K1342" s="19">
        <f>[2]S1!K1343</f>
        <v>0</v>
      </c>
      <c r="L1342" s="52">
        <f>[2]S1!L1343</f>
        <v>0</v>
      </c>
      <c r="M1342" s="58">
        <f>[2]S1!M1343</f>
        <v>0</v>
      </c>
      <c r="N1342" s="49">
        <f>[2]S1!P1343</f>
        <v>0</v>
      </c>
    </row>
    <row r="1343" spans="1:14" x14ac:dyDescent="0.3">
      <c r="A1343" s="11">
        <v>4390</v>
      </c>
      <c r="B1343" s="12">
        <f>[3]Name!E3394</f>
        <v>0</v>
      </c>
      <c r="C1343" s="13">
        <f>[2]S1!C1344</f>
        <v>0</v>
      </c>
      <c r="D1343" s="13">
        <f>[2]S1!D1344</f>
        <v>0</v>
      </c>
      <c r="E1343" s="26">
        <f>[2]S1!E1344</f>
        <v>0</v>
      </c>
      <c r="F1343" s="26">
        <f>[2]S1!F1344</f>
        <v>0</v>
      </c>
      <c r="G1343" s="22">
        <f>[2]S1!G1344</f>
        <v>0</v>
      </c>
      <c r="H1343" s="22">
        <f>[2]S1!H1344</f>
        <v>0</v>
      </c>
      <c r="I1343" s="22">
        <f>[2]S1!I1344</f>
        <v>0</v>
      </c>
      <c r="J1343" s="13">
        <f>[2]S1!J1344</f>
        <v>0</v>
      </c>
      <c r="K1343" s="19">
        <f>[2]S1!K1344</f>
        <v>0</v>
      </c>
      <c r="L1343" s="52">
        <f>[2]S1!L1344</f>
        <v>0</v>
      </c>
      <c r="M1343" s="58">
        <f>[2]S1!M1344</f>
        <v>0</v>
      </c>
      <c r="N1343" s="49">
        <f>[2]S1!P1344</f>
        <v>0</v>
      </c>
    </row>
    <row r="1344" spans="1:14" x14ac:dyDescent="0.3">
      <c r="A1344" s="11">
        <v>4391</v>
      </c>
      <c r="B1344" s="12">
        <f>[3]Name!E3395</f>
        <v>0</v>
      </c>
      <c r="C1344" s="13">
        <f>[2]S1!C1345</f>
        <v>0</v>
      </c>
      <c r="D1344" s="13">
        <f>[2]S1!D1345</f>
        <v>0</v>
      </c>
      <c r="E1344" s="26">
        <f>[2]S1!E1345</f>
        <v>0</v>
      </c>
      <c r="F1344" s="26">
        <f>[2]S1!F1345</f>
        <v>0</v>
      </c>
      <c r="G1344" s="22">
        <f>[2]S1!G1345</f>
        <v>0</v>
      </c>
      <c r="H1344" s="22">
        <f>[2]S1!H1345</f>
        <v>0</v>
      </c>
      <c r="I1344" s="22">
        <f>[2]S1!I1345</f>
        <v>0</v>
      </c>
      <c r="J1344" s="13">
        <f>[2]S1!J1345</f>
        <v>0</v>
      </c>
      <c r="K1344" s="19">
        <f>[2]S1!K1345</f>
        <v>0</v>
      </c>
      <c r="L1344" s="52">
        <f>[2]S1!L1345</f>
        <v>0</v>
      </c>
      <c r="M1344" s="58">
        <f>[2]S1!M1345</f>
        <v>0</v>
      </c>
      <c r="N1344" s="49">
        <f>[2]S1!P1345</f>
        <v>0</v>
      </c>
    </row>
    <row r="1345" spans="1:14" x14ac:dyDescent="0.3">
      <c r="A1345" s="11">
        <v>4392</v>
      </c>
      <c r="B1345" s="12">
        <f>[3]Name!E3396</f>
        <v>0</v>
      </c>
      <c r="C1345" s="13">
        <f>[2]S1!C1346</f>
        <v>0</v>
      </c>
      <c r="D1345" s="13">
        <f>[2]S1!D1346</f>
        <v>0</v>
      </c>
      <c r="E1345" s="26">
        <f>[2]S1!E1346</f>
        <v>0</v>
      </c>
      <c r="F1345" s="26">
        <f>[2]S1!F1346</f>
        <v>0</v>
      </c>
      <c r="G1345" s="22">
        <f>[2]S1!G1346</f>
        <v>0</v>
      </c>
      <c r="H1345" s="22">
        <f>[2]S1!H1346</f>
        <v>0</v>
      </c>
      <c r="I1345" s="22">
        <f>[2]S1!I1346</f>
        <v>0</v>
      </c>
      <c r="J1345" s="13">
        <f>[2]S1!J1346</f>
        <v>0</v>
      </c>
      <c r="K1345" s="19">
        <f>[2]S1!K1346</f>
        <v>0</v>
      </c>
      <c r="L1345" s="52">
        <f>[2]S1!L1346</f>
        <v>0</v>
      </c>
      <c r="M1345" s="58">
        <f>[2]S1!M1346</f>
        <v>0</v>
      </c>
      <c r="N1345" s="49">
        <f>[2]S1!P1346</f>
        <v>0</v>
      </c>
    </row>
    <row r="1346" spans="1:14" x14ac:dyDescent="0.3">
      <c r="A1346" s="11">
        <v>4393</v>
      </c>
      <c r="B1346" s="12">
        <f>[3]Name!E3397</f>
        <v>0</v>
      </c>
      <c r="C1346" s="13">
        <f>[2]S1!C1347</f>
        <v>0</v>
      </c>
      <c r="D1346" s="13">
        <f>[2]S1!D1347</f>
        <v>0</v>
      </c>
      <c r="E1346" s="26">
        <f>[2]S1!E1347</f>
        <v>0</v>
      </c>
      <c r="F1346" s="26">
        <f>[2]S1!F1347</f>
        <v>0</v>
      </c>
      <c r="G1346" s="22">
        <f>[2]S1!G1347</f>
        <v>0</v>
      </c>
      <c r="H1346" s="22">
        <f>[2]S1!H1347</f>
        <v>0</v>
      </c>
      <c r="I1346" s="22">
        <f>[2]S1!I1347</f>
        <v>0</v>
      </c>
      <c r="J1346" s="13">
        <f>[2]S1!J1347</f>
        <v>0</v>
      </c>
      <c r="K1346" s="19">
        <f>[2]S1!K1347</f>
        <v>0</v>
      </c>
      <c r="L1346" s="52">
        <f>[2]S1!L1347</f>
        <v>0</v>
      </c>
      <c r="M1346" s="58">
        <f>[2]S1!M1347</f>
        <v>0</v>
      </c>
      <c r="N1346" s="49">
        <f>[2]S1!P1347</f>
        <v>0</v>
      </c>
    </row>
    <row r="1347" spans="1:14" x14ac:dyDescent="0.3">
      <c r="A1347" s="11">
        <v>4394</v>
      </c>
      <c r="B1347" s="12">
        <f>[3]Name!E3398</f>
        <v>0</v>
      </c>
      <c r="C1347" s="13">
        <f>[2]S1!C1348</f>
        <v>0</v>
      </c>
      <c r="D1347" s="13">
        <f>[2]S1!D1348</f>
        <v>0</v>
      </c>
      <c r="E1347" s="26">
        <f>[2]S1!E1348</f>
        <v>0</v>
      </c>
      <c r="F1347" s="26">
        <f>[2]S1!F1348</f>
        <v>0</v>
      </c>
      <c r="G1347" s="22">
        <f>[2]S1!G1348</f>
        <v>0</v>
      </c>
      <c r="H1347" s="22">
        <f>[2]S1!H1348</f>
        <v>0</v>
      </c>
      <c r="I1347" s="22">
        <f>[2]S1!I1348</f>
        <v>0</v>
      </c>
      <c r="J1347" s="13">
        <f>[2]S1!J1348</f>
        <v>0</v>
      </c>
      <c r="K1347" s="19">
        <f>[2]S1!K1348</f>
        <v>0</v>
      </c>
      <c r="L1347" s="52">
        <f>[2]S1!L1348</f>
        <v>0</v>
      </c>
      <c r="M1347" s="58">
        <f>[2]S1!M1348</f>
        <v>0</v>
      </c>
      <c r="N1347" s="49">
        <f>[2]S1!P1348</f>
        <v>0</v>
      </c>
    </row>
    <row r="1348" spans="1:14" x14ac:dyDescent="0.3">
      <c r="A1348" s="11">
        <v>4395</v>
      </c>
      <c r="B1348" s="12">
        <f>[3]Name!E3399</f>
        <v>0</v>
      </c>
      <c r="C1348" s="13">
        <f>[2]S1!C1349</f>
        <v>0</v>
      </c>
      <c r="D1348" s="13">
        <f>[2]S1!D1349</f>
        <v>0</v>
      </c>
      <c r="E1348" s="26">
        <f>[2]S1!E1349</f>
        <v>0</v>
      </c>
      <c r="F1348" s="26">
        <f>[2]S1!F1349</f>
        <v>0</v>
      </c>
      <c r="G1348" s="22">
        <f>[2]S1!G1349</f>
        <v>0</v>
      </c>
      <c r="H1348" s="22">
        <f>[2]S1!H1349</f>
        <v>0</v>
      </c>
      <c r="I1348" s="22">
        <f>[2]S1!I1349</f>
        <v>0</v>
      </c>
      <c r="J1348" s="13">
        <f>[2]S1!J1349</f>
        <v>0</v>
      </c>
      <c r="K1348" s="19">
        <f>[2]S1!K1349</f>
        <v>0</v>
      </c>
      <c r="L1348" s="52">
        <f>[2]S1!L1349</f>
        <v>0</v>
      </c>
      <c r="M1348" s="58">
        <f>[2]S1!M1349</f>
        <v>0</v>
      </c>
      <c r="N1348" s="49">
        <f>[2]S1!P1349</f>
        <v>0</v>
      </c>
    </row>
    <row r="1349" spans="1:14" x14ac:dyDescent="0.3">
      <c r="A1349" s="11">
        <v>4396</v>
      </c>
      <c r="B1349" s="12">
        <f>[3]Name!E3400</f>
        <v>0</v>
      </c>
      <c r="C1349" s="13">
        <f>[2]S1!C1350</f>
        <v>0</v>
      </c>
      <c r="D1349" s="13">
        <f>[2]S1!D1350</f>
        <v>0</v>
      </c>
      <c r="E1349" s="26">
        <f>[2]S1!E1350</f>
        <v>0</v>
      </c>
      <c r="F1349" s="26">
        <f>[2]S1!F1350</f>
        <v>0</v>
      </c>
      <c r="G1349" s="22">
        <f>[2]S1!G1350</f>
        <v>0</v>
      </c>
      <c r="H1349" s="22">
        <f>[2]S1!H1350</f>
        <v>0</v>
      </c>
      <c r="I1349" s="22">
        <f>[2]S1!I1350</f>
        <v>0</v>
      </c>
      <c r="J1349" s="13">
        <f>[2]S1!J1350</f>
        <v>0</v>
      </c>
      <c r="K1349" s="19">
        <f>[2]S1!K1350</f>
        <v>0</v>
      </c>
      <c r="L1349" s="52">
        <f>[2]S1!L1350</f>
        <v>0</v>
      </c>
      <c r="M1349" s="58">
        <f>[2]S1!M1350</f>
        <v>0</v>
      </c>
      <c r="N1349" s="49">
        <f>[2]S1!P1350</f>
        <v>0</v>
      </c>
    </row>
    <row r="1350" spans="1:14" x14ac:dyDescent="0.3">
      <c r="A1350" s="11">
        <v>4397</v>
      </c>
      <c r="B1350" s="12">
        <f>[3]Name!E3401</f>
        <v>0</v>
      </c>
      <c r="C1350" s="13">
        <f>[2]S1!C1351</f>
        <v>0</v>
      </c>
      <c r="D1350" s="13">
        <f>[2]S1!D1351</f>
        <v>0</v>
      </c>
      <c r="E1350" s="26">
        <f>[2]S1!E1351</f>
        <v>0</v>
      </c>
      <c r="F1350" s="26">
        <f>[2]S1!F1351</f>
        <v>0</v>
      </c>
      <c r="G1350" s="22">
        <f>[2]S1!G1351</f>
        <v>0</v>
      </c>
      <c r="H1350" s="22">
        <f>[2]S1!H1351</f>
        <v>0</v>
      </c>
      <c r="I1350" s="22">
        <f>[2]S1!I1351</f>
        <v>0</v>
      </c>
      <c r="J1350" s="13">
        <f>[2]S1!J1351</f>
        <v>0</v>
      </c>
      <c r="K1350" s="19">
        <f>[2]S1!K1351</f>
        <v>0</v>
      </c>
      <c r="L1350" s="52">
        <f>[2]S1!L1351</f>
        <v>0</v>
      </c>
      <c r="M1350" s="58">
        <f>[2]S1!M1351</f>
        <v>0</v>
      </c>
      <c r="N1350" s="49">
        <f>[2]S1!P1351</f>
        <v>0</v>
      </c>
    </row>
    <row r="1351" spans="1:14" x14ac:dyDescent="0.3">
      <c r="A1351" s="11">
        <v>4398</v>
      </c>
      <c r="B1351" s="12">
        <f>[3]Name!E3402</f>
        <v>0</v>
      </c>
      <c r="C1351" s="13">
        <f>[2]S1!C1352</f>
        <v>0</v>
      </c>
      <c r="D1351" s="13">
        <f>[2]S1!D1352</f>
        <v>0</v>
      </c>
      <c r="E1351" s="26">
        <f>[2]S1!E1352</f>
        <v>0</v>
      </c>
      <c r="F1351" s="26">
        <f>[2]S1!F1352</f>
        <v>0</v>
      </c>
      <c r="G1351" s="22">
        <f>[2]S1!G1352</f>
        <v>0</v>
      </c>
      <c r="H1351" s="22">
        <f>[2]S1!H1352</f>
        <v>0</v>
      </c>
      <c r="I1351" s="22">
        <f>[2]S1!I1352</f>
        <v>0</v>
      </c>
      <c r="J1351" s="13">
        <f>[2]S1!J1352</f>
        <v>0</v>
      </c>
      <c r="K1351" s="19">
        <f>[2]S1!K1352</f>
        <v>0</v>
      </c>
      <c r="L1351" s="52">
        <f>[2]S1!L1352</f>
        <v>0</v>
      </c>
      <c r="M1351" s="58">
        <f>[2]S1!M1352</f>
        <v>0</v>
      </c>
      <c r="N1351" s="49">
        <f>[2]S1!P1352</f>
        <v>0</v>
      </c>
    </row>
    <row r="1352" spans="1:14" x14ac:dyDescent="0.3">
      <c r="A1352" s="11">
        <v>4399</v>
      </c>
      <c r="B1352" s="12">
        <f>[3]Name!E3403</f>
        <v>0</v>
      </c>
      <c r="C1352" s="13">
        <f>[2]S1!C1353</f>
        <v>0</v>
      </c>
      <c r="D1352" s="13">
        <f>[2]S1!D1353</f>
        <v>0</v>
      </c>
      <c r="E1352" s="26">
        <f>[2]S1!E1353</f>
        <v>0</v>
      </c>
      <c r="F1352" s="26">
        <f>[2]S1!F1353</f>
        <v>0</v>
      </c>
      <c r="G1352" s="22">
        <f>[2]S1!G1353</f>
        <v>0</v>
      </c>
      <c r="H1352" s="22">
        <f>[2]S1!H1353</f>
        <v>0</v>
      </c>
      <c r="I1352" s="22">
        <f>[2]S1!I1353</f>
        <v>0</v>
      </c>
      <c r="J1352" s="13">
        <f>[2]S1!J1353</f>
        <v>0</v>
      </c>
      <c r="K1352" s="19">
        <f>[2]S1!K1353</f>
        <v>0</v>
      </c>
      <c r="L1352" s="52">
        <f>[2]S1!L1353</f>
        <v>0</v>
      </c>
      <c r="M1352" s="58">
        <f>[2]S1!M1353</f>
        <v>0</v>
      </c>
      <c r="N1352" s="49">
        <f>[2]S1!P1353</f>
        <v>0</v>
      </c>
    </row>
    <row r="1353" spans="1:14" x14ac:dyDescent="0.3">
      <c r="A1353" s="11">
        <v>4400</v>
      </c>
      <c r="B1353" s="12">
        <f>[3]Name!E3404</f>
        <v>0</v>
      </c>
      <c r="C1353" s="13">
        <f>[2]S1!C1354</f>
        <v>0</v>
      </c>
      <c r="D1353" s="13">
        <f>[2]S1!D1354</f>
        <v>0</v>
      </c>
      <c r="E1353" s="26">
        <f>[2]S1!E1354</f>
        <v>0</v>
      </c>
      <c r="F1353" s="26">
        <f>[2]S1!F1354</f>
        <v>0</v>
      </c>
      <c r="G1353" s="22">
        <f>[2]S1!G1354</f>
        <v>0</v>
      </c>
      <c r="H1353" s="22">
        <f>[2]S1!H1354</f>
        <v>0</v>
      </c>
      <c r="I1353" s="22">
        <f>[2]S1!I1354</f>
        <v>0</v>
      </c>
      <c r="J1353" s="13">
        <f>[2]S1!J1354</f>
        <v>0</v>
      </c>
      <c r="K1353" s="19">
        <f>[2]S1!K1354</f>
        <v>0</v>
      </c>
      <c r="L1353" s="52">
        <f>[2]S1!L1354</f>
        <v>0</v>
      </c>
      <c r="M1353" s="58">
        <f>[2]S1!M1354</f>
        <v>0</v>
      </c>
      <c r="N1353" s="49">
        <f>[2]S1!P1354</f>
        <v>0</v>
      </c>
    </row>
    <row r="1354" spans="1:14" x14ac:dyDescent="0.3">
      <c r="A1354" s="11">
        <v>4401</v>
      </c>
      <c r="B1354" s="12">
        <f>[3]Name!E3405</f>
        <v>0</v>
      </c>
      <c r="C1354" s="13">
        <f>[2]S1!C1355</f>
        <v>0</v>
      </c>
      <c r="D1354" s="13">
        <f>[2]S1!D1355</f>
        <v>0</v>
      </c>
      <c r="E1354" s="26">
        <f>[2]S1!E1355</f>
        <v>0</v>
      </c>
      <c r="F1354" s="26">
        <f>[2]S1!F1355</f>
        <v>0</v>
      </c>
      <c r="G1354" s="22">
        <f>[2]S1!G1355</f>
        <v>0</v>
      </c>
      <c r="H1354" s="22">
        <f>[2]S1!H1355</f>
        <v>0</v>
      </c>
      <c r="I1354" s="22">
        <f>[2]S1!I1355</f>
        <v>0</v>
      </c>
      <c r="J1354" s="13">
        <f>[2]S1!J1355</f>
        <v>0</v>
      </c>
      <c r="K1354" s="19">
        <f>[2]S1!K1355</f>
        <v>0</v>
      </c>
      <c r="L1354" s="52">
        <f>[2]S1!L1355</f>
        <v>0</v>
      </c>
      <c r="M1354" s="58">
        <f>[2]S1!M1355</f>
        <v>0</v>
      </c>
      <c r="N1354" s="49">
        <f>[2]S1!P1355</f>
        <v>0</v>
      </c>
    </row>
    <row r="1355" spans="1:14" x14ac:dyDescent="0.3">
      <c r="A1355" s="11">
        <v>4402</v>
      </c>
      <c r="B1355" s="12">
        <f>[3]Name!E3406</f>
        <v>0</v>
      </c>
      <c r="C1355" s="13">
        <f>[2]S1!C1356</f>
        <v>0</v>
      </c>
      <c r="D1355" s="13">
        <f>[2]S1!D1356</f>
        <v>0</v>
      </c>
      <c r="E1355" s="26">
        <f>[2]S1!E1356</f>
        <v>0</v>
      </c>
      <c r="F1355" s="26">
        <f>[2]S1!F1356</f>
        <v>0</v>
      </c>
      <c r="G1355" s="22">
        <f>[2]S1!G1356</f>
        <v>0</v>
      </c>
      <c r="H1355" s="22">
        <f>[2]S1!H1356</f>
        <v>0</v>
      </c>
      <c r="I1355" s="22">
        <f>[2]S1!I1356</f>
        <v>0</v>
      </c>
      <c r="J1355" s="13">
        <f>[2]S1!J1356</f>
        <v>0</v>
      </c>
      <c r="K1355" s="19">
        <f>[2]S1!K1356</f>
        <v>0</v>
      </c>
      <c r="L1355" s="52">
        <f>[2]S1!L1356</f>
        <v>0</v>
      </c>
      <c r="M1355" s="58">
        <f>[2]S1!M1356</f>
        <v>0</v>
      </c>
      <c r="N1355" s="49">
        <f>[2]S1!P1356</f>
        <v>0</v>
      </c>
    </row>
    <row r="1356" spans="1:14" x14ac:dyDescent="0.3">
      <c r="A1356" s="11">
        <v>4403</v>
      </c>
      <c r="B1356" s="12">
        <f>[3]Name!E3407</f>
        <v>0</v>
      </c>
      <c r="C1356" s="13">
        <f>[2]S1!C1357</f>
        <v>0</v>
      </c>
      <c r="D1356" s="13">
        <f>[2]S1!D1357</f>
        <v>0</v>
      </c>
      <c r="E1356" s="26">
        <f>[2]S1!E1357</f>
        <v>0</v>
      </c>
      <c r="F1356" s="26">
        <f>[2]S1!F1357</f>
        <v>0</v>
      </c>
      <c r="G1356" s="22">
        <f>[2]S1!G1357</f>
        <v>0</v>
      </c>
      <c r="H1356" s="22">
        <f>[2]S1!H1357</f>
        <v>0</v>
      </c>
      <c r="I1356" s="22">
        <f>[2]S1!I1357</f>
        <v>0</v>
      </c>
      <c r="J1356" s="13">
        <f>[2]S1!J1357</f>
        <v>0</v>
      </c>
      <c r="K1356" s="19">
        <f>[2]S1!K1357</f>
        <v>0</v>
      </c>
      <c r="L1356" s="52">
        <f>[2]S1!L1357</f>
        <v>0</v>
      </c>
      <c r="M1356" s="58">
        <f>[2]S1!M1357</f>
        <v>0</v>
      </c>
      <c r="N1356" s="49">
        <f>[2]S1!P1357</f>
        <v>0</v>
      </c>
    </row>
    <row r="1357" spans="1:14" x14ac:dyDescent="0.3">
      <c r="A1357" s="11">
        <v>4404</v>
      </c>
      <c r="B1357" s="12">
        <f>[3]Name!E3408</f>
        <v>0</v>
      </c>
      <c r="C1357" s="13">
        <f>[2]S1!C1358</f>
        <v>0</v>
      </c>
      <c r="D1357" s="13">
        <f>[2]S1!D1358</f>
        <v>0</v>
      </c>
      <c r="E1357" s="26">
        <f>[2]S1!E1358</f>
        <v>0</v>
      </c>
      <c r="F1357" s="26">
        <f>[2]S1!F1358</f>
        <v>0</v>
      </c>
      <c r="G1357" s="22">
        <f>[2]S1!G1358</f>
        <v>0</v>
      </c>
      <c r="H1357" s="22">
        <f>[2]S1!H1358</f>
        <v>0</v>
      </c>
      <c r="I1357" s="22">
        <f>[2]S1!I1358</f>
        <v>0</v>
      </c>
      <c r="J1357" s="13">
        <f>[2]S1!J1358</f>
        <v>0</v>
      </c>
      <c r="K1357" s="19">
        <f>[2]S1!K1358</f>
        <v>0</v>
      </c>
      <c r="L1357" s="52">
        <f>[2]S1!L1358</f>
        <v>0</v>
      </c>
      <c r="M1357" s="58">
        <f>[2]S1!M1358</f>
        <v>0</v>
      </c>
      <c r="N1357" s="49">
        <f>[2]S1!P1358</f>
        <v>0</v>
      </c>
    </row>
    <row r="1358" spans="1:14" x14ac:dyDescent="0.3">
      <c r="A1358" s="11">
        <v>4405</v>
      </c>
      <c r="B1358" s="12">
        <f>[3]Name!E3409</f>
        <v>0</v>
      </c>
      <c r="C1358" s="13">
        <f>[2]S1!C1359</f>
        <v>0</v>
      </c>
      <c r="D1358" s="13">
        <f>[2]S1!D1359</f>
        <v>0</v>
      </c>
      <c r="E1358" s="26">
        <f>[2]S1!E1359</f>
        <v>0</v>
      </c>
      <c r="F1358" s="26">
        <f>[2]S1!F1359</f>
        <v>0</v>
      </c>
      <c r="G1358" s="22">
        <f>[2]S1!G1359</f>
        <v>0</v>
      </c>
      <c r="H1358" s="22">
        <f>[2]S1!H1359</f>
        <v>0</v>
      </c>
      <c r="I1358" s="22">
        <f>[2]S1!I1359</f>
        <v>0</v>
      </c>
      <c r="J1358" s="13">
        <f>[2]S1!J1359</f>
        <v>0</v>
      </c>
      <c r="K1358" s="19">
        <f>[2]S1!K1359</f>
        <v>0</v>
      </c>
      <c r="L1358" s="52">
        <f>[2]S1!L1359</f>
        <v>0</v>
      </c>
      <c r="M1358" s="58">
        <f>[2]S1!M1359</f>
        <v>0</v>
      </c>
      <c r="N1358" s="49">
        <f>[2]S1!P1359</f>
        <v>0</v>
      </c>
    </row>
    <row r="1359" spans="1:14" x14ac:dyDescent="0.3">
      <c r="A1359" s="11">
        <v>4406</v>
      </c>
      <c r="B1359" s="12">
        <f>[3]Name!E3410</f>
        <v>0</v>
      </c>
      <c r="C1359" s="13">
        <f>[2]S1!C1360</f>
        <v>0</v>
      </c>
      <c r="D1359" s="13">
        <f>[2]S1!D1360</f>
        <v>0</v>
      </c>
      <c r="E1359" s="26">
        <f>[2]S1!E1360</f>
        <v>0</v>
      </c>
      <c r="F1359" s="26">
        <f>[2]S1!F1360</f>
        <v>0</v>
      </c>
      <c r="G1359" s="22">
        <f>[2]S1!G1360</f>
        <v>0</v>
      </c>
      <c r="H1359" s="22">
        <f>[2]S1!H1360</f>
        <v>0</v>
      </c>
      <c r="I1359" s="22">
        <f>[2]S1!I1360</f>
        <v>0</v>
      </c>
      <c r="J1359" s="13">
        <f>[2]S1!J1360</f>
        <v>0</v>
      </c>
      <c r="K1359" s="19">
        <f>[2]S1!K1360</f>
        <v>0</v>
      </c>
      <c r="L1359" s="52">
        <f>[2]S1!L1360</f>
        <v>0</v>
      </c>
      <c r="M1359" s="58">
        <f>[2]S1!M1360</f>
        <v>0</v>
      </c>
      <c r="N1359" s="49">
        <f>[2]S1!P1360</f>
        <v>0</v>
      </c>
    </row>
    <row r="1360" spans="1:14" x14ac:dyDescent="0.3">
      <c r="A1360" s="11">
        <v>4407</v>
      </c>
      <c r="B1360" s="12">
        <f>[3]Name!E3411</f>
        <v>0</v>
      </c>
      <c r="C1360" s="13">
        <f>[2]S1!C1361</f>
        <v>0</v>
      </c>
      <c r="D1360" s="13">
        <f>[2]S1!D1361</f>
        <v>0</v>
      </c>
      <c r="E1360" s="26">
        <f>[2]S1!E1361</f>
        <v>0</v>
      </c>
      <c r="F1360" s="26">
        <f>[2]S1!F1361</f>
        <v>0</v>
      </c>
      <c r="G1360" s="22">
        <f>[2]S1!G1361</f>
        <v>0</v>
      </c>
      <c r="H1360" s="22">
        <f>[2]S1!H1361</f>
        <v>0</v>
      </c>
      <c r="I1360" s="22">
        <f>[2]S1!I1361</f>
        <v>0</v>
      </c>
      <c r="J1360" s="13">
        <f>[2]S1!J1361</f>
        <v>0</v>
      </c>
      <c r="K1360" s="19">
        <f>[2]S1!K1361</f>
        <v>0</v>
      </c>
      <c r="L1360" s="52">
        <f>[2]S1!L1361</f>
        <v>0</v>
      </c>
      <c r="M1360" s="58">
        <f>[2]S1!M1361</f>
        <v>0</v>
      </c>
      <c r="N1360" s="49">
        <f>[2]S1!P1361</f>
        <v>0</v>
      </c>
    </row>
    <row r="1361" spans="1:14" x14ac:dyDescent="0.3">
      <c r="A1361" s="11">
        <v>4408</v>
      </c>
      <c r="B1361" s="12">
        <f>[3]Name!E3412</f>
        <v>0</v>
      </c>
      <c r="C1361" s="13">
        <f>[2]S1!C1362</f>
        <v>0</v>
      </c>
      <c r="D1361" s="13">
        <f>[2]S1!D1362</f>
        <v>0</v>
      </c>
      <c r="E1361" s="26">
        <f>[2]S1!E1362</f>
        <v>0</v>
      </c>
      <c r="F1361" s="26">
        <f>[2]S1!F1362</f>
        <v>0</v>
      </c>
      <c r="G1361" s="22">
        <f>[2]S1!G1362</f>
        <v>0</v>
      </c>
      <c r="H1361" s="22">
        <f>[2]S1!H1362</f>
        <v>0</v>
      </c>
      <c r="I1361" s="22">
        <f>[2]S1!I1362</f>
        <v>0</v>
      </c>
      <c r="J1361" s="13">
        <f>[2]S1!J1362</f>
        <v>0</v>
      </c>
      <c r="K1361" s="19">
        <f>[2]S1!K1362</f>
        <v>0</v>
      </c>
      <c r="L1361" s="52">
        <f>[2]S1!L1362</f>
        <v>0</v>
      </c>
      <c r="M1361" s="58">
        <f>[2]S1!M1362</f>
        <v>0</v>
      </c>
      <c r="N1361" s="49">
        <f>[2]S1!P1362</f>
        <v>0</v>
      </c>
    </row>
    <row r="1362" spans="1:14" x14ac:dyDescent="0.3">
      <c r="A1362" s="11">
        <v>4409</v>
      </c>
      <c r="B1362" s="12">
        <f>[3]Name!E3413</f>
        <v>0</v>
      </c>
      <c r="C1362" s="13">
        <f>[2]S1!C1363</f>
        <v>0</v>
      </c>
      <c r="D1362" s="13">
        <f>[2]S1!D1363</f>
        <v>0</v>
      </c>
      <c r="E1362" s="26">
        <f>[2]S1!E1363</f>
        <v>0</v>
      </c>
      <c r="F1362" s="26">
        <f>[2]S1!F1363</f>
        <v>0</v>
      </c>
      <c r="G1362" s="22">
        <f>[2]S1!G1363</f>
        <v>0</v>
      </c>
      <c r="H1362" s="22">
        <f>[2]S1!H1363</f>
        <v>0</v>
      </c>
      <c r="I1362" s="22">
        <f>[2]S1!I1363</f>
        <v>0</v>
      </c>
      <c r="J1362" s="13">
        <f>[2]S1!J1363</f>
        <v>0</v>
      </c>
      <c r="K1362" s="19">
        <f>[2]S1!K1363</f>
        <v>0</v>
      </c>
      <c r="L1362" s="52">
        <f>[2]S1!L1363</f>
        <v>0</v>
      </c>
      <c r="M1362" s="58">
        <f>[2]S1!M1363</f>
        <v>0</v>
      </c>
      <c r="N1362" s="49">
        <f>[2]S1!P1363</f>
        <v>0</v>
      </c>
    </row>
    <row r="1363" spans="1:14" x14ac:dyDescent="0.3">
      <c r="A1363" s="11">
        <v>4410</v>
      </c>
      <c r="B1363" s="12">
        <f>[3]Name!E3414</f>
        <v>0</v>
      </c>
      <c r="C1363" s="13">
        <f>[2]S1!C1364</f>
        <v>0</v>
      </c>
      <c r="D1363" s="13">
        <f>[2]S1!D1364</f>
        <v>0</v>
      </c>
      <c r="E1363" s="26">
        <f>[2]S1!E1364</f>
        <v>0</v>
      </c>
      <c r="F1363" s="26">
        <f>[2]S1!F1364</f>
        <v>0</v>
      </c>
      <c r="G1363" s="22">
        <f>[2]S1!G1364</f>
        <v>0</v>
      </c>
      <c r="H1363" s="22">
        <f>[2]S1!H1364</f>
        <v>0</v>
      </c>
      <c r="I1363" s="22">
        <f>[2]S1!I1364</f>
        <v>0</v>
      </c>
      <c r="J1363" s="13">
        <f>[2]S1!J1364</f>
        <v>0</v>
      </c>
      <c r="K1363" s="19">
        <f>[2]S1!K1364</f>
        <v>0</v>
      </c>
      <c r="L1363" s="52">
        <f>[2]S1!L1364</f>
        <v>0</v>
      </c>
      <c r="M1363" s="58">
        <f>[2]S1!M1364</f>
        <v>0</v>
      </c>
      <c r="N1363" s="49">
        <f>[2]S1!P1364</f>
        <v>0</v>
      </c>
    </row>
    <row r="1364" spans="1:14" x14ac:dyDescent="0.3">
      <c r="A1364" s="11">
        <v>4411</v>
      </c>
      <c r="B1364" s="12">
        <f>[3]Name!E3415</f>
        <v>0</v>
      </c>
      <c r="C1364" s="13">
        <f>[2]S1!C1365</f>
        <v>0</v>
      </c>
      <c r="D1364" s="13">
        <f>[2]S1!D1365</f>
        <v>0</v>
      </c>
      <c r="E1364" s="26">
        <f>[2]S1!E1365</f>
        <v>0</v>
      </c>
      <c r="F1364" s="26">
        <f>[2]S1!F1365</f>
        <v>0</v>
      </c>
      <c r="G1364" s="22">
        <f>[2]S1!G1365</f>
        <v>0</v>
      </c>
      <c r="H1364" s="22">
        <f>[2]S1!H1365</f>
        <v>0</v>
      </c>
      <c r="I1364" s="22">
        <f>[2]S1!I1365</f>
        <v>0</v>
      </c>
      <c r="J1364" s="13">
        <f>[2]S1!J1365</f>
        <v>0</v>
      </c>
      <c r="K1364" s="19">
        <f>[2]S1!K1365</f>
        <v>0</v>
      </c>
      <c r="L1364" s="52">
        <f>[2]S1!L1365</f>
        <v>0</v>
      </c>
      <c r="M1364" s="58">
        <f>[2]S1!M1365</f>
        <v>0</v>
      </c>
      <c r="N1364" s="49">
        <f>[2]S1!P1365</f>
        <v>0</v>
      </c>
    </row>
    <row r="1365" spans="1:14" x14ac:dyDescent="0.3">
      <c r="A1365" s="11">
        <v>4412</v>
      </c>
      <c r="B1365" s="12">
        <f>[3]Name!E3416</f>
        <v>0</v>
      </c>
      <c r="C1365" s="13">
        <f>[2]S1!C1366</f>
        <v>0</v>
      </c>
      <c r="D1365" s="13">
        <f>[2]S1!D1366</f>
        <v>0</v>
      </c>
      <c r="E1365" s="26">
        <f>[2]S1!E1366</f>
        <v>0</v>
      </c>
      <c r="F1365" s="26">
        <f>[2]S1!F1366</f>
        <v>0</v>
      </c>
      <c r="G1365" s="22">
        <f>[2]S1!G1366</f>
        <v>0</v>
      </c>
      <c r="H1365" s="22">
        <f>[2]S1!H1366</f>
        <v>0</v>
      </c>
      <c r="I1365" s="22">
        <f>[2]S1!I1366</f>
        <v>0</v>
      </c>
      <c r="J1365" s="13">
        <f>[2]S1!J1366</f>
        <v>0</v>
      </c>
      <c r="K1365" s="19">
        <f>[2]S1!K1366</f>
        <v>0</v>
      </c>
      <c r="L1365" s="52">
        <f>[2]S1!L1366</f>
        <v>0</v>
      </c>
      <c r="M1365" s="58">
        <f>[2]S1!M1366</f>
        <v>0</v>
      </c>
      <c r="N1365" s="49">
        <f>[2]S1!P1366</f>
        <v>0</v>
      </c>
    </row>
    <row r="1366" spans="1:14" x14ac:dyDescent="0.3">
      <c r="A1366" s="11">
        <v>4413</v>
      </c>
      <c r="B1366" s="12">
        <f>[3]Name!E3417</f>
        <v>0</v>
      </c>
      <c r="C1366" s="13">
        <f>[2]S1!C1367</f>
        <v>0</v>
      </c>
      <c r="D1366" s="13">
        <f>[2]S1!D1367</f>
        <v>0</v>
      </c>
      <c r="E1366" s="26">
        <f>[2]S1!E1367</f>
        <v>0</v>
      </c>
      <c r="F1366" s="26">
        <f>[2]S1!F1367</f>
        <v>0</v>
      </c>
      <c r="G1366" s="22">
        <f>[2]S1!G1367</f>
        <v>0</v>
      </c>
      <c r="H1366" s="22">
        <f>[2]S1!H1367</f>
        <v>0</v>
      </c>
      <c r="I1366" s="22">
        <f>[2]S1!I1367</f>
        <v>0</v>
      </c>
      <c r="J1366" s="13">
        <f>[2]S1!J1367</f>
        <v>0</v>
      </c>
      <c r="K1366" s="19">
        <f>[2]S1!K1367</f>
        <v>0</v>
      </c>
      <c r="L1366" s="52">
        <f>[2]S1!L1367</f>
        <v>0</v>
      </c>
      <c r="M1366" s="58">
        <f>[2]S1!M1367</f>
        <v>0</v>
      </c>
      <c r="N1366" s="49">
        <f>[2]S1!P1367</f>
        <v>0</v>
      </c>
    </row>
    <row r="1367" spans="1:14" x14ac:dyDescent="0.3">
      <c r="A1367" s="11">
        <v>4414</v>
      </c>
      <c r="B1367" s="12">
        <f>[3]Name!E3418</f>
        <v>0</v>
      </c>
      <c r="C1367" s="13">
        <f>[2]S1!C1368</f>
        <v>0</v>
      </c>
      <c r="D1367" s="13">
        <f>[2]S1!D1368</f>
        <v>0</v>
      </c>
      <c r="E1367" s="26">
        <f>[2]S1!E1368</f>
        <v>0</v>
      </c>
      <c r="F1367" s="26">
        <f>[2]S1!F1368</f>
        <v>0</v>
      </c>
      <c r="G1367" s="22">
        <f>[2]S1!G1368</f>
        <v>0</v>
      </c>
      <c r="H1367" s="22">
        <f>[2]S1!H1368</f>
        <v>0</v>
      </c>
      <c r="I1367" s="22">
        <f>[2]S1!I1368</f>
        <v>0</v>
      </c>
      <c r="J1367" s="13">
        <f>[2]S1!J1368</f>
        <v>0</v>
      </c>
      <c r="K1367" s="19">
        <f>[2]S1!K1368</f>
        <v>0</v>
      </c>
      <c r="L1367" s="52">
        <f>[2]S1!L1368</f>
        <v>0</v>
      </c>
      <c r="M1367" s="58">
        <f>[2]S1!M1368</f>
        <v>0</v>
      </c>
      <c r="N1367" s="49">
        <f>[2]S1!P1368</f>
        <v>0</v>
      </c>
    </row>
    <row r="1368" spans="1:14" x14ac:dyDescent="0.3">
      <c r="A1368" s="11">
        <v>4415</v>
      </c>
      <c r="B1368" s="12">
        <f>[3]Name!E3419</f>
        <v>0</v>
      </c>
      <c r="C1368" s="13">
        <f>[2]S1!C1369</f>
        <v>0</v>
      </c>
      <c r="D1368" s="13">
        <f>[2]S1!D1369</f>
        <v>0</v>
      </c>
      <c r="E1368" s="26">
        <f>[2]S1!E1369</f>
        <v>0</v>
      </c>
      <c r="F1368" s="26">
        <f>[2]S1!F1369</f>
        <v>0</v>
      </c>
      <c r="G1368" s="22">
        <f>[2]S1!G1369</f>
        <v>0</v>
      </c>
      <c r="H1368" s="22">
        <f>[2]S1!H1369</f>
        <v>0</v>
      </c>
      <c r="I1368" s="22">
        <f>[2]S1!I1369</f>
        <v>0</v>
      </c>
      <c r="J1368" s="13">
        <f>[2]S1!J1369</f>
        <v>0</v>
      </c>
      <c r="K1368" s="19">
        <f>[2]S1!K1369</f>
        <v>0</v>
      </c>
      <c r="L1368" s="52">
        <f>[2]S1!L1369</f>
        <v>0</v>
      </c>
      <c r="M1368" s="58">
        <f>[2]S1!M1369</f>
        <v>0</v>
      </c>
      <c r="N1368" s="49">
        <f>[2]S1!P1369</f>
        <v>0</v>
      </c>
    </row>
    <row r="1369" spans="1:14" x14ac:dyDescent="0.3">
      <c r="A1369" s="11">
        <v>4416</v>
      </c>
      <c r="B1369" s="12">
        <f>[3]Name!E3420</f>
        <v>0</v>
      </c>
      <c r="C1369" s="13">
        <f>[2]S1!C1370</f>
        <v>0</v>
      </c>
      <c r="D1369" s="13">
        <f>[2]S1!D1370</f>
        <v>0</v>
      </c>
      <c r="E1369" s="26">
        <f>[2]S1!E1370</f>
        <v>0</v>
      </c>
      <c r="F1369" s="26">
        <f>[2]S1!F1370</f>
        <v>0</v>
      </c>
      <c r="G1369" s="22">
        <f>[2]S1!G1370</f>
        <v>0</v>
      </c>
      <c r="H1369" s="22">
        <f>[2]S1!H1370</f>
        <v>0</v>
      </c>
      <c r="I1369" s="22">
        <f>[2]S1!I1370</f>
        <v>0</v>
      </c>
      <c r="J1369" s="13">
        <f>[2]S1!J1370</f>
        <v>0</v>
      </c>
      <c r="K1369" s="19">
        <f>[2]S1!K1370</f>
        <v>0</v>
      </c>
      <c r="L1369" s="52">
        <f>[2]S1!L1370</f>
        <v>0</v>
      </c>
      <c r="M1369" s="58">
        <f>[2]S1!M1370</f>
        <v>0</v>
      </c>
      <c r="N1369" s="49">
        <f>[2]S1!P1370</f>
        <v>0</v>
      </c>
    </row>
    <row r="1370" spans="1:14" x14ac:dyDescent="0.3">
      <c r="A1370" s="11">
        <v>4417</v>
      </c>
      <c r="B1370" s="12">
        <f>[3]Name!E3421</f>
        <v>0</v>
      </c>
      <c r="C1370" s="13">
        <f>[2]S1!C1371</f>
        <v>0</v>
      </c>
      <c r="D1370" s="13">
        <f>[2]S1!D1371</f>
        <v>0</v>
      </c>
      <c r="E1370" s="26">
        <f>[2]S1!E1371</f>
        <v>0</v>
      </c>
      <c r="F1370" s="26">
        <f>[2]S1!F1371</f>
        <v>0</v>
      </c>
      <c r="G1370" s="22">
        <f>[2]S1!G1371</f>
        <v>0</v>
      </c>
      <c r="H1370" s="22">
        <f>[2]S1!H1371</f>
        <v>0</v>
      </c>
      <c r="I1370" s="22">
        <f>[2]S1!I1371</f>
        <v>0</v>
      </c>
      <c r="J1370" s="13">
        <f>[2]S1!J1371</f>
        <v>0</v>
      </c>
      <c r="K1370" s="19">
        <f>[2]S1!K1371</f>
        <v>0</v>
      </c>
      <c r="L1370" s="52">
        <f>[2]S1!L1371</f>
        <v>0</v>
      </c>
      <c r="M1370" s="58">
        <f>[2]S1!M1371</f>
        <v>0</v>
      </c>
      <c r="N1370" s="49">
        <f>[2]S1!P1371</f>
        <v>0</v>
      </c>
    </row>
    <row r="1371" spans="1:14" x14ac:dyDescent="0.3">
      <c r="A1371" s="11">
        <v>4418</v>
      </c>
      <c r="B1371" s="12">
        <f>[3]Name!E3422</f>
        <v>0</v>
      </c>
      <c r="C1371" s="13">
        <f>[2]S1!C1372</f>
        <v>0</v>
      </c>
      <c r="D1371" s="13">
        <f>[2]S1!D1372</f>
        <v>0</v>
      </c>
      <c r="E1371" s="26">
        <f>[2]S1!E1372</f>
        <v>0</v>
      </c>
      <c r="F1371" s="26">
        <f>[2]S1!F1372</f>
        <v>0</v>
      </c>
      <c r="G1371" s="22">
        <f>[2]S1!G1372</f>
        <v>0</v>
      </c>
      <c r="H1371" s="22">
        <f>[2]S1!H1372</f>
        <v>0</v>
      </c>
      <c r="I1371" s="22">
        <f>[2]S1!I1372</f>
        <v>0</v>
      </c>
      <c r="J1371" s="13">
        <f>[2]S1!J1372</f>
        <v>0</v>
      </c>
      <c r="K1371" s="19">
        <f>[2]S1!K1372</f>
        <v>0</v>
      </c>
      <c r="L1371" s="52">
        <f>[2]S1!L1372</f>
        <v>0</v>
      </c>
      <c r="M1371" s="58">
        <f>[2]S1!M1372</f>
        <v>0</v>
      </c>
      <c r="N1371" s="49">
        <f>[2]S1!P1372</f>
        <v>0</v>
      </c>
    </row>
    <row r="1372" spans="1:14" x14ac:dyDescent="0.3">
      <c r="A1372" s="11">
        <v>4419</v>
      </c>
      <c r="B1372" s="12">
        <f>[3]Name!E3423</f>
        <v>0</v>
      </c>
      <c r="C1372" s="13">
        <f>[2]S1!C1373</f>
        <v>0</v>
      </c>
      <c r="D1372" s="13">
        <f>[2]S1!D1373</f>
        <v>0</v>
      </c>
      <c r="E1372" s="26">
        <f>[2]S1!E1373</f>
        <v>0</v>
      </c>
      <c r="F1372" s="26">
        <f>[2]S1!F1373</f>
        <v>0</v>
      </c>
      <c r="G1372" s="22">
        <f>[2]S1!G1373</f>
        <v>0</v>
      </c>
      <c r="H1372" s="22">
        <f>[2]S1!H1373</f>
        <v>0</v>
      </c>
      <c r="I1372" s="22">
        <f>[2]S1!I1373</f>
        <v>0</v>
      </c>
      <c r="J1372" s="13">
        <f>[2]S1!J1373</f>
        <v>0</v>
      </c>
      <c r="K1372" s="19">
        <f>[2]S1!K1373</f>
        <v>0</v>
      </c>
      <c r="L1372" s="52">
        <f>[2]S1!L1373</f>
        <v>0</v>
      </c>
      <c r="M1372" s="58">
        <f>[2]S1!M1373</f>
        <v>0</v>
      </c>
      <c r="N1372" s="49">
        <f>[2]S1!P1373</f>
        <v>0</v>
      </c>
    </row>
    <row r="1373" spans="1:14" x14ac:dyDescent="0.3">
      <c r="A1373" s="11">
        <v>4420</v>
      </c>
      <c r="B1373" s="12">
        <f>[3]Name!E3424</f>
        <v>0</v>
      </c>
      <c r="C1373" s="13">
        <f>[2]S1!C1374</f>
        <v>0</v>
      </c>
      <c r="D1373" s="13">
        <f>[2]S1!D1374</f>
        <v>0</v>
      </c>
      <c r="E1373" s="26">
        <f>[2]S1!E1374</f>
        <v>0</v>
      </c>
      <c r="F1373" s="26">
        <f>[2]S1!F1374</f>
        <v>0</v>
      </c>
      <c r="G1373" s="22">
        <f>[2]S1!G1374</f>
        <v>0</v>
      </c>
      <c r="H1373" s="22">
        <f>[2]S1!H1374</f>
        <v>0</v>
      </c>
      <c r="I1373" s="22">
        <f>[2]S1!I1374</f>
        <v>0</v>
      </c>
      <c r="J1373" s="13">
        <f>[2]S1!J1374</f>
        <v>0</v>
      </c>
      <c r="K1373" s="19">
        <f>[2]S1!K1374</f>
        <v>0</v>
      </c>
      <c r="L1373" s="52">
        <f>[2]S1!L1374</f>
        <v>0</v>
      </c>
      <c r="M1373" s="58">
        <f>[2]S1!M1374</f>
        <v>0</v>
      </c>
      <c r="N1373" s="49">
        <f>[2]S1!P1374</f>
        <v>0</v>
      </c>
    </row>
    <row r="1374" spans="1:14" x14ac:dyDescent="0.3">
      <c r="A1374" s="11">
        <v>4421</v>
      </c>
      <c r="B1374" s="12">
        <f>[3]Name!E3425</f>
        <v>0</v>
      </c>
      <c r="C1374" s="13">
        <f>[2]S1!C1375</f>
        <v>0</v>
      </c>
      <c r="D1374" s="13">
        <f>[2]S1!D1375</f>
        <v>0</v>
      </c>
      <c r="E1374" s="26">
        <f>[2]S1!E1375</f>
        <v>0</v>
      </c>
      <c r="F1374" s="26">
        <f>[2]S1!F1375</f>
        <v>0</v>
      </c>
      <c r="G1374" s="22">
        <f>[2]S1!G1375</f>
        <v>0</v>
      </c>
      <c r="H1374" s="22">
        <f>[2]S1!H1375</f>
        <v>0</v>
      </c>
      <c r="I1374" s="22">
        <f>[2]S1!I1375</f>
        <v>0</v>
      </c>
      <c r="J1374" s="13">
        <f>[2]S1!J1375</f>
        <v>0</v>
      </c>
      <c r="K1374" s="19">
        <f>[2]S1!K1375</f>
        <v>0</v>
      </c>
      <c r="L1374" s="52">
        <f>[2]S1!L1375</f>
        <v>0</v>
      </c>
      <c r="M1374" s="58">
        <f>[2]S1!M1375</f>
        <v>0</v>
      </c>
      <c r="N1374" s="49">
        <f>[2]S1!P1375</f>
        <v>0</v>
      </c>
    </row>
    <row r="1375" spans="1:14" x14ac:dyDescent="0.3">
      <c r="A1375" s="11">
        <v>4422</v>
      </c>
      <c r="B1375" s="12">
        <f>[3]Name!E3426</f>
        <v>0</v>
      </c>
      <c r="C1375" s="13">
        <f>[2]S1!C1376</f>
        <v>0</v>
      </c>
      <c r="D1375" s="13">
        <f>[2]S1!D1376</f>
        <v>0</v>
      </c>
      <c r="E1375" s="26">
        <f>[2]S1!E1376</f>
        <v>0</v>
      </c>
      <c r="F1375" s="26">
        <f>[2]S1!F1376</f>
        <v>0</v>
      </c>
      <c r="G1375" s="22">
        <f>[2]S1!G1376</f>
        <v>0</v>
      </c>
      <c r="H1375" s="22">
        <f>[2]S1!H1376</f>
        <v>0</v>
      </c>
      <c r="I1375" s="22">
        <f>[2]S1!I1376</f>
        <v>0</v>
      </c>
      <c r="J1375" s="13">
        <f>[2]S1!J1376</f>
        <v>0</v>
      </c>
      <c r="K1375" s="19">
        <f>[2]S1!K1376</f>
        <v>0</v>
      </c>
      <c r="L1375" s="52">
        <f>[2]S1!L1376</f>
        <v>0</v>
      </c>
      <c r="M1375" s="58">
        <f>[2]S1!M1376</f>
        <v>0</v>
      </c>
      <c r="N1375" s="49">
        <f>[2]S1!P1376</f>
        <v>0</v>
      </c>
    </row>
    <row r="1376" spans="1:14" x14ac:dyDescent="0.3">
      <c r="A1376" s="11">
        <v>4423</v>
      </c>
      <c r="B1376" s="12">
        <f>[3]Name!E3427</f>
        <v>0</v>
      </c>
      <c r="C1376" s="13">
        <f>[2]S1!C1377</f>
        <v>0</v>
      </c>
      <c r="D1376" s="13">
        <f>[2]S1!D1377</f>
        <v>0</v>
      </c>
      <c r="E1376" s="26">
        <f>[2]S1!E1377</f>
        <v>0</v>
      </c>
      <c r="F1376" s="26">
        <f>[2]S1!F1377</f>
        <v>0</v>
      </c>
      <c r="G1376" s="22">
        <f>[2]S1!G1377</f>
        <v>0</v>
      </c>
      <c r="H1376" s="22">
        <f>[2]S1!H1377</f>
        <v>0</v>
      </c>
      <c r="I1376" s="22">
        <f>[2]S1!I1377</f>
        <v>0</v>
      </c>
      <c r="J1376" s="13">
        <f>[2]S1!J1377</f>
        <v>0</v>
      </c>
      <c r="K1376" s="19">
        <f>[2]S1!K1377</f>
        <v>0</v>
      </c>
      <c r="L1376" s="52">
        <f>[2]S1!L1377</f>
        <v>0</v>
      </c>
      <c r="M1376" s="58">
        <f>[2]S1!M1377</f>
        <v>0</v>
      </c>
      <c r="N1376" s="49">
        <f>[2]S1!P1377</f>
        <v>0</v>
      </c>
    </row>
    <row r="1377" spans="1:14" x14ac:dyDescent="0.3">
      <c r="A1377" s="11">
        <v>4424</v>
      </c>
      <c r="B1377" s="12">
        <f>[3]Name!E3428</f>
        <v>0</v>
      </c>
      <c r="C1377" s="13">
        <f>[2]S1!C1378</f>
        <v>0</v>
      </c>
      <c r="D1377" s="13">
        <f>[2]S1!D1378</f>
        <v>0</v>
      </c>
      <c r="E1377" s="26">
        <f>[2]S1!E1378</f>
        <v>0</v>
      </c>
      <c r="F1377" s="26">
        <f>[2]S1!F1378</f>
        <v>0</v>
      </c>
      <c r="G1377" s="22">
        <f>[2]S1!G1378</f>
        <v>0</v>
      </c>
      <c r="H1377" s="22">
        <f>[2]S1!H1378</f>
        <v>0</v>
      </c>
      <c r="I1377" s="22">
        <f>[2]S1!I1378</f>
        <v>0</v>
      </c>
      <c r="J1377" s="13">
        <f>[2]S1!J1378</f>
        <v>0</v>
      </c>
      <c r="K1377" s="19">
        <f>[2]S1!K1378</f>
        <v>0</v>
      </c>
      <c r="L1377" s="52">
        <f>[2]S1!L1378</f>
        <v>0</v>
      </c>
      <c r="M1377" s="58">
        <f>[2]S1!M1378</f>
        <v>0</v>
      </c>
      <c r="N1377" s="49">
        <f>[2]S1!P1378</f>
        <v>0</v>
      </c>
    </row>
    <row r="1378" spans="1:14" x14ac:dyDescent="0.3">
      <c r="A1378" s="11">
        <v>4425</v>
      </c>
      <c r="B1378" s="12">
        <f>[3]Name!E3429</f>
        <v>0</v>
      </c>
      <c r="C1378" s="13">
        <f>[2]S1!C1379</f>
        <v>0</v>
      </c>
      <c r="D1378" s="13">
        <f>[2]S1!D1379</f>
        <v>0</v>
      </c>
      <c r="E1378" s="26">
        <f>[2]S1!E1379</f>
        <v>0</v>
      </c>
      <c r="F1378" s="26">
        <f>[2]S1!F1379</f>
        <v>0</v>
      </c>
      <c r="G1378" s="22">
        <f>[2]S1!G1379</f>
        <v>0</v>
      </c>
      <c r="H1378" s="22">
        <f>[2]S1!H1379</f>
        <v>0</v>
      </c>
      <c r="I1378" s="22">
        <f>[2]S1!I1379</f>
        <v>0</v>
      </c>
      <c r="J1378" s="13">
        <f>[2]S1!J1379</f>
        <v>0</v>
      </c>
      <c r="K1378" s="19">
        <f>[2]S1!K1379</f>
        <v>0</v>
      </c>
      <c r="L1378" s="52">
        <f>[2]S1!L1379</f>
        <v>0</v>
      </c>
      <c r="M1378" s="58">
        <f>[2]S1!M1379</f>
        <v>0</v>
      </c>
      <c r="N1378" s="49">
        <f>[2]S1!P1379</f>
        <v>0</v>
      </c>
    </row>
    <row r="1379" spans="1:14" x14ac:dyDescent="0.3">
      <c r="A1379" s="11">
        <v>4426</v>
      </c>
      <c r="B1379" s="12">
        <f>[3]Name!E3430</f>
        <v>0</v>
      </c>
      <c r="C1379" s="13">
        <f>[2]S1!C1380</f>
        <v>0</v>
      </c>
      <c r="D1379" s="13">
        <f>[2]S1!D1380</f>
        <v>0</v>
      </c>
      <c r="E1379" s="26">
        <f>[2]S1!E1380</f>
        <v>0</v>
      </c>
      <c r="F1379" s="26">
        <f>[2]S1!F1380</f>
        <v>0</v>
      </c>
      <c r="G1379" s="22">
        <f>[2]S1!G1380</f>
        <v>0</v>
      </c>
      <c r="H1379" s="22">
        <f>[2]S1!H1380</f>
        <v>0</v>
      </c>
      <c r="I1379" s="22">
        <f>[2]S1!I1380</f>
        <v>0</v>
      </c>
      <c r="J1379" s="13">
        <f>[2]S1!J1380</f>
        <v>0</v>
      </c>
      <c r="K1379" s="19">
        <f>[2]S1!K1380</f>
        <v>0</v>
      </c>
      <c r="L1379" s="52">
        <f>[2]S1!L1380</f>
        <v>0</v>
      </c>
      <c r="M1379" s="58">
        <f>[2]S1!M1380</f>
        <v>0</v>
      </c>
      <c r="N1379" s="49">
        <f>[2]S1!P1380</f>
        <v>0</v>
      </c>
    </row>
    <row r="1380" spans="1:14" x14ac:dyDescent="0.3">
      <c r="A1380" s="56" t="s">
        <v>1</v>
      </c>
      <c r="B1380" s="57"/>
      <c r="C1380" s="7">
        <f>SUM(C4:C1379)</f>
        <v>2247172</v>
      </c>
      <c r="D1380" s="7">
        <f>SUM(D4:D788)</f>
        <v>705102</v>
      </c>
      <c r="E1380" s="27">
        <f t="shared" ref="E1380:L1380" si="0">SUM(E4:E1379)</f>
        <v>495768</v>
      </c>
      <c r="F1380" s="27">
        <f t="shared" si="0"/>
        <v>163467</v>
      </c>
      <c r="G1380" s="23">
        <f t="shared" si="0"/>
        <v>2012196</v>
      </c>
      <c r="H1380" s="23">
        <f t="shared" si="0"/>
        <v>799562</v>
      </c>
      <c r="I1380" s="23">
        <f t="shared" si="0"/>
        <v>533930</v>
      </c>
      <c r="J1380" s="7">
        <f t="shared" si="0"/>
        <v>7702</v>
      </c>
      <c r="K1380" s="7">
        <f t="shared" si="0"/>
        <v>4012625</v>
      </c>
      <c r="L1380" s="53">
        <f t="shared" si="0"/>
        <v>18864383</v>
      </c>
      <c r="M1380" s="55"/>
      <c r="N1380" s="50">
        <f>SUM(N4:N1379)</f>
        <v>18718789412240</v>
      </c>
    </row>
    <row r="1381" spans="1:14" x14ac:dyDescent="0.3">
      <c r="A1381" s="90" t="s">
        <v>5</v>
      </c>
      <c r="B1381" s="79"/>
      <c r="C1381" s="80"/>
      <c r="D1381" s="78" t="s">
        <v>3</v>
      </c>
      <c r="E1381" s="79"/>
      <c r="F1381" s="79"/>
      <c r="G1381" s="80"/>
      <c r="H1381" s="78" t="s">
        <v>4</v>
      </c>
      <c r="I1381" s="79"/>
      <c r="J1381" s="80"/>
      <c r="K1381" s="78" t="s">
        <v>2</v>
      </c>
      <c r="L1381" s="79"/>
      <c r="M1381" s="79"/>
      <c r="N1381" s="87"/>
    </row>
    <row r="1382" spans="1:14" x14ac:dyDescent="0.3">
      <c r="A1382" s="91"/>
      <c r="B1382" s="82"/>
      <c r="C1382" s="83"/>
      <c r="D1382" s="81"/>
      <c r="E1382" s="82"/>
      <c r="F1382" s="82"/>
      <c r="G1382" s="83"/>
      <c r="H1382" s="81"/>
      <c r="I1382" s="82"/>
      <c r="J1382" s="83"/>
      <c r="K1382" s="81"/>
      <c r="L1382" s="82"/>
      <c r="M1382" s="82"/>
      <c r="N1382" s="88"/>
    </row>
    <row r="1383" spans="1:14" x14ac:dyDescent="0.3">
      <c r="A1383" s="92"/>
      <c r="B1383" s="85"/>
      <c r="C1383" s="86"/>
      <c r="D1383" s="84"/>
      <c r="E1383" s="85"/>
      <c r="F1383" s="85"/>
      <c r="G1383" s="86"/>
      <c r="H1383" s="84"/>
      <c r="I1383" s="85"/>
      <c r="J1383" s="86"/>
      <c r="K1383" s="84"/>
      <c r="L1383" s="85"/>
      <c r="M1383" s="85"/>
      <c r="N1383" s="89"/>
    </row>
  </sheetData>
  <protectedRanges>
    <protectedRange password="CC64" sqref="A2:C2 A4:N4" name="Range1"/>
  </protectedRanges>
  <autoFilter ref="A3:N1383"/>
  <mergeCells count="8">
    <mergeCell ref="A2:C2"/>
    <mergeCell ref="D2:I2"/>
    <mergeCell ref="J2:N2"/>
    <mergeCell ref="A1:N1"/>
    <mergeCell ref="H1381:J1383"/>
    <mergeCell ref="K1381:N1383"/>
    <mergeCell ref="A1381:C1383"/>
    <mergeCell ref="D1381:G1383"/>
  </mergeCells>
  <pageMargins left="0.7" right="0.7" top="0.75" bottom="0.75" header="0.3" footer="0.3"/>
  <pageSetup paperSize="9" scale="65" orientation="portrait" verticalDpi="0" r:id="rId1"/>
  <headerFooter>
    <oddHeader>&amp;L&amp;P&amp;R&amp;P/&amp;N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showRowColHeader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0" sqref="C10"/>
    </sheetView>
  </sheetViews>
  <sheetFormatPr defaultColWidth="0" defaultRowHeight="14.4" zeroHeight="1" x14ac:dyDescent="0.3"/>
  <cols>
    <col min="1" max="1" width="9.21875" customWidth="1"/>
    <col min="2" max="2" width="19.5546875" customWidth="1"/>
    <col min="3" max="11" width="9.21875" customWidth="1"/>
    <col min="12" max="16384" width="9.21875" hidden="1"/>
  </cols>
  <sheetData>
    <row r="1" spans="1:11" x14ac:dyDescent="0.3">
      <c r="A1" s="42"/>
      <c r="B1" s="38"/>
      <c r="C1" s="38"/>
      <c r="D1" s="38"/>
      <c r="E1" s="41" t="str">
        <f>'S1'!A1</f>
        <v>Balai Svyam Seva Sasthan       Surpura</v>
      </c>
      <c r="F1" s="38"/>
      <c r="G1" s="38"/>
      <c r="H1" s="38"/>
      <c r="I1" s="38"/>
      <c r="J1" s="38"/>
      <c r="K1" s="39"/>
    </row>
    <row r="2" spans="1:11" x14ac:dyDescent="0.3">
      <c r="A2" s="93" t="s">
        <v>19</v>
      </c>
      <c r="B2" s="94"/>
      <c r="C2" s="40"/>
      <c r="D2" s="40"/>
      <c r="E2" s="40"/>
      <c r="F2" s="40">
        <f>'S1'!A2</f>
        <v>44817</v>
      </c>
      <c r="G2" s="40"/>
      <c r="H2" s="40"/>
      <c r="I2" s="28"/>
      <c r="J2" s="28"/>
      <c r="K2" s="29"/>
    </row>
    <row r="3" spans="1:11" x14ac:dyDescent="0.3">
      <c r="A3" s="43" t="s">
        <v>6</v>
      </c>
      <c r="B3" s="3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30" t="s">
        <v>14</v>
      </c>
      <c r="J3" s="4" t="s">
        <v>15</v>
      </c>
      <c r="K3" s="31" t="s">
        <v>16</v>
      </c>
    </row>
    <row r="4" spans="1:11" x14ac:dyDescent="0.3">
      <c r="A4" s="46">
        <f>IFERROR(AC!A2,"")</f>
        <v>0</v>
      </c>
      <c r="B4" s="32">
        <f>VLOOKUP(A4,'S1'!A$4:B$788,2,FALSE)</f>
        <v>0</v>
      </c>
      <c r="C4" s="33">
        <f>VLOOKUP(A4,'S1'!A$4:E$788,5,FALSE)</f>
        <v>0</v>
      </c>
      <c r="D4" s="45">
        <f>VLOOKUP(A4,'S1'!A$4:F$788,6,FALSE)</f>
        <v>0</v>
      </c>
      <c r="E4" s="33">
        <f>VLOOKUP(A4,'S1'!A$4:G$788,7,FALSE)</f>
        <v>0</v>
      </c>
      <c r="F4" s="45">
        <f>VLOOKUP(A4,'S1'!A$4:H$788,8,FALSE)</f>
        <v>0</v>
      </c>
      <c r="G4" s="33">
        <f>VLOOKUP(A4,'S1'!A$4:I$788,9,FALSE)</f>
        <v>0</v>
      </c>
      <c r="H4" s="33">
        <f>VLOOKUP(A4,'S1'!A$4:J$788,10,FALSE)</f>
        <v>0</v>
      </c>
      <c r="I4" s="34">
        <f>SUM(C4:H4)</f>
        <v>0</v>
      </c>
      <c r="J4" s="35">
        <f>VLOOKUP(A4,'S1'!A$4:L$788,12,FALSE)</f>
        <v>0</v>
      </c>
      <c r="K4" s="36">
        <f>VLOOKUP(A4,'S1'!A$4:C$788,3,FALSE)</f>
        <v>0</v>
      </c>
    </row>
    <row r="5" spans="1:11" x14ac:dyDescent="0.3">
      <c r="A5" s="46">
        <f>IFERROR(AC!A3,"")</f>
        <v>0</v>
      </c>
      <c r="B5" s="32">
        <f>VLOOKUP(A5,'S1'!A$4:B$788,2,FALSE)</f>
        <v>0</v>
      </c>
      <c r="C5" s="33">
        <f>VLOOKUP(A5,'S1'!A$4:E$788,5,FALSE)</f>
        <v>0</v>
      </c>
      <c r="D5" s="45">
        <f>VLOOKUP(A5,'S1'!A$4:F$788,6,FALSE)</f>
        <v>0</v>
      </c>
      <c r="E5" s="33">
        <f>VLOOKUP(A5,'S1'!A$4:G$788,7,FALSE)</f>
        <v>0</v>
      </c>
      <c r="F5" s="45">
        <f>VLOOKUP(A5,'S1'!A$4:H$788,8,FALSE)</f>
        <v>0</v>
      </c>
      <c r="G5" s="33">
        <f>VLOOKUP(A5,'S1'!A$4:I$788,9,FALSE)</f>
        <v>0</v>
      </c>
      <c r="H5" s="33">
        <f>VLOOKUP(A5,'S1'!A$4:J$788,10,FALSE)</f>
        <v>0</v>
      </c>
      <c r="I5" s="34">
        <f t="shared" ref="I5:I13" si="0">SUM(C5:H5)</f>
        <v>0</v>
      </c>
      <c r="J5" s="35">
        <f>VLOOKUP(A5,'S1'!A$4:L$788,12,FALSE)</f>
        <v>0</v>
      </c>
      <c r="K5" s="36">
        <f>VLOOKUP(A5,'S1'!A$4:C$788,3,FALSE)</f>
        <v>0</v>
      </c>
    </row>
    <row r="6" spans="1:11" x14ac:dyDescent="0.3">
      <c r="A6" s="46">
        <f>IFERROR(AC!A4,"")</f>
        <v>0</v>
      </c>
      <c r="B6" s="32">
        <f>VLOOKUP(A6,'S1'!A$4:B$788,2,FALSE)</f>
        <v>0</v>
      </c>
      <c r="C6" s="33">
        <f>VLOOKUP(A6,'S1'!A$4:E$788,5,FALSE)</f>
        <v>0</v>
      </c>
      <c r="D6" s="45">
        <f>VLOOKUP(A6,'S1'!A$4:F$788,6,FALSE)</f>
        <v>0</v>
      </c>
      <c r="E6" s="33">
        <f>VLOOKUP(A6,'S1'!A$4:G$788,7,FALSE)</f>
        <v>0</v>
      </c>
      <c r="F6" s="45">
        <f>VLOOKUP(A6,'S1'!A$4:H$788,8,FALSE)</f>
        <v>0</v>
      </c>
      <c r="G6" s="33">
        <f>VLOOKUP(A6,'S1'!A$4:I$788,9,FALSE)</f>
        <v>0</v>
      </c>
      <c r="H6" s="33">
        <f>VLOOKUP(A6,'S1'!A$4:J$788,10,FALSE)</f>
        <v>0</v>
      </c>
      <c r="I6" s="34">
        <f t="shared" si="0"/>
        <v>0</v>
      </c>
      <c r="J6" s="35">
        <f>VLOOKUP(A6,'S1'!A$4:L$788,12,FALSE)</f>
        <v>0</v>
      </c>
      <c r="K6" s="36">
        <f>VLOOKUP(A6,'S1'!A$4:C$788,3,FALSE)</f>
        <v>0</v>
      </c>
    </row>
    <row r="7" spans="1:11" x14ac:dyDescent="0.3">
      <c r="A7" s="46">
        <f>IFERROR(AC!A5,"")</f>
        <v>0</v>
      </c>
      <c r="B7" s="32">
        <f>VLOOKUP(A7,'S1'!A$4:B$788,2,FALSE)</f>
        <v>0</v>
      </c>
      <c r="C7" s="33">
        <f>VLOOKUP(A7,'S1'!A$4:E$788,5,FALSE)</f>
        <v>0</v>
      </c>
      <c r="D7" s="45">
        <f>VLOOKUP(A7,'S1'!A$4:F$788,6,FALSE)</f>
        <v>0</v>
      </c>
      <c r="E7" s="33">
        <f>VLOOKUP(A7,'S1'!A$4:G$788,7,FALSE)</f>
        <v>0</v>
      </c>
      <c r="F7" s="45">
        <f>VLOOKUP(A7,'S1'!A$4:H$788,8,FALSE)</f>
        <v>0</v>
      </c>
      <c r="G7" s="33">
        <f>VLOOKUP(A7,'S1'!A$4:I$788,9,FALSE)</f>
        <v>0</v>
      </c>
      <c r="H7" s="33">
        <f>VLOOKUP(A7,'S1'!A$4:J$788,10,FALSE)</f>
        <v>0</v>
      </c>
      <c r="I7" s="34">
        <f t="shared" si="0"/>
        <v>0</v>
      </c>
      <c r="J7" s="35">
        <f>VLOOKUP(A7,'S1'!A$4:L$788,12,FALSE)</f>
        <v>0</v>
      </c>
      <c r="K7" s="36">
        <f>VLOOKUP(A7,'S1'!A$4:C$788,3,FALSE)</f>
        <v>0</v>
      </c>
    </row>
    <row r="8" spans="1:11" x14ac:dyDescent="0.3">
      <c r="A8" s="46">
        <f>IFERROR(AC!A6,"")</f>
        <v>0</v>
      </c>
      <c r="B8" s="32">
        <f>VLOOKUP(A8,'S1'!A$4:B$788,2,FALSE)</f>
        <v>0</v>
      </c>
      <c r="C8" s="33">
        <f>VLOOKUP(A8,'S1'!A$4:E$788,5,FALSE)</f>
        <v>0</v>
      </c>
      <c r="D8" s="45">
        <f>VLOOKUP(A8,'S1'!A$4:F$788,6,FALSE)</f>
        <v>0</v>
      </c>
      <c r="E8" s="33">
        <f>VLOOKUP(A8,'S1'!A$4:G$788,7,FALSE)</f>
        <v>0</v>
      </c>
      <c r="F8" s="45">
        <f>VLOOKUP(A8,'S1'!A$4:H$788,8,FALSE)</f>
        <v>0</v>
      </c>
      <c r="G8" s="33">
        <f>VLOOKUP(A8,'S1'!A$4:I$788,9,FALSE)</f>
        <v>0</v>
      </c>
      <c r="H8" s="33">
        <f>VLOOKUP(A8,'S1'!A$4:J$788,10,FALSE)</f>
        <v>0</v>
      </c>
      <c r="I8" s="34">
        <f t="shared" si="0"/>
        <v>0</v>
      </c>
      <c r="J8" s="35">
        <f>VLOOKUP(A8,'S1'!A$4:L$788,12,FALSE)</f>
        <v>0</v>
      </c>
      <c r="K8" s="36">
        <f>VLOOKUP(A8,'S1'!A$4:C$788,3,FALSE)</f>
        <v>0</v>
      </c>
    </row>
    <row r="9" spans="1:11" x14ac:dyDescent="0.3">
      <c r="A9" s="46">
        <f>IFERROR(AC!A7,"")</f>
        <v>0</v>
      </c>
      <c r="B9" s="32">
        <f>VLOOKUP(A9,'S1'!A$4:B$788,2,FALSE)</f>
        <v>0</v>
      </c>
      <c r="C9" s="33">
        <f>VLOOKUP(A9,'S1'!A$4:E$788,5,FALSE)</f>
        <v>0</v>
      </c>
      <c r="D9" s="45">
        <f>VLOOKUP(A9,'S1'!A$4:F$788,6,FALSE)</f>
        <v>0</v>
      </c>
      <c r="E9" s="33">
        <f>VLOOKUP(A9,'S1'!A$4:G$788,7,FALSE)</f>
        <v>0</v>
      </c>
      <c r="F9" s="45">
        <f>VLOOKUP(A9,'S1'!A$4:H$788,8,FALSE)</f>
        <v>0</v>
      </c>
      <c r="G9" s="33">
        <f>VLOOKUP(A9,'S1'!A$4:I$788,9,FALSE)</f>
        <v>0</v>
      </c>
      <c r="H9" s="33">
        <f>VLOOKUP(A9,'S1'!A$4:J$788,10,FALSE)</f>
        <v>0</v>
      </c>
      <c r="I9" s="34">
        <f t="shared" si="0"/>
        <v>0</v>
      </c>
      <c r="J9" s="35">
        <f>VLOOKUP(A9,'S1'!A$4:L$788,12,FALSE)</f>
        <v>0</v>
      </c>
      <c r="K9" s="36">
        <f>VLOOKUP(A9,'S1'!A$4:C$788,3,FALSE)</f>
        <v>0</v>
      </c>
    </row>
    <row r="10" spans="1:11" x14ac:dyDescent="0.3">
      <c r="A10" s="46">
        <f>IFERROR(AC!A8,"")</f>
        <v>0</v>
      </c>
      <c r="B10" s="32">
        <f>VLOOKUP(A10,'S1'!A$4:B$788,2,FALSE)</f>
        <v>0</v>
      </c>
      <c r="C10" s="33">
        <f>VLOOKUP(A10,'S1'!A$4:E$788,5,FALSE)</f>
        <v>0</v>
      </c>
      <c r="D10" s="45">
        <f>VLOOKUP(A10,'S1'!A$4:F$788,6,FALSE)</f>
        <v>0</v>
      </c>
      <c r="E10" s="33">
        <f>VLOOKUP(A10,'S1'!A$4:G$788,7,FALSE)</f>
        <v>0</v>
      </c>
      <c r="F10" s="45">
        <f>VLOOKUP(A10,'S1'!A$4:H$788,8,FALSE)</f>
        <v>0</v>
      </c>
      <c r="G10" s="33">
        <f>VLOOKUP(A10,'S1'!A$4:I$788,9,FALSE)</f>
        <v>0</v>
      </c>
      <c r="H10" s="33">
        <f>VLOOKUP(A10,'S1'!A$4:J$788,10,FALSE)</f>
        <v>0</v>
      </c>
      <c r="I10" s="34">
        <f t="shared" si="0"/>
        <v>0</v>
      </c>
      <c r="J10" s="35">
        <f>VLOOKUP(A10,'S1'!A$4:L$788,12,FALSE)</f>
        <v>0</v>
      </c>
      <c r="K10" s="36">
        <f>VLOOKUP(A10,'S1'!A$4:C$788,3,FALSE)</f>
        <v>0</v>
      </c>
    </row>
    <row r="11" spans="1:11" x14ac:dyDescent="0.3">
      <c r="A11" s="46">
        <f>IFERROR(AC!A9,"")</f>
        <v>0</v>
      </c>
      <c r="B11" s="32">
        <f>VLOOKUP(A11,'S1'!A$4:B$788,2,FALSE)</f>
        <v>0</v>
      </c>
      <c r="C11" s="33">
        <f>VLOOKUP(A11,'S1'!A$4:E$788,5,FALSE)</f>
        <v>0</v>
      </c>
      <c r="D11" s="45">
        <f>VLOOKUP(A11,'S1'!A$4:F$788,6,FALSE)</f>
        <v>0</v>
      </c>
      <c r="E11" s="33">
        <f>VLOOKUP(A11,'S1'!A$4:G$788,7,FALSE)</f>
        <v>0</v>
      </c>
      <c r="F11" s="45">
        <f>VLOOKUP(A11,'S1'!A$4:H$788,8,FALSE)</f>
        <v>0</v>
      </c>
      <c r="G11" s="33">
        <f>VLOOKUP(A11,'S1'!A$4:I$788,9,FALSE)</f>
        <v>0</v>
      </c>
      <c r="H11" s="33">
        <f>VLOOKUP(A11,'S1'!A$4:J$788,10,FALSE)</f>
        <v>0</v>
      </c>
      <c r="I11" s="34">
        <f t="shared" si="0"/>
        <v>0</v>
      </c>
      <c r="J11" s="35">
        <f>VLOOKUP(A11,'S1'!A$4:L$788,12,FALSE)</f>
        <v>0</v>
      </c>
      <c r="K11" s="36">
        <f>VLOOKUP(A11,'S1'!A$4:C$788,3,FALSE)</f>
        <v>0</v>
      </c>
    </row>
    <row r="12" spans="1:11" x14ac:dyDescent="0.3">
      <c r="A12" s="46">
        <f>IFERROR(AC!A10,"")</f>
        <v>0</v>
      </c>
      <c r="B12" s="32">
        <f>VLOOKUP(A12,'S1'!A$4:B$788,2,FALSE)</f>
        <v>0</v>
      </c>
      <c r="C12" s="33">
        <f>VLOOKUP(A12,'S1'!A$4:E$788,5,FALSE)</f>
        <v>0</v>
      </c>
      <c r="D12" s="45">
        <f>VLOOKUP(A12,'S1'!A$4:F$788,6,FALSE)</f>
        <v>0</v>
      </c>
      <c r="E12" s="33">
        <f>VLOOKUP(A12,'S1'!A$4:G$788,7,FALSE)</f>
        <v>0</v>
      </c>
      <c r="F12" s="45">
        <f>VLOOKUP(A12,'S1'!A$4:H$788,8,FALSE)</f>
        <v>0</v>
      </c>
      <c r="G12" s="33">
        <f>VLOOKUP(A12,'S1'!A$4:I$788,9,FALSE)</f>
        <v>0</v>
      </c>
      <c r="H12" s="33">
        <f>VLOOKUP(A12,'S1'!A$4:J$788,10,FALSE)</f>
        <v>0</v>
      </c>
      <c r="I12" s="34">
        <f t="shared" si="0"/>
        <v>0</v>
      </c>
      <c r="J12" s="35">
        <f>VLOOKUP(A12,'S1'!A$4:L$788,12,FALSE)</f>
        <v>0</v>
      </c>
      <c r="K12" s="36">
        <f>VLOOKUP(A12,'S1'!A$4:C$788,3,FALSE)</f>
        <v>0</v>
      </c>
    </row>
    <row r="13" spans="1:11" x14ac:dyDescent="0.3">
      <c r="A13" s="46">
        <f>IFERROR(AC!A11,"")</f>
        <v>0</v>
      </c>
      <c r="B13" s="32">
        <f>VLOOKUP(A13,'S1'!A$4:B$788,2,FALSE)</f>
        <v>0</v>
      </c>
      <c r="C13" s="33">
        <f>VLOOKUP(A13,'S1'!A$4:E$788,5,FALSE)</f>
        <v>0</v>
      </c>
      <c r="D13" s="45">
        <f>VLOOKUP(A13,'S1'!A$4:F$788,6,FALSE)</f>
        <v>0</v>
      </c>
      <c r="E13" s="33">
        <f>VLOOKUP(A13,'S1'!A$4:G$788,7,FALSE)</f>
        <v>0</v>
      </c>
      <c r="F13" s="45">
        <f>VLOOKUP(A13,'S1'!A$4:H$788,8,FALSE)</f>
        <v>0</v>
      </c>
      <c r="G13" s="33">
        <f>VLOOKUP(A13,'S1'!A$4:I$788,9,FALSE)</f>
        <v>0</v>
      </c>
      <c r="H13" s="33">
        <f>VLOOKUP(A13,'S1'!A$4:J$788,10,FALSE)</f>
        <v>0</v>
      </c>
      <c r="I13" s="34">
        <f t="shared" si="0"/>
        <v>0</v>
      </c>
      <c r="J13" s="35">
        <f>VLOOKUP(A13,'S1'!A$4:L$788,12,FALSE)</f>
        <v>0</v>
      </c>
      <c r="K13" s="36">
        <f>VLOOKUP(A13,'S1'!A$4:C$788,3,FALSE)</f>
        <v>0</v>
      </c>
    </row>
    <row r="14" spans="1:11" x14ac:dyDescent="0.3">
      <c r="A14" s="95" t="s">
        <v>14</v>
      </c>
      <c r="B14" s="96"/>
      <c r="C14" s="37">
        <f>SUM(C4:C13)</f>
        <v>0</v>
      </c>
      <c r="D14" s="37">
        <f t="shared" ref="D14:K14" si="1">SUM(D4:D13)</f>
        <v>0</v>
      </c>
      <c r="E14" s="37">
        <f t="shared" si="1"/>
        <v>0</v>
      </c>
      <c r="F14" s="37">
        <f t="shared" si="1"/>
        <v>0</v>
      </c>
      <c r="G14" s="37">
        <f t="shared" si="1"/>
        <v>0</v>
      </c>
      <c r="H14" s="37">
        <f t="shared" si="1"/>
        <v>0</v>
      </c>
      <c r="I14" s="37">
        <f t="shared" si="1"/>
        <v>0</v>
      </c>
      <c r="J14" s="37">
        <f t="shared" si="1"/>
        <v>0</v>
      </c>
      <c r="K14" s="37">
        <f t="shared" si="1"/>
        <v>0</v>
      </c>
    </row>
  </sheetData>
  <sheetProtection sheet="1" objects="1" scenarios="1"/>
  <mergeCells count="2">
    <mergeCell ref="A2:B2"/>
    <mergeCell ref="A14:B14"/>
  </mergeCells>
  <hyperlinks>
    <hyperlink ref="A3" location="AC!A1" display="A/c no.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showRowColHeaders="0" workbookViewId="0"/>
  </sheetViews>
  <sheetFormatPr defaultColWidth="0" defaultRowHeight="14.4" zeroHeight="1" x14ac:dyDescent="0.3"/>
  <cols>
    <col min="1" max="1" width="9.21875" customWidth="1"/>
    <col min="2" max="16384" width="9.21875" hidden="1"/>
  </cols>
  <sheetData>
    <row r="1" spans="1:1" x14ac:dyDescent="0.3">
      <c r="A1" s="44" t="s">
        <v>6</v>
      </c>
    </row>
    <row r="2" spans="1:1" x14ac:dyDescent="0.3"/>
    <row r="3" spans="1:1" x14ac:dyDescent="0.3"/>
    <row r="4" spans="1:1" x14ac:dyDescent="0.3"/>
    <row r="5" spans="1:1" x14ac:dyDescent="0.3"/>
    <row r="6" spans="1:1" x14ac:dyDescent="0.3"/>
    <row r="7" spans="1:1" x14ac:dyDescent="0.3"/>
    <row r="8" spans="1:1" x14ac:dyDescent="0.3"/>
    <row r="9" spans="1:1" x14ac:dyDescent="0.3"/>
    <row r="10" spans="1:1" x14ac:dyDescent="0.3"/>
    <row r="11" spans="1:1" x14ac:dyDescent="0.3"/>
  </sheetData>
  <hyperlinks>
    <hyperlink ref="A1" location="Total!A1" display="A/c no.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"/>
  <sheetViews>
    <sheetView workbookViewId="0">
      <selection activeCell="C3" sqref="C3"/>
    </sheetView>
  </sheetViews>
  <sheetFormatPr defaultRowHeight="14.4" x14ac:dyDescent="0.3"/>
  <sheetData>
    <row r="1" spans="1:29" x14ac:dyDescent="0.3">
      <c r="A1" s="59" t="s">
        <v>22</v>
      </c>
      <c r="J1" s="59" t="s">
        <v>22</v>
      </c>
      <c r="T1" s="59" t="s">
        <v>22</v>
      </c>
      <c r="AC1" s="59" t="s">
        <v>22</v>
      </c>
    </row>
    <row r="2" spans="1:29" x14ac:dyDescent="0.3">
      <c r="A2" s="59" t="s">
        <v>23</v>
      </c>
      <c r="J2" s="59" t="s">
        <v>23</v>
      </c>
      <c r="T2" s="59" t="s">
        <v>23</v>
      </c>
      <c r="AC2" s="59" t="s">
        <v>23</v>
      </c>
    </row>
    <row r="3" spans="1:29" x14ac:dyDescent="0.3">
      <c r="A3" s="60"/>
      <c r="J3" s="60"/>
      <c r="T3" s="60"/>
      <c r="AC3" s="60"/>
    </row>
    <row r="4" spans="1:29" x14ac:dyDescent="0.3">
      <c r="A4" s="61" t="s">
        <v>24</v>
      </c>
      <c r="J4" s="61" t="s">
        <v>24</v>
      </c>
      <c r="T4" s="61" t="s">
        <v>24</v>
      </c>
      <c r="AC4" s="61" t="s">
        <v>24</v>
      </c>
    </row>
    <row r="5" spans="1:29" x14ac:dyDescent="0.3">
      <c r="A5" s="61" t="s">
        <v>25</v>
      </c>
      <c r="J5" s="61" t="s">
        <v>25</v>
      </c>
      <c r="T5" s="61" t="s">
        <v>25</v>
      </c>
      <c r="AC5" s="61" t="s">
        <v>25</v>
      </c>
    </row>
    <row r="6" spans="1:29" x14ac:dyDescent="0.3">
      <c r="A6" s="60"/>
      <c r="J6" s="60"/>
      <c r="T6" s="60"/>
      <c r="AC6" s="60"/>
    </row>
    <row r="7" spans="1:29" x14ac:dyDescent="0.3">
      <c r="A7" s="59" t="s">
        <v>26</v>
      </c>
      <c r="J7" s="59" t="s">
        <v>26</v>
      </c>
      <c r="T7" s="59" t="s">
        <v>26</v>
      </c>
      <c r="AC7" s="59" t="s">
        <v>26</v>
      </c>
    </row>
    <row r="8" spans="1:29" x14ac:dyDescent="0.3">
      <c r="A8" s="62" t="s">
        <v>27</v>
      </c>
      <c r="J8" s="62" t="s">
        <v>80</v>
      </c>
      <c r="T8" s="62" t="s">
        <v>110</v>
      </c>
      <c r="AC8" s="62" t="s">
        <v>110</v>
      </c>
    </row>
    <row r="9" spans="1:29" x14ac:dyDescent="0.3">
      <c r="A9" s="62" t="s">
        <v>28</v>
      </c>
      <c r="J9" s="62" t="s">
        <v>81</v>
      </c>
      <c r="T9" s="62" t="s">
        <v>82</v>
      </c>
      <c r="AC9" s="62" t="s">
        <v>82</v>
      </c>
    </row>
    <row r="10" spans="1:29" x14ac:dyDescent="0.3">
      <c r="A10" s="62" t="s">
        <v>29</v>
      </c>
      <c r="J10" s="62" t="s">
        <v>82</v>
      </c>
      <c r="T10" s="62" t="s">
        <v>83</v>
      </c>
      <c r="AC10" s="62" t="s">
        <v>83</v>
      </c>
    </row>
    <row r="11" spans="1:29" x14ac:dyDescent="0.3">
      <c r="A11" s="62" t="s">
        <v>30</v>
      </c>
      <c r="J11" s="62" t="s">
        <v>83</v>
      </c>
      <c r="T11" s="62" t="s">
        <v>84</v>
      </c>
      <c r="AC11" s="62" t="s">
        <v>84</v>
      </c>
    </row>
    <row r="12" spans="1:29" x14ac:dyDescent="0.3">
      <c r="A12" s="62" t="s">
        <v>31</v>
      </c>
      <c r="J12" s="62" t="s">
        <v>84</v>
      </c>
      <c r="T12" s="62" t="s">
        <v>85</v>
      </c>
      <c r="AC12" s="62" t="s">
        <v>85</v>
      </c>
    </row>
    <row r="13" spans="1:29" x14ac:dyDescent="0.3">
      <c r="A13" s="62" t="s">
        <v>32</v>
      </c>
      <c r="J13" s="62" t="s">
        <v>85</v>
      </c>
      <c r="T13" s="62" t="s">
        <v>86</v>
      </c>
      <c r="AC13" s="62" t="s">
        <v>86</v>
      </c>
    </row>
    <row r="14" spans="1:29" x14ac:dyDescent="0.3">
      <c r="A14" s="62" t="s">
        <v>30</v>
      </c>
      <c r="J14" s="62" t="s">
        <v>86</v>
      </c>
      <c r="T14" s="62" t="s">
        <v>87</v>
      </c>
      <c r="AC14" s="62" t="s">
        <v>87</v>
      </c>
    </row>
    <row r="15" spans="1:29" x14ac:dyDescent="0.3">
      <c r="A15" s="62" t="s">
        <v>33</v>
      </c>
      <c r="J15" s="62" t="s">
        <v>87</v>
      </c>
      <c r="T15" s="62" t="s">
        <v>30</v>
      </c>
      <c r="AC15" s="62" t="s">
        <v>30</v>
      </c>
    </row>
    <row r="16" spans="1:29" x14ac:dyDescent="0.3">
      <c r="A16" s="62" t="s">
        <v>34</v>
      </c>
      <c r="J16" s="62" t="s">
        <v>88</v>
      </c>
      <c r="T16" s="62" t="s">
        <v>111</v>
      </c>
      <c r="AC16" s="62" t="s">
        <v>111</v>
      </c>
    </row>
    <row r="17" spans="1:29" x14ac:dyDescent="0.3">
      <c r="A17" s="62" t="s">
        <v>35</v>
      </c>
      <c r="J17" s="62" t="s">
        <v>30</v>
      </c>
      <c r="T17" s="62" t="s">
        <v>28</v>
      </c>
      <c r="AC17" s="62" t="s">
        <v>28</v>
      </c>
    </row>
    <row r="18" spans="1:29" x14ac:dyDescent="0.3">
      <c r="A18" s="60"/>
      <c r="J18" s="62" t="s">
        <v>89</v>
      </c>
      <c r="T18" s="62" t="s">
        <v>29</v>
      </c>
      <c r="AC18" s="62" t="s">
        <v>29</v>
      </c>
    </row>
    <row r="19" spans="1:29" x14ac:dyDescent="0.3">
      <c r="A19" s="63" t="s">
        <v>36</v>
      </c>
      <c r="J19" s="62" t="s">
        <v>28</v>
      </c>
      <c r="T19" s="62" t="s">
        <v>30</v>
      </c>
      <c r="AC19" s="62" t="s">
        <v>30</v>
      </c>
    </row>
    <row r="20" spans="1:29" x14ac:dyDescent="0.3">
      <c r="A20" s="59" t="s">
        <v>37</v>
      </c>
      <c r="J20" s="62" t="s">
        <v>29</v>
      </c>
      <c r="T20" s="62" t="s">
        <v>112</v>
      </c>
      <c r="AC20" s="62" t="s">
        <v>112</v>
      </c>
    </row>
    <row r="21" spans="1:29" x14ac:dyDescent="0.3">
      <c r="A21" s="62" t="s">
        <v>38</v>
      </c>
      <c r="J21" s="62" t="s">
        <v>30</v>
      </c>
      <c r="T21" s="62" t="s">
        <v>31</v>
      </c>
      <c r="AC21" s="62" t="s">
        <v>31</v>
      </c>
    </row>
    <row r="22" spans="1:29" x14ac:dyDescent="0.3">
      <c r="A22" s="62" t="s">
        <v>39</v>
      </c>
      <c r="J22" s="62" t="s">
        <v>31</v>
      </c>
      <c r="T22" s="62" t="s">
        <v>32</v>
      </c>
      <c r="AC22" s="62" t="s">
        <v>32</v>
      </c>
    </row>
    <row r="23" spans="1:29" x14ac:dyDescent="0.3">
      <c r="A23" s="62" t="s">
        <v>40</v>
      </c>
      <c r="J23" s="62" t="s">
        <v>32</v>
      </c>
      <c r="T23" s="62" t="s">
        <v>30</v>
      </c>
      <c r="AC23" s="62" t="s">
        <v>30</v>
      </c>
    </row>
    <row r="24" spans="1:29" x14ac:dyDescent="0.3">
      <c r="A24" s="62" t="s">
        <v>41</v>
      </c>
      <c r="J24" s="62" t="s">
        <v>30</v>
      </c>
      <c r="T24" s="62" t="s">
        <v>113</v>
      </c>
      <c r="AC24" s="62" t="s">
        <v>113</v>
      </c>
    </row>
    <row r="25" spans="1:29" x14ac:dyDescent="0.3">
      <c r="A25" s="60"/>
      <c r="J25" s="62" t="s">
        <v>33</v>
      </c>
      <c r="T25" s="62" t="s">
        <v>114</v>
      </c>
      <c r="AC25" s="62" t="s">
        <v>114</v>
      </c>
    </row>
    <row r="26" spans="1:29" x14ac:dyDescent="0.3">
      <c r="A26" s="59" t="s">
        <v>42</v>
      </c>
      <c r="J26" s="62" t="s">
        <v>34</v>
      </c>
      <c r="T26" s="62" t="s">
        <v>115</v>
      </c>
      <c r="AC26" s="62" t="s">
        <v>115</v>
      </c>
    </row>
    <row r="27" spans="1:29" x14ac:dyDescent="0.3">
      <c r="A27" s="62" t="s">
        <v>43</v>
      </c>
      <c r="J27" s="62" t="s">
        <v>30</v>
      </c>
      <c r="T27" s="62" t="s">
        <v>116</v>
      </c>
      <c r="AC27" s="62" t="s">
        <v>116</v>
      </c>
    </row>
    <row r="28" spans="1:29" x14ac:dyDescent="0.3">
      <c r="A28" s="62" t="s">
        <v>30</v>
      </c>
      <c r="J28" s="62" t="s">
        <v>90</v>
      </c>
      <c r="T28" s="62" t="s">
        <v>117</v>
      </c>
      <c r="AC28" s="62" t="s">
        <v>117</v>
      </c>
    </row>
    <row r="29" spans="1:29" x14ac:dyDescent="0.3">
      <c r="A29" s="62" t="s">
        <v>44</v>
      </c>
      <c r="J29" s="62" t="s">
        <v>91</v>
      </c>
      <c r="T29" s="62" t="s">
        <v>118</v>
      </c>
      <c r="AC29" s="62" t="s">
        <v>118</v>
      </c>
    </row>
    <row r="30" spans="1:29" x14ac:dyDescent="0.3">
      <c r="A30" s="62" t="s">
        <v>30</v>
      </c>
      <c r="J30" s="60"/>
      <c r="T30" s="62" t="s">
        <v>51</v>
      </c>
      <c r="AC30" s="62" t="s">
        <v>51</v>
      </c>
    </row>
    <row r="31" spans="1:29" x14ac:dyDescent="0.3">
      <c r="A31" s="62" t="s">
        <v>45</v>
      </c>
      <c r="J31" s="63" t="s">
        <v>36</v>
      </c>
      <c r="T31" s="62" t="s">
        <v>91</v>
      </c>
      <c r="AC31" s="62" t="s">
        <v>91</v>
      </c>
    </row>
    <row r="32" spans="1:29" x14ac:dyDescent="0.3">
      <c r="A32" s="62" t="s">
        <v>46</v>
      </c>
      <c r="J32" s="59" t="s">
        <v>37</v>
      </c>
      <c r="T32" s="60"/>
      <c r="AC32" s="60"/>
    </row>
    <row r="33" spans="1:29" x14ac:dyDescent="0.3">
      <c r="A33" s="62" t="s">
        <v>47</v>
      </c>
      <c r="J33" s="62" t="s">
        <v>38</v>
      </c>
      <c r="T33" s="63" t="s">
        <v>36</v>
      </c>
      <c r="AC33" s="63" t="s">
        <v>36</v>
      </c>
    </row>
    <row r="34" spans="1:29" x14ac:dyDescent="0.3">
      <c r="A34" s="62" t="s">
        <v>48</v>
      </c>
      <c r="J34" s="62" t="s">
        <v>39</v>
      </c>
      <c r="T34" s="59" t="s">
        <v>37</v>
      </c>
      <c r="AC34" s="59" t="s">
        <v>37</v>
      </c>
    </row>
    <row r="35" spans="1:29" x14ac:dyDescent="0.3">
      <c r="A35" s="62" t="s">
        <v>49</v>
      </c>
      <c r="J35" s="62" t="s">
        <v>40</v>
      </c>
      <c r="T35" s="62" t="s">
        <v>38</v>
      </c>
      <c r="AC35" s="62" t="s">
        <v>38</v>
      </c>
    </row>
    <row r="36" spans="1:29" x14ac:dyDescent="0.3">
      <c r="A36" s="62" t="s">
        <v>50</v>
      </c>
      <c r="J36" s="62" t="s">
        <v>41</v>
      </c>
      <c r="T36" s="62" t="s">
        <v>39</v>
      </c>
      <c r="AC36" s="62" t="s">
        <v>39</v>
      </c>
    </row>
    <row r="37" spans="1:29" x14ac:dyDescent="0.3">
      <c r="A37" s="62" t="s">
        <v>51</v>
      </c>
      <c r="J37" s="60"/>
      <c r="T37" s="62" t="s">
        <v>40</v>
      </c>
      <c r="AC37" s="62" t="s">
        <v>40</v>
      </c>
    </row>
    <row r="38" spans="1:29" x14ac:dyDescent="0.3">
      <c r="A38" s="62" t="s">
        <v>52</v>
      </c>
      <c r="J38" s="59" t="s">
        <v>42</v>
      </c>
      <c r="T38" s="62" t="s">
        <v>41</v>
      </c>
      <c r="AC38" s="62" t="s">
        <v>41</v>
      </c>
    </row>
    <row r="39" spans="1:29" x14ac:dyDescent="0.3">
      <c r="A39" s="62" t="s">
        <v>53</v>
      </c>
      <c r="J39" s="62" t="s">
        <v>92</v>
      </c>
      <c r="T39" s="60"/>
      <c r="AC39" s="60"/>
    </row>
    <row r="40" spans="1:29" x14ac:dyDescent="0.3">
      <c r="A40" s="62" t="s">
        <v>54</v>
      </c>
      <c r="J40" s="62" t="s">
        <v>93</v>
      </c>
      <c r="T40" s="59" t="s">
        <v>42</v>
      </c>
      <c r="AC40" s="59" t="s">
        <v>42</v>
      </c>
    </row>
    <row r="41" spans="1:29" x14ac:dyDescent="0.3">
      <c r="A41" s="62" t="s">
        <v>55</v>
      </c>
      <c r="J41" s="62" t="s">
        <v>30</v>
      </c>
      <c r="T41" s="62" t="s">
        <v>93</v>
      </c>
      <c r="AC41" s="62" t="s">
        <v>93</v>
      </c>
    </row>
    <row r="42" spans="1:29" x14ac:dyDescent="0.3">
      <c r="A42" s="62" t="s">
        <v>56</v>
      </c>
      <c r="J42" s="62" t="s">
        <v>94</v>
      </c>
      <c r="T42" s="62" t="s">
        <v>30</v>
      </c>
      <c r="AC42" s="62" t="s">
        <v>30</v>
      </c>
    </row>
    <row r="43" spans="1:29" x14ac:dyDescent="0.3">
      <c r="A43" s="62" t="s">
        <v>57</v>
      </c>
      <c r="J43" s="62" t="s">
        <v>95</v>
      </c>
      <c r="T43" s="62" t="s">
        <v>119</v>
      </c>
      <c r="AC43" s="62" t="s">
        <v>119</v>
      </c>
    </row>
    <row r="44" spans="1:29" x14ac:dyDescent="0.3">
      <c r="A44" s="62" t="s">
        <v>58</v>
      </c>
      <c r="J44" s="62" t="s">
        <v>30</v>
      </c>
      <c r="T44" s="62" t="s">
        <v>120</v>
      </c>
      <c r="AC44" s="62" t="s">
        <v>120</v>
      </c>
    </row>
    <row r="45" spans="1:29" x14ac:dyDescent="0.3">
      <c r="A45" s="62" t="s">
        <v>59</v>
      </c>
      <c r="J45" s="62" t="s">
        <v>96</v>
      </c>
      <c r="T45" s="62" t="s">
        <v>121</v>
      </c>
      <c r="AC45" s="62" t="s">
        <v>121</v>
      </c>
    </row>
    <row r="46" spans="1:29" x14ac:dyDescent="0.3">
      <c r="A46" s="62" t="s">
        <v>60</v>
      </c>
      <c r="J46" s="62" t="s">
        <v>97</v>
      </c>
      <c r="T46" s="64" t="s">
        <v>122</v>
      </c>
      <c r="AC46" s="64" t="s">
        <v>122</v>
      </c>
    </row>
    <row r="47" spans="1:29" x14ac:dyDescent="0.3">
      <c r="A47" s="62" t="s">
        <v>61</v>
      </c>
      <c r="J47" s="62" t="s">
        <v>98</v>
      </c>
      <c r="T47" s="64" t="s">
        <v>123</v>
      </c>
      <c r="AC47" s="64" t="s">
        <v>123</v>
      </c>
    </row>
    <row r="48" spans="1:29" x14ac:dyDescent="0.3">
      <c r="A48" s="62" t="s">
        <v>62</v>
      </c>
      <c r="J48" s="62" t="s">
        <v>99</v>
      </c>
      <c r="T48" s="64" t="s">
        <v>124</v>
      </c>
      <c r="AC48" s="64" t="s">
        <v>124</v>
      </c>
    </row>
    <row r="49" spans="1:29" x14ac:dyDescent="0.3">
      <c r="A49" s="62" t="s">
        <v>55</v>
      </c>
      <c r="J49" s="62" t="s">
        <v>100</v>
      </c>
      <c r="T49" s="64" t="s">
        <v>125</v>
      </c>
      <c r="AC49" s="64" t="s">
        <v>125</v>
      </c>
    </row>
    <row r="50" spans="1:29" x14ac:dyDescent="0.3">
      <c r="A50" s="62" t="s">
        <v>63</v>
      </c>
      <c r="J50" s="62" t="s">
        <v>101</v>
      </c>
      <c r="T50" s="64" t="s">
        <v>126</v>
      </c>
      <c r="AC50" s="64" t="s">
        <v>126</v>
      </c>
    </row>
    <row r="51" spans="1:29" x14ac:dyDescent="0.3">
      <c r="A51" s="62" t="s">
        <v>64</v>
      </c>
      <c r="J51" s="62" t="s">
        <v>102</v>
      </c>
      <c r="T51" s="64" t="s">
        <v>104</v>
      </c>
      <c r="AC51" s="64" t="s">
        <v>141</v>
      </c>
    </row>
    <row r="52" spans="1:29" x14ac:dyDescent="0.3">
      <c r="A52" s="62" t="s">
        <v>65</v>
      </c>
      <c r="J52" s="64" t="s">
        <v>103</v>
      </c>
      <c r="T52" s="64" t="s">
        <v>105</v>
      </c>
      <c r="AC52" s="64" t="s">
        <v>105</v>
      </c>
    </row>
    <row r="53" spans="1:29" x14ac:dyDescent="0.3">
      <c r="A53" s="62" t="s">
        <v>66</v>
      </c>
      <c r="J53" s="64" t="s">
        <v>104</v>
      </c>
      <c r="T53" s="64" t="s">
        <v>127</v>
      </c>
      <c r="AC53" s="64" t="s">
        <v>127</v>
      </c>
    </row>
    <row r="54" spans="1:29" x14ac:dyDescent="0.3">
      <c r="A54" s="62" t="s">
        <v>67</v>
      </c>
      <c r="J54" s="64" t="s">
        <v>105</v>
      </c>
      <c r="T54" s="64" t="s">
        <v>128</v>
      </c>
      <c r="AC54" s="64" t="s">
        <v>128</v>
      </c>
    </row>
    <row r="55" spans="1:29" x14ac:dyDescent="0.3">
      <c r="A55" s="62" t="s">
        <v>55</v>
      </c>
      <c r="J55" s="64" t="s">
        <v>106</v>
      </c>
      <c r="T55" s="62" t="s">
        <v>129</v>
      </c>
      <c r="AC55" s="62" t="s">
        <v>129</v>
      </c>
    </row>
    <row r="56" spans="1:29" x14ac:dyDescent="0.3">
      <c r="A56" s="62" t="s">
        <v>68</v>
      </c>
      <c r="J56" s="62" t="s">
        <v>107</v>
      </c>
      <c r="T56" s="62" t="s">
        <v>130</v>
      </c>
      <c r="AC56" s="62" t="s">
        <v>130</v>
      </c>
    </row>
    <row r="57" spans="1:29" x14ac:dyDescent="0.3">
      <c r="A57" s="62" t="s">
        <v>69</v>
      </c>
      <c r="J57" s="62" t="s">
        <v>108</v>
      </c>
      <c r="T57" s="62" t="s">
        <v>30</v>
      </c>
      <c r="AC57" s="62" t="s">
        <v>30</v>
      </c>
    </row>
    <row r="58" spans="1:29" x14ac:dyDescent="0.3">
      <c r="A58" s="62" t="s">
        <v>70</v>
      </c>
      <c r="J58" s="62" t="s">
        <v>109</v>
      </c>
      <c r="T58" s="62" t="s">
        <v>131</v>
      </c>
      <c r="AC58" s="62" t="s">
        <v>131</v>
      </c>
    </row>
    <row r="59" spans="1:29" x14ac:dyDescent="0.3">
      <c r="A59" s="62" t="s">
        <v>55</v>
      </c>
      <c r="J59" s="62" t="s">
        <v>30</v>
      </c>
      <c r="T59" s="62" t="s">
        <v>30</v>
      </c>
      <c r="AC59" s="62" t="s">
        <v>30</v>
      </c>
    </row>
    <row r="60" spans="1:29" x14ac:dyDescent="0.3">
      <c r="A60" s="62" t="s">
        <v>71</v>
      </c>
      <c r="J60" s="62" t="s">
        <v>45</v>
      </c>
      <c r="T60" s="62" t="s">
        <v>45</v>
      </c>
      <c r="AC60" s="62" t="s">
        <v>45</v>
      </c>
    </row>
    <row r="61" spans="1:29" x14ac:dyDescent="0.3">
      <c r="A61" s="62" t="s">
        <v>72</v>
      </c>
      <c r="J61" s="62" t="s">
        <v>46</v>
      </c>
      <c r="T61" s="62" t="s">
        <v>46</v>
      </c>
      <c r="AC61" s="62" t="s">
        <v>46</v>
      </c>
    </row>
    <row r="62" spans="1:29" x14ac:dyDescent="0.3">
      <c r="A62" s="62" t="s">
        <v>55</v>
      </c>
      <c r="J62" s="62" t="s">
        <v>47</v>
      </c>
      <c r="T62" s="62" t="s">
        <v>47</v>
      </c>
      <c r="AC62" s="62" t="s">
        <v>47</v>
      </c>
    </row>
    <row r="63" spans="1:29" x14ac:dyDescent="0.3">
      <c r="A63" s="62" t="s">
        <v>73</v>
      </c>
      <c r="J63" s="62" t="s">
        <v>48</v>
      </c>
      <c r="T63" s="62" t="s">
        <v>48</v>
      </c>
      <c r="AC63" s="62" t="s">
        <v>48</v>
      </c>
    </row>
    <row r="64" spans="1:29" x14ac:dyDescent="0.3">
      <c r="A64" s="62" t="s">
        <v>55</v>
      </c>
      <c r="J64" s="62" t="s">
        <v>49</v>
      </c>
      <c r="T64" s="62" t="s">
        <v>49</v>
      </c>
      <c r="AC64" s="62" t="s">
        <v>49</v>
      </c>
    </row>
    <row r="65" spans="1:29" x14ac:dyDescent="0.3">
      <c r="A65" s="62" t="s">
        <v>74</v>
      </c>
      <c r="J65" s="62" t="s">
        <v>50</v>
      </c>
      <c r="T65" s="62" t="s">
        <v>50</v>
      </c>
      <c r="AC65" s="62" t="s">
        <v>50</v>
      </c>
    </row>
    <row r="66" spans="1:29" x14ac:dyDescent="0.3">
      <c r="A66" s="62" t="s">
        <v>75</v>
      </c>
      <c r="J66" s="62" t="s">
        <v>51</v>
      </c>
      <c r="T66" s="62" t="s">
        <v>51</v>
      </c>
      <c r="AC66" s="62" t="s">
        <v>51</v>
      </c>
    </row>
    <row r="67" spans="1:29" x14ac:dyDescent="0.3">
      <c r="A67" s="62" t="s">
        <v>76</v>
      </c>
      <c r="J67" s="62" t="s">
        <v>52</v>
      </c>
      <c r="T67" s="62" t="s">
        <v>52</v>
      </c>
      <c r="AC67" s="62" t="s">
        <v>52</v>
      </c>
    </row>
    <row r="68" spans="1:29" x14ac:dyDescent="0.3">
      <c r="A68" s="62" t="s">
        <v>77</v>
      </c>
      <c r="J68" s="62" t="s">
        <v>53</v>
      </c>
      <c r="T68" s="62" t="s">
        <v>53</v>
      </c>
      <c r="AC68" s="62" t="s">
        <v>53</v>
      </c>
    </row>
    <row r="69" spans="1:29" x14ac:dyDescent="0.3">
      <c r="A69" s="59" t="s">
        <v>78</v>
      </c>
      <c r="J69" s="62" t="s">
        <v>54</v>
      </c>
      <c r="T69" s="62" t="s">
        <v>54</v>
      </c>
      <c r="AC69" s="62" t="s">
        <v>54</v>
      </c>
    </row>
    <row r="70" spans="1:29" x14ac:dyDescent="0.3">
      <c r="A70" s="62" t="s">
        <v>79</v>
      </c>
      <c r="J70" s="62" t="s">
        <v>55</v>
      </c>
      <c r="T70" s="62" t="s">
        <v>55</v>
      </c>
      <c r="AC70" s="62" t="s">
        <v>55</v>
      </c>
    </row>
    <row r="71" spans="1:29" x14ac:dyDescent="0.3">
      <c r="J71" s="62" t="s">
        <v>56</v>
      </c>
      <c r="T71" s="62" t="s">
        <v>56</v>
      </c>
      <c r="AC71" s="62" t="s">
        <v>56</v>
      </c>
    </row>
    <row r="72" spans="1:29" x14ac:dyDescent="0.3">
      <c r="J72" s="62" t="s">
        <v>57</v>
      </c>
      <c r="T72" s="62" t="s">
        <v>57</v>
      </c>
      <c r="AC72" s="62" t="s">
        <v>57</v>
      </c>
    </row>
    <row r="73" spans="1:29" x14ac:dyDescent="0.3">
      <c r="J73" s="62" t="s">
        <v>58</v>
      </c>
      <c r="T73" s="62" t="s">
        <v>58</v>
      </c>
      <c r="AC73" s="62" t="s">
        <v>58</v>
      </c>
    </row>
    <row r="74" spans="1:29" x14ac:dyDescent="0.3">
      <c r="J74" s="62" t="s">
        <v>59</v>
      </c>
      <c r="T74" s="62" t="s">
        <v>132</v>
      </c>
      <c r="AC74" s="62" t="s">
        <v>132</v>
      </c>
    </row>
    <row r="75" spans="1:29" x14ac:dyDescent="0.3">
      <c r="J75" s="62" t="s">
        <v>60</v>
      </c>
      <c r="T75" s="62" t="s">
        <v>61</v>
      </c>
      <c r="AC75" s="62" t="s">
        <v>61</v>
      </c>
    </row>
    <row r="76" spans="1:29" x14ac:dyDescent="0.3">
      <c r="J76" s="62" t="s">
        <v>61</v>
      </c>
      <c r="T76" s="62" t="s">
        <v>62</v>
      </c>
      <c r="AC76" s="62" t="s">
        <v>62</v>
      </c>
    </row>
    <row r="77" spans="1:29" x14ac:dyDescent="0.3">
      <c r="J77" s="62" t="s">
        <v>62</v>
      </c>
      <c r="T77" s="62" t="s">
        <v>55</v>
      </c>
      <c r="AC77" s="62" t="s">
        <v>55</v>
      </c>
    </row>
    <row r="78" spans="1:29" x14ac:dyDescent="0.3">
      <c r="J78" s="62" t="s">
        <v>55</v>
      </c>
      <c r="T78" s="62" t="s">
        <v>63</v>
      </c>
      <c r="AC78" s="62" t="s">
        <v>63</v>
      </c>
    </row>
    <row r="79" spans="1:29" x14ac:dyDescent="0.3">
      <c r="J79" s="62" t="s">
        <v>63</v>
      </c>
      <c r="T79" s="62" t="s">
        <v>64</v>
      </c>
      <c r="AC79" s="62" t="s">
        <v>64</v>
      </c>
    </row>
    <row r="80" spans="1:29" x14ac:dyDescent="0.3">
      <c r="J80" s="62" t="s">
        <v>64</v>
      </c>
      <c r="T80" s="62" t="s">
        <v>65</v>
      </c>
      <c r="AC80" s="62" t="s">
        <v>65</v>
      </c>
    </row>
    <row r="81" spans="10:29" x14ac:dyDescent="0.3">
      <c r="J81" s="62" t="s">
        <v>65</v>
      </c>
      <c r="T81" s="62" t="s">
        <v>133</v>
      </c>
      <c r="AC81" s="62" t="s">
        <v>133</v>
      </c>
    </row>
    <row r="82" spans="10:29" x14ac:dyDescent="0.3">
      <c r="J82" s="62" t="s">
        <v>66</v>
      </c>
      <c r="T82" s="62" t="s">
        <v>55</v>
      </c>
      <c r="AC82" s="62" t="s">
        <v>55</v>
      </c>
    </row>
    <row r="83" spans="10:29" x14ac:dyDescent="0.3">
      <c r="J83" s="62" t="s">
        <v>67</v>
      </c>
      <c r="T83" s="62" t="s">
        <v>68</v>
      </c>
      <c r="AC83" s="62" t="s">
        <v>68</v>
      </c>
    </row>
    <row r="84" spans="10:29" x14ac:dyDescent="0.3">
      <c r="J84" s="62" t="s">
        <v>55</v>
      </c>
      <c r="T84" s="62" t="s">
        <v>69</v>
      </c>
      <c r="AC84" s="62" t="s">
        <v>69</v>
      </c>
    </row>
    <row r="85" spans="10:29" x14ac:dyDescent="0.3">
      <c r="J85" s="62" t="s">
        <v>68</v>
      </c>
      <c r="T85" s="62" t="s">
        <v>70</v>
      </c>
      <c r="AC85" s="62" t="s">
        <v>70</v>
      </c>
    </row>
    <row r="86" spans="10:29" x14ac:dyDescent="0.3">
      <c r="J86" s="62" t="s">
        <v>69</v>
      </c>
      <c r="T86" s="62" t="s">
        <v>55</v>
      </c>
      <c r="AC86" s="62" t="s">
        <v>55</v>
      </c>
    </row>
    <row r="87" spans="10:29" x14ac:dyDescent="0.3">
      <c r="J87" s="62" t="s">
        <v>70</v>
      </c>
      <c r="T87" s="62" t="s">
        <v>134</v>
      </c>
      <c r="AC87" s="62" t="s">
        <v>134</v>
      </c>
    </row>
    <row r="88" spans="10:29" x14ac:dyDescent="0.3">
      <c r="J88" s="62" t="s">
        <v>55</v>
      </c>
      <c r="T88" s="62" t="s">
        <v>71</v>
      </c>
      <c r="AC88" s="62" t="s">
        <v>71</v>
      </c>
    </row>
    <row r="89" spans="10:29" x14ac:dyDescent="0.3">
      <c r="J89" s="62" t="s">
        <v>71</v>
      </c>
      <c r="T89" s="62" t="s">
        <v>135</v>
      </c>
      <c r="AC89" s="62" t="s">
        <v>135</v>
      </c>
    </row>
    <row r="90" spans="10:29" x14ac:dyDescent="0.3">
      <c r="J90" s="62" t="s">
        <v>72</v>
      </c>
      <c r="T90" s="62" t="s">
        <v>55</v>
      </c>
      <c r="AC90" s="62" t="s">
        <v>55</v>
      </c>
    </row>
    <row r="91" spans="10:29" x14ac:dyDescent="0.3">
      <c r="J91" s="62" t="s">
        <v>55</v>
      </c>
      <c r="T91" s="62" t="s">
        <v>73</v>
      </c>
      <c r="AC91" s="62" t="s">
        <v>142</v>
      </c>
    </row>
    <row r="92" spans="10:29" x14ac:dyDescent="0.3">
      <c r="J92" s="62" t="s">
        <v>73</v>
      </c>
      <c r="T92" s="62" t="s">
        <v>55</v>
      </c>
      <c r="AC92" s="62" t="s">
        <v>143</v>
      </c>
    </row>
    <row r="93" spans="10:29" x14ac:dyDescent="0.3">
      <c r="J93" s="62" t="s">
        <v>55</v>
      </c>
      <c r="T93" s="62" t="s">
        <v>136</v>
      </c>
      <c r="AC93" s="62" t="s">
        <v>55</v>
      </c>
    </row>
    <row r="94" spans="10:29" x14ac:dyDescent="0.3">
      <c r="J94" s="62" t="s">
        <v>74</v>
      </c>
      <c r="T94" s="62" t="s">
        <v>137</v>
      </c>
      <c r="AC94" s="62" t="s">
        <v>144</v>
      </c>
    </row>
    <row r="95" spans="10:29" x14ac:dyDescent="0.3">
      <c r="J95" s="62" t="s">
        <v>75</v>
      </c>
      <c r="T95" s="62" t="s">
        <v>138</v>
      </c>
      <c r="AC95" s="62" t="s">
        <v>137</v>
      </c>
    </row>
    <row r="96" spans="10:29" x14ac:dyDescent="0.3">
      <c r="J96" s="62" t="s">
        <v>76</v>
      </c>
      <c r="T96" s="62" t="s">
        <v>55</v>
      </c>
      <c r="AC96" s="62" t="s">
        <v>138</v>
      </c>
    </row>
    <row r="97" spans="10:29" x14ac:dyDescent="0.3">
      <c r="J97" s="62" t="s">
        <v>77</v>
      </c>
      <c r="T97" s="62" t="s">
        <v>139</v>
      </c>
      <c r="AC97" s="62" t="s">
        <v>55</v>
      </c>
    </row>
    <row r="98" spans="10:29" x14ac:dyDescent="0.3">
      <c r="J98" s="59" t="s">
        <v>78</v>
      </c>
      <c r="T98" s="62" t="s">
        <v>140</v>
      </c>
      <c r="AC98" s="62" t="s">
        <v>139</v>
      </c>
    </row>
    <row r="99" spans="10:29" x14ac:dyDescent="0.3">
      <c r="J99" s="62" t="s">
        <v>79</v>
      </c>
      <c r="T99" s="62" t="s">
        <v>75</v>
      </c>
      <c r="AC99" s="62" t="s">
        <v>140</v>
      </c>
    </row>
    <row r="100" spans="10:29" x14ac:dyDescent="0.3">
      <c r="T100" s="62" t="s">
        <v>76</v>
      </c>
      <c r="AC100" s="62" t="s">
        <v>75</v>
      </c>
    </row>
    <row r="101" spans="10:29" x14ac:dyDescent="0.3">
      <c r="T101" s="62" t="s">
        <v>77</v>
      </c>
      <c r="AC101" s="62" t="s">
        <v>76</v>
      </c>
    </row>
    <row r="102" spans="10:29" x14ac:dyDescent="0.3">
      <c r="T102" s="59" t="s">
        <v>78</v>
      </c>
      <c r="AC102" s="62" t="s">
        <v>77</v>
      </c>
    </row>
    <row r="103" spans="10:29" x14ac:dyDescent="0.3">
      <c r="T103" s="62" t="s">
        <v>79</v>
      </c>
      <c r="AC103" s="59" t="s">
        <v>78</v>
      </c>
    </row>
    <row r="104" spans="10:29" x14ac:dyDescent="0.3">
      <c r="AC104" s="6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S1</vt:lpstr>
      <vt:lpstr>Total</vt:lpstr>
      <vt:lpstr>AC</vt:lpstr>
      <vt:lpstr>Sheet1</vt:lpstr>
      <vt:lpstr>'S1'!Criteria</vt:lpstr>
      <vt:lpstr>'S1'!Print_Area</vt:lpstr>
      <vt:lpstr>'S1'!Print_Titles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babu lal khandelwal</cp:lastModifiedBy>
  <cp:lastPrinted>2016-09-03T08:15:47Z</cp:lastPrinted>
  <dcterms:created xsi:type="dcterms:W3CDTF">2016-09-02T16:16:45Z</dcterms:created>
  <dcterms:modified xsi:type="dcterms:W3CDTF">2026-09-20T14:49:16Z</dcterms:modified>
</cp:coreProperties>
</file>